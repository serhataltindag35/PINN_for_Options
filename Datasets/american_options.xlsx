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AAPL" sheetId="2" r:id="rId5"/>
    <sheet state="visible" name="GOOG" sheetId="3" r:id="rId6"/>
    <sheet state="visible" name="FB" sheetId="4" r:id="rId7"/>
    <sheet state="visible" name="XOM" sheetId="5" r:id="rId8"/>
    <sheet state="visible" name="WMT" sheetId="6" r:id="rId9"/>
    <sheet state="visible" name="MSFT" sheetId="7" r:id="rId10"/>
    <sheet state="visible" name="BRKB" sheetId="8" r:id="rId11"/>
    <sheet state="visible" name="CVX" sheetId="9" r:id="rId12"/>
    <sheet state="visible" name="IBM" sheetId="10" r:id="rId13"/>
    <sheet state="visible" name="JNJ" sheetId="11" r:id="rId14"/>
    <sheet state="visible" name="PG" sheetId="12" r:id="rId15"/>
    <sheet state="visible" name="WFC" sheetId="13" r:id="rId16"/>
    <sheet state="visible" name="PFE" sheetId="14" r:id="rId17"/>
    <sheet state="visible" name="GE" sheetId="15" r:id="rId18"/>
    <sheet state="visible" name="JPM" sheetId="16" r:id="rId19"/>
    <sheet state="visible" name="ORCL" sheetId="17" r:id="rId20"/>
    <sheet state="visible" name="T" sheetId="18" r:id="rId21"/>
    <sheet state="visible" name="PM" sheetId="19" r:id="rId22"/>
    <sheet state="visible" name="BAC" sheetId="20" r:id="rId23"/>
    <sheet state="visible" name="VZ" sheetId="21" r:id="rId24"/>
  </sheets>
  <definedNames/>
  <calcPr/>
  <extLst>
    <ext uri="GoogleSheetsCustomDataVersion2">
      <go:sheetsCustomData xmlns:go="http://customooxmlschemas.google.com/" r:id="rId25" roundtripDataChecksum="6A/zDigSRCbf/nMDQjeoWsH6vM9MexxvkuYE2Qh+fys="/>
    </ext>
  </extLst>
</workbook>
</file>

<file path=xl/sharedStrings.xml><?xml version="1.0" encoding="utf-8"?>
<sst xmlns="http://schemas.openxmlformats.org/spreadsheetml/2006/main" count="8877" uniqueCount="170">
  <si>
    <t>contract</t>
  </si>
  <si>
    <t>underlying</t>
  </si>
  <si>
    <t>expiration</t>
  </si>
  <si>
    <t>type</t>
  </si>
  <si>
    <t>strike</t>
  </si>
  <si>
    <t>style</t>
  </si>
  <si>
    <t>bid</t>
  </si>
  <si>
    <t>bid_size</t>
  </si>
  <si>
    <t>ask</t>
  </si>
  <si>
    <t>ask_size</t>
  </si>
  <si>
    <t>volume</t>
  </si>
  <si>
    <t>open_interest</t>
  </si>
  <si>
    <t>quote_date</t>
  </si>
  <si>
    <t>delta</t>
  </si>
  <si>
    <t>gamma</t>
  </si>
  <si>
    <t>theta</t>
  </si>
  <si>
    <t>vega</t>
  </si>
  <si>
    <t>implied_volatility</t>
  </si>
  <si>
    <t>close</t>
  </si>
  <si>
    <t>Remaining_day</t>
  </si>
  <si>
    <t>Option_mid</t>
  </si>
  <si>
    <t>Option</t>
  </si>
  <si>
    <t>d1</t>
  </si>
  <si>
    <t>d2</t>
  </si>
  <si>
    <t>N(d1)</t>
  </si>
  <si>
    <t>N(d2)</t>
  </si>
  <si>
    <t>A130518C00018000</t>
  </si>
  <si>
    <t>A</t>
  </si>
  <si>
    <t>18.05.2013</t>
  </si>
  <si>
    <t>call</t>
  </si>
  <si>
    <t>2.01.2013</t>
  </si>
  <si>
    <t>3.01.2013</t>
  </si>
  <si>
    <t>4.01.2013</t>
  </si>
  <si>
    <t>7.01.2013</t>
  </si>
  <si>
    <t>8.01.2013</t>
  </si>
  <si>
    <t>9.01.2013</t>
  </si>
  <si>
    <t>10.01.2013</t>
  </si>
  <si>
    <t>11.01.2013</t>
  </si>
  <si>
    <t>14.01.2013</t>
  </si>
  <si>
    <t>15.01.2013</t>
  </si>
  <si>
    <t>16.01.2013</t>
  </si>
  <si>
    <t>17.01.2013</t>
  </si>
  <si>
    <t>18.01.2013</t>
  </si>
  <si>
    <t>22.01.2013</t>
  </si>
  <si>
    <t>23.01.2013</t>
  </si>
  <si>
    <t>24.01.2013</t>
  </si>
  <si>
    <t>25.01.2013</t>
  </si>
  <si>
    <t>28.01.2013</t>
  </si>
  <si>
    <t>29.01.2013</t>
  </si>
  <si>
    <t>30.01.2013</t>
  </si>
  <si>
    <t>31.01.2013</t>
  </si>
  <si>
    <t>2013-05-18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</si>
  <si>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</si>
  <si>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</si>
  <si>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</si>
  <si>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</si>
  <si>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</si>
  <si>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</si>
  <si>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</si>
  <si>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</si>
  <si>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</si>
  <si>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</si>
  <si>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</si>
  <si>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</si>
  <si>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</si>
  <si>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</si>
  <si>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</si>
  <si>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</si>
  <si>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</si>
  <si>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</si>
  <si>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</si>
  <si>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</si>
  <si>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</si>
  <si>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</si>
  <si>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</si>
  <si>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</si>
  <si>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</si>
  <si>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</si>
  <si>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</si>
  <si>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</si>
  <si>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</si>
  <si>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</si>
  <si>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</si>
  <si>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</si>
  <si>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</si>
  <si>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</si>
  <si>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</si>
  <si>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</si>
  <si>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</si>
  <si>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</si>
  <si>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</si>
  <si>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</si>
  <si>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</si>
  <si>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</si>
  <si>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</si>
  <si>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</si>
  <si>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</si>
  <si>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</si>
  <si>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</si>
  <si>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</si>
  <si>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</si>
  <si>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</si>
  <si>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</si>
  <si>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</si>
  <si>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</si>
  <si>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</si>
  <si>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</si>
  <si>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</si>
  <si>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</si>
  <si>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</si>
  <si>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</si>
  <si>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</si>
  <si>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</si>
  <si>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</si>
  <si>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</si>
  <si>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</si>
  <si>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</si>
  <si>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</si>
  <si>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</si>
  <si>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</si>
  <si>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</si>
  <si>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</si>
  <si>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</si>
  <si>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</si>
  <si>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</si>
  <si>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</si>
  <si>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AAPL130420C00260000</t>
  </si>
  <si>
    <t>AAPL</t>
  </si>
  <si>
    <t>20.04.2013</t>
  </si>
  <si>
    <t>2013-04-20</t>
  </si>
  <si>
    <t>GOOG130316C00310000</t>
  </si>
  <si>
    <t>GOOGL</t>
  </si>
  <si>
    <t>16.03.2013</t>
  </si>
  <si>
    <t>2013-03-16</t>
  </si>
  <si>
    <t>FB130316C00009000</t>
  </si>
  <si>
    <t>FB</t>
  </si>
  <si>
    <t>XOM130420C00045000</t>
  </si>
  <si>
    <t>XOM</t>
  </si>
  <si>
    <t>WMT130316C00037500</t>
  </si>
  <si>
    <t>WMT</t>
  </si>
  <si>
    <t>MSFT130420C00015000</t>
  </si>
  <si>
    <t>MSFT</t>
  </si>
  <si>
    <t>BRKB130316C00045000</t>
  </si>
  <si>
    <t>BRK.B</t>
  </si>
  <si>
    <t>CVX130316C00055000</t>
  </si>
  <si>
    <t>CVX</t>
  </si>
  <si>
    <t>IBM130420C00100000</t>
  </si>
  <si>
    <t>IBM</t>
  </si>
  <si>
    <t>JNJ130420C00042500</t>
  </si>
  <si>
    <t>JNJ</t>
  </si>
  <si>
    <t>PG130420C00035000</t>
  </si>
  <si>
    <t>PG</t>
  </si>
  <si>
    <t>WFC130420C00016000</t>
  </si>
  <si>
    <t>WFC</t>
  </si>
  <si>
    <t>PFE130420C00016000</t>
  </si>
  <si>
    <t>PFE</t>
  </si>
  <si>
    <t>GE130316C00005000</t>
  </si>
  <si>
    <t>GE</t>
  </si>
  <si>
    <t>JPM130420C00022000</t>
  </si>
  <si>
    <t>JPM</t>
  </si>
  <si>
    <t>ORCL130316C00015000</t>
  </si>
  <si>
    <t>ORCL</t>
  </si>
  <si>
    <t>T130420C00017000</t>
  </si>
  <si>
    <t>T</t>
  </si>
  <si>
    <t>PM130316C00045000</t>
  </si>
  <si>
    <t>PM</t>
  </si>
  <si>
    <t>BAC130420C00003000</t>
  </si>
  <si>
    <t>BAC</t>
  </si>
  <si>
    <t>VZ130420C00021000</t>
  </si>
  <si>
    <t>VZ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</si>
</sst>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2" fillId="0" fontId="1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29"/>
    <col customWidth="1" min="4" max="11" width="8.71"/>
    <col customWidth="1" min="12" max="12" width="12.71"/>
    <col customWidth="1" min="13" max="13" width="10.71"/>
    <col customWidth="1" min="14" max="17" width="8.71"/>
    <col customWidth="1" min="18" max="18" width="15.57"/>
    <col customWidth="1" min="19" max="19" width="8.71"/>
    <col customWidth="1" min="20" max="20" width="12.0"/>
    <col customWidth="1" min="21" max="22" width="8.71"/>
    <col customWidth="1" min="23" max="24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3"/>
      <c r="AC1" s="3"/>
    </row>
    <row r="2" ht="14.25" customHeight="1">
      <c r="A2" s="3" t="s">
        <v>26</v>
      </c>
      <c r="B2" s="3" t="s">
        <v>27</v>
      </c>
      <c r="C2" s="3" t="s">
        <v>28</v>
      </c>
      <c r="D2" s="3" t="s">
        <v>29</v>
      </c>
      <c r="E2" s="3">
        <v>18.0</v>
      </c>
      <c r="F2" s="3" t="s">
        <v>27</v>
      </c>
      <c r="G2" s="3">
        <v>21.55</v>
      </c>
      <c r="I2" s="3">
        <v>25.6</v>
      </c>
      <c r="K2" s="3">
        <v>0.0</v>
      </c>
      <c r="L2" s="3">
        <v>0.0</v>
      </c>
      <c r="M2" s="3" t="s">
        <v>30</v>
      </c>
      <c r="N2" s="3">
        <v>0.9968</v>
      </c>
      <c r="O2" s="3">
        <v>1.0E-4</v>
      </c>
      <c r="P2" s="3">
        <v>0.279</v>
      </c>
      <c r="Q2" s="3">
        <v>0.019</v>
      </c>
      <c r="R2" s="3">
        <v>0.4045</v>
      </c>
      <c r="S2" s="3">
        <v>41.879999</v>
      </c>
      <c r="T2" s="3">
        <v>95.0</v>
      </c>
      <c r="U2" s="3">
        <f t="shared" ref="U2:U96" si="2">(I2+G2)*0.5</f>
        <v>23.575</v>
      </c>
      <c r="V2" s="3"/>
      <c r="W2" s="3">
        <f t="shared" ref="W2:W96" si="3">( S2*Z2 ) - ( E2 * EXP(-0.0007*T2/$AC$2) * AA2)</f>
        <v>23.88533264</v>
      </c>
      <c r="X2" s="3">
        <f t="shared" ref="X2:X96" si="4">((LN(S2/E2) + (0.0007 + (R2^2)/2) * T2/$AC$2)) / (R2 * SQRT(T2/$AC$2))</f>
        <v>3.525305295</v>
      </c>
      <c r="Y2" s="3">
        <f t="shared" ref="Y2:Y96" si="5">X2-(R2*SQRT(T2/$AC$2))</f>
        <v>3.276946206</v>
      </c>
      <c r="Z2" s="3">
        <f t="shared" ref="Z2:AA2" si="1">_xlfn.NORM.S.DIST(X2)</f>
        <v>0.9997885025</v>
      </c>
      <c r="AA2" s="3">
        <f t="shared" si="1"/>
        <v>0.9994753182</v>
      </c>
      <c r="AB2" s="3"/>
      <c r="AC2" s="4">
        <v>252.0</v>
      </c>
    </row>
    <row r="3" ht="14.25" customHeight="1">
      <c r="A3" s="3" t="s">
        <v>26</v>
      </c>
      <c r="B3" s="3" t="s">
        <v>27</v>
      </c>
      <c r="C3" s="3" t="s">
        <v>28</v>
      </c>
      <c r="D3" s="3" t="s">
        <v>29</v>
      </c>
      <c r="E3" s="3">
        <v>18.0</v>
      </c>
      <c r="F3" s="3" t="s">
        <v>27</v>
      </c>
      <c r="G3" s="3">
        <v>21.7</v>
      </c>
      <c r="I3" s="3">
        <v>25.7</v>
      </c>
      <c r="K3" s="3">
        <v>0.0</v>
      </c>
      <c r="L3" s="3">
        <v>0.0</v>
      </c>
      <c r="M3" s="3" t="s">
        <v>31</v>
      </c>
      <c r="N3" s="3">
        <v>0.9969</v>
      </c>
      <c r="O3" s="3">
        <v>0.0</v>
      </c>
      <c r="P3" s="3">
        <v>0.2938</v>
      </c>
      <c r="Q3" s="3">
        <v>0.0049</v>
      </c>
      <c r="R3" s="3">
        <v>0.3671</v>
      </c>
      <c r="S3" s="3">
        <v>42.029999</v>
      </c>
      <c r="T3" s="3">
        <v>94.0</v>
      </c>
      <c r="U3" s="3">
        <f t="shared" si="2"/>
        <v>23.7</v>
      </c>
      <c r="V3" s="3"/>
      <c r="W3" s="3">
        <f t="shared" si="3"/>
        <v>24.03481036</v>
      </c>
      <c r="X3" s="3">
        <f t="shared" si="4"/>
        <v>3.895549664</v>
      </c>
      <c r="Y3" s="3">
        <f t="shared" si="5"/>
        <v>3.671343245</v>
      </c>
      <c r="Z3" s="3">
        <f t="shared" ref="Z3:AA3" si="6">_xlfn.NORM.S.DIST(X3)</f>
        <v>0.9999510119</v>
      </c>
      <c r="AA3" s="3">
        <f t="shared" si="6"/>
        <v>0.9998793605</v>
      </c>
      <c r="AB3" s="3"/>
      <c r="AC3" s="3"/>
    </row>
    <row r="4" ht="14.25" customHeight="1">
      <c r="A4" s="3" t="s">
        <v>26</v>
      </c>
      <c r="B4" s="3" t="s">
        <v>27</v>
      </c>
      <c r="C4" s="3" t="s">
        <v>28</v>
      </c>
      <c r="D4" s="3" t="s">
        <v>29</v>
      </c>
      <c r="E4" s="3">
        <v>18.0</v>
      </c>
      <c r="F4" s="3" t="s">
        <v>27</v>
      </c>
      <c r="G4" s="3">
        <v>23.0</v>
      </c>
      <c r="I4" s="3">
        <v>26.5</v>
      </c>
      <c r="K4" s="3">
        <v>0.0</v>
      </c>
      <c r="L4" s="3">
        <v>0.0</v>
      </c>
      <c r="M4" s="3" t="s">
        <v>32</v>
      </c>
      <c r="N4" s="3">
        <v>0.9969</v>
      </c>
      <c r="O4" s="3">
        <v>0.0</v>
      </c>
      <c r="P4" s="3">
        <v>0.3035</v>
      </c>
      <c r="Q4" s="3">
        <v>7.0E-4</v>
      </c>
      <c r="R4" s="3">
        <v>0.3337</v>
      </c>
      <c r="S4" s="3">
        <v>42.86</v>
      </c>
      <c r="T4" s="3">
        <v>93.0</v>
      </c>
      <c r="U4" s="3">
        <f t="shared" si="2"/>
        <v>24.75</v>
      </c>
      <c r="V4" s="3"/>
      <c r="W4" s="3">
        <f t="shared" si="3"/>
        <v>24.86466052</v>
      </c>
      <c r="X4" s="3">
        <f t="shared" si="4"/>
        <v>4.382259661</v>
      </c>
      <c r="Y4" s="3">
        <f t="shared" si="5"/>
        <v>4.179539282</v>
      </c>
      <c r="Z4" s="3">
        <f t="shared" ref="Z4:AA4" si="7">_xlfn.NORM.S.DIST(X4)</f>
        <v>0.9999941273</v>
      </c>
      <c r="AA4" s="3">
        <f t="shared" si="7"/>
        <v>0.999985395</v>
      </c>
      <c r="AB4" s="3"/>
      <c r="AC4" s="3"/>
    </row>
    <row r="5" ht="14.25" customHeight="1">
      <c r="A5" s="3" t="s">
        <v>26</v>
      </c>
      <c r="B5" s="3" t="s">
        <v>27</v>
      </c>
      <c r="C5" s="3" t="s">
        <v>28</v>
      </c>
      <c r="D5" s="3" t="s">
        <v>29</v>
      </c>
      <c r="E5" s="3">
        <v>18.0</v>
      </c>
      <c r="F5" s="3" t="s">
        <v>27</v>
      </c>
      <c r="G5" s="3">
        <v>22.95</v>
      </c>
      <c r="I5" s="3">
        <v>26.2</v>
      </c>
      <c r="K5" s="3">
        <v>0.0</v>
      </c>
      <c r="L5" s="3">
        <v>0.0</v>
      </c>
      <c r="M5" s="3" t="s">
        <v>33</v>
      </c>
      <c r="N5" s="3">
        <v>0.9985</v>
      </c>
      <c r="O5" s="3">
        <v>0.0</v>
      </c>
      <c r="P5" s="3">
        <v>0.1222</v>
      </c>
      <c r="Q5" s="3">
        <v>1.0E-4</v>
      </c>
      <c r="R5" s="3">
        <v>0.3091</v>
      </c>
      <c r="S5" s="3">
        <v>42.550001</v>
      </c>
      <c r="T5" s="3">
        <v>92.0</v>
      </c>
      <c r="U5" s="3">
        <f t="shared" si="2"/>
        <v>24.575</v>
      </c>
      <c r="V5" s="3"/>
      <c r="W5" s="3">
        <f t="shared" si="3"/>
        <v>24.55460251</v>
      </c>
      <c r="X5" s="3">
        <f t="shared" si="4"/>
        <v>4.701147323</v>
      </c>
      <c r="Y5" s="3">
        <f t="shared" si="5"/>
        <v>4.514383546</v>
      </c>
      <c r="Z5" s="3">
        <f t="shared" ref="Z5:AA5" si="8">_xlfn.NORM.S.DIST(X5)</f>
        <v>0.9999987065</v>
      </c>
      <c r="AA5" s="3">
        <f t="shared" si="8"/>
        <v>0.9999968249</v>
      </c>
      <c r="AB5" s="3"/>
      <c r="AC5" s="3"/>
    </row>
    <row r="6" ht="14.25" customHeight="1">
      <c r="A6" s="3" t="s">
        <v>26</v>
      </c>
      <c r="B6" s="3" t="s">
        <v>27</v>
      </c>
      <c r="C6" s="3" t="s">
        <v>28</v>
      </c>
      <c r="D6" s="3" t="s">
        <v>29</v>
      </c>
      <c r="E6" s="3">
        <v>18.0</v>
      </c>
      <c r="F6" s="3" t="s">
        <v>27</v>
      </c>
      <c r="G6" s="3">
        <v>22.35</v>
      </c>
      <c r="I6" s="3">
        <v>26.4</v>
      </c>
      <c r="K6" s="3">
        <v>0.0</v>
      </c>
      <c r="L6" s="3">
        <v>0.0</v>
      </c>
      <c r="M6" s="3" t="s">
        <v>34</v>
      </c>
      <c r="N6" s="3">
        <v>0.997</v>
      </c>
      <c r="O6" s="3">
        <v>0.0</v>
      </c>
      <c r="P6" s="3">
        <v>0.2926</v>
      </c>
      <c r="Q6" s="3">
        <v>0.0055</v>
      </c>
      <c r="R6" s="3">
        <v>0.38</v>
      </c>
      <c r="S6" s="3">
        <v>42.209999</v>
      </c>
      <c r="T6" s="3">
        <v>91.0</v>
      </c>
      <c r="U6" s="3">
        <f t="shared" si="2"/>
        <v>24.375</v>
      </c>
      <c r="V6" s="3"/>
      <c r="W6" s="3">
        <f t="shared" si="3"/>
        <v>24.21468948</v>
      </c>
      <c r="X6" s="3">
        <f t="shared" si="4"/>
        <v>3.847621178</v>
      </c>
      <c r="Y6" s="3">
        <f t="shared" si="5"/>
        <v>3.619269597</v>
      </c>
      <c r="Z6" s="3">
        <f t="shared" ref="Z6:AA6" si="9">_xlfn.NORM.S.DIST(X6)</f>
        <v>0.9999403649</v>
      </c>
      <c r="AA6" s="3">
        <f t="shared" si="9"/>
        <v>0.9998522821</v>
      </c>
      <c r="AB6" s="3"/>
      <c r="AC6" s="3"/>
    </row>
    <row r="7" ht="14.25" customHeight="1">
      <c r="A7" s="3" t="s">
        <v>26</v>
      </c>
      <c r="B7" s="3" t="s">
        <v>27</v>
      </c>
      <c r="C7" s="3" t="s">
        <v>28</v>
      </c>
      <c r="D7" s="3" t="s">
        <v>29</v>
      </c>
      <c r="E7" s="3">
        <v>18.0</v>
      </c>
      <c r="F7" s="3" t="s">
        <v>27</v>
      </c>
      <c r="G7" s="3">
        <v>23.25</v>
      </c>
      <c r="I7" s="3">
        <v>26.9</v>
      </c>
      <c r="K7" s="3">
        <v>0.0</v>
      </c>
      <c r="L7" s="3">
        <v>0.0</v>
      </c>
      <c r="M7" s="3" t="s">
        <v>35</v>
      </c>
      <c r="N7" s="3">
        <v>0.9971</v>
      </c>
      <c r="O7" s="3">
        <v>0.0</v>
      </c>
      <c r="P7" s="3">
        <v>0.3066</v>
      </c>
      <c r="Q7" s="3">
        <v>2.0E-4</v>
      </c>
      <c r="R7" s="3">
        <v>0.3202</v>
      </c>
      <c r="S7" s="3">
        <v>43.349999</v>
      </c>
      <c r="T7" s="3">
        <v>90.0</v>
      </c>
      <c r="U7" s="3">
        <f t="shared" si="2"/>
        <v>25.075</v>
      </c>
      <c r="V7" s="3"/>
      <c r="W7" s="3">
        <f t="shared" si="3"/>
        <v>25.35450075</v>
      </c>
      <c r="X7" s="3">
        <f t="shared" si="4"/>
        <v>4.690174492</v>
      </c>
      <c r="Y7" s="3">
        <f t="shared" si="5"/>
        <v>4.498818392</v>
      </c>
      <c r="Z7" s="3">
        <f t="shared" ref="Z7:AA7" si="10">_xlfn.NORM.S.DIST(X7)</f>
        <v>0.9999986351</v>
      </c>
      <c r="AA7" s="3">
        <f t="shared" si="10"/>
        <v>0.9999965834</v>
      </c>
      <c r="AB7" s="3"/>
      <c r="AC7" s="3"/>
    </row>
    <row r="8" ht="14.25" customHeight="1">
      <c r="A8" s="3" t="s">
        <v>26</v>
      </c>
      <c r="B8" s="3" t="s">
        <v>27</v>
      </c>
      <c r="C8" s="3" t="s">
        <v>28</v>
      </c>
      <c r="D8" s="3" t="s">
        <v>29</v>
      </c>
      <c r="E8" s="3">
        <v>18.0</v>
      </c>
      <c r="F8" s="3" t="s">
        <v>27</v>
      </c>
      <c r="G8" s="3">
        <v>23.85</v>
      </c>
      <c r="I8" s="3">
        <v>27.55</v>
      </c>
      <c r="K8" s="3">
        <v>0.0</v>
      </c>
      <c r="L8" s="3">
        <v>0.0</v>
      </c>
      <c r="M8" s="3" t="s">
        <v>36</v>
      </c>
      <c r="N8" s="3">
        <v>0.9985</v>
      </c>
      <c r="O8" s="3">
        <v>0.0</v>
      </c>
      <c r="P8" s="3">
        <v>0.1268</v>
      </c>
      <c r="Q8" s="3">
        <v>1.0E-4</v>
      </c>
      <c r="R8" s="3">
        <v>0.3131</v>
      </c>
      <c r="S8" s="3">
        <v>43.67</v>
      </c>
      <c r="T8" s="3">
        <v>89.0</v>
      </c>
      <c r="U8" s="3">
        <f t="shared" si="2"/>
        <v>25.7</v>
      </c>
      <c r="V8" s="3"/>
      <c r="W8" s="3">
        <f t="shared" si="3"/>
        <v>25.67445041</v>
      </c>
      <c r="X8" s="3">
        <f t="shared" si="4"/>
        <v>4.857553428</v>
      </c>
      <c r="Y8" s="3">
        <f t="shared" si="5"/>
        <v>4.67148281</v>
      </c>
      <c r="Z8" s="3">
        <f t="shared" ref="Z8:AA8" si="11">_xlfn.NORM.S.DIST(X8)</f>
        <v>0.9999994058</v>
      </c>
      <c r="AA8" s="3">
        <f t="shared" si="11"/>
        <v>0.9999985048</v>
      </c>
      <c r="AB8" s="3"/>
      <c r="AC8" s="3"/>
    </row>
    <row r="9" ht="14.25" customHeight="1">
      <c r="A9" s="3" t="s">
        <v>26</v>
      </c>
      <c r="B9" s="3" t="s">
        <v>27</v>
      </c>
      <c r="C9" s="3" t="s">
        <v>28</v>
      </c>
      <c r="D9" s="3" t="s">
        <v>29</v>
      </c>
      <c r="E9" s="3">
        <v>18.0</v>
      </c>
      <c r="F9" s="3" t="s">
        <v>27</v>
      </c>
      <c r="G9" s="3">
        <v>23.85</v>
      </c>
      <c r="I9" s="3">
        <v>27.4</v>
      </c>
      <c r="K9" s="3">
        <v>0.0</v>
      </c>
      <c r="L9" s="3">
        <v>0.0</v>
      </c>
      <c r="M9" s="3" t="s">
        <v>37</v>
      </c>
      <c r="N9" s="3">
        <v>0.997</v>
      </c>
      <c r="O9" s="3">
        <v>0.0</v>
      </c>
      <c r="P9" s="3">
        <v>0.3004</v>
      </c>
      <c r="Q9" s="3">
        <v>0.0089</v>
      </c>
      <c r="R9" s="3">
        <v>0.4114</v>
      </c>
      <c r="S9" s="3">
        <v>43.430001</v>
      </c>
      <c r="T9" s="3">
        <v>88.0</v>
      </c>
      <c r="U9" s="3">
        <f t="shared" si="2"/>
        <v>25.625</v>
      </c>
      <c r="V9" s="3"/>
      <c r="W9" s="3">
        <f t="shared" si="3"/>
        <v>25.43463995</v>
      </c>
      <c r="X9" s="3">
        <f t="shared" si="4"/>
        <v>3.745503815</v>
      </c>
      <c r="Y9" s="3">
        <f t="shared" si="5"/>
        <v>3.502392399</v>
      </c>
      <c r="Z9" s="3">
        <f t="shared" ref="Z9:AA9" si="12">_xlfn.NORM.S.DIST(X9)</f>
        <v>0.9999099839</v>
      </c>
      <c r="AA9" s="3">
        <f t="shared" si="12"/>
        <v>0.99976945</v>
      </c>
      <c r="AB9" s="3"/>
      <c r="AC9" s="3"/>
    </row>
    <row r="10" ht="14.25" customHeight="1">
      <c r="A10" s="3" t="s">
        <v>26</v>
      </c>
      <c r="B10" s="3" t="s">
        <v>27</v>
      </c>
      <c r="C10" s="3" t="s">
        <v>28</v>
      </c>
      <c r="D10" s="3" t="s">
        <v>29</v>
      </c>
      <c r="E10" s="3">
        <v>18.0</v>
      </c>
      <c r="F10" s="3" t="s">
        <v>27</v>
      </c>
      <c r="G10" s="3">
        <v>23.55</v>
      </c>
      <c r="I10" s="3">
        <v>27.1</v>
      </c>
      <c r="K10" s="3">
        <v>0.0</v>
      </c>
      <c r="L10" s="3">
        <v>0.0</v>
      </c>
      <c r="M10" s="3" t="s">
        <v>38</v>
      </c>
      <c r="N10" s="3">
        <v>0.9986</v>
      </c>
      <c r="O10" s="3">
        <v>0.0</v>
      </c>
      <c r="P10" s="3">
        <v>0.1263</v>
      </c>
      <c r="Q10" s="3">
        <v>0.0</v>
      </c>
      <c r="R10" s="3">
        <v>0.2797</v>
      </c>
      <c r="S10" s="3">
        <v>43.539999</v>
      </c>
      <c r="T10" s="3">
        <v>87.0</v>
      </c>
      <c r="U10" s="3">
        <f t="shared" si="2"/>
        <v>25.325</v>
      </c>
      <c r="V10" s="3"/>
      <c r="W10" s="3">
        <f t="shared" si="3"/>
        <v>25.5443485</v>
      </c>
      <c r="X10" s="3">
        <f t="shared" si="4"/>
        <v>5.458419445</v>
      </c>
      <c r="Y10" s="3">
        <f t="shared" si="5"/>
        <v>5.294076214</v>
      </c>
      <c r="Z10" s="3">
        <f t="shared" ref="Z10:AA10" si="13">_xlfn.NORM.S.DIST(X10)</f>
        <v>0.999999976</v>
      </c>
      <c r="AA10" s="3">
        <f t="shared" si="13"/>
        <v>0.9999999402</v>
      </c>
      <c r="AB10" s="3"/>
      <c r="AC10" s="3"/>
    </row>
    <row r="11" ht="14.25" customHeight="1">
      <c r="A11" s="3" t="s">
        <v>26</v>
      </c>
      <c r="B11" s="3" t="s">
        <v>27</v>
      </c>
      <c r="C11" s="3" t="s">
        <v>28</v>
      </c>
      <c r="D11" s="3" t="s">
        <v>29</v>
      </c>
      <c r="E11" s="3">
        <v>18.0</v>
      </c>
      <c r="F11" s="3" t="s">
        <v>27</v>
      </c>
      <c r="G11" s="3">
        <v>22.85</v>
      </c>
      <c r="I11" s="3">
        <v>27.35</v>
      </c>
      <c r="K11" s="3">
        <v>0.0</v>
      </c>
      <c r="L11" s="3">
        <v>0.0</v>
      </c>
      <c r="M11" s="3" t="s">
        <v>39</v>
      </c>
      <c r="N11" s="3">
        <v>0.9972</v>
      </c>
      <c r="O11" s="3">
        <v>0.0</v>
      </c>
      <c r="P11" s="3">
        <v>0.3038</v>
      </c>
      <c r="Q11" s="3">
        <v>7.0E-4</v>
      </c>
      <c r="R11" s="3">
        <v>0.3532</v>
      </c>
      <c r="S11" s="3">
        <v>43.239999</v>
      </c>
      <c r="T11" s="3">
        <v>86.0</v>
      </c>
      <c r="U11" s="3">
        <f t="shared" si="2"/>
        <v>25.1</v>
      </c>
      <c r="V11" s="3"/>
      <c r="W11" s="3">
        <f t="shared" si="3"/>
        <v>25.2443117</v>
      </c>
      <c r="X11" s="3">
        <f t="shared" si="4"/>
        <v>4.351789914</v>
      </c>
      <c r="Y11" s="3">
        <f t="shared" si="5"/>
        <v>4.145456459</v>
      </c>
      <c r="Z11" s="3">
        <f t="shared" ref="Z11:AA11" si="14">_xlfn.NORM.S.DIST(X11)</f>
        <v>0.9999932485</v>
      </c>
      <c r="AA11" s="3">
        <f t="shared" si="14"/>
        <v>0.9999830431</v>
      </c>
      <c r="AB11" s="3"/>
      <c r="AC11" s="3"/>
    </row>
    <row r="12" ht="14.25" customHeight="1">
      <c r="A12" s="3" t="s">
        <v>26</v>
      </c>
      <c r="B12" s="3" t="s">
        <v>27</v>
      </c>
      <c r="C12" s="3" t="s">
        <v>28</v>
      </c>
      <c r="D12" s="3" t="s">
        <v>29</v>
      </c>
      <c r="E12" s="3">
        <v>18.0</v>
      </c>
      <c r="F12" s="3" t="s">
        <v>27</v>
      </c>
      <c r="G12" s="3">
        <v>23.45</v>
      </c>
      <c r="I12" s="3">
        <v>26.65</v>
      </c>
      <c r="K12" s="3">
        <v>0.0</v>
      </c>
      <c r="L12" s="3">
        <v>0.0</v>
      </c>
      <c r="M12" s="3" t="s">
        <v>40</v>
      </c>
      <c r="N12" s="3">
        <v>0.9969</v>
      </c>
      <c r="O12" s="3">
        <v>1.0E-4</v>
      </c>
      <c r="P12" s="3">
        <v>0.301</v>
      </c>
      <c r="Q12" s="3">
        <v>0.0238</v>
      </c>
      <c r="R12" s="3">
        <v>0.4516</v>
      </c>
      <c r="S12" s="3">
        <v>43.05</v>
      </c>
      <c r="T12" s="3">
        <v>85.0</v>
      </c>
      <c r="U12" s="3">
        <f t="shared" si="2"/>
        <v>25.05</v>
      </c>
      <c r="V12" s="3"/>
      <c r="W12" s="3">
        <f t="shared" si="3"/>
        <v>25.05508597</v>
      </c>
      <c r="X12" s="3">
        <f t="shared" si="4"/>
        <v>3.456710145</v>
      </c>
      <c r="Y12" s="3">
        <f t="shared" si="5"/>
        <v>3.194431382</v>
      </c>
      <c r="Z12" s="3">
        <f t="shared" ref="Z12:AA12" si="15">_xlfn.NORM.S.DIST(X12)</f>
        <v>0.9997265937</v>
      </c>
      <c r="AA12" s="3">
        <f t="shared" si="15"/>
        <v>0.9992994671</v>
      </c>
      <c r="AB12" s="3"/>
      <c r="AC12" s="3"/>
    </row>
    <row r="13" ht="14.25" customHeight="1">
      <c r="A13" s="3" t="s">
        <v>26</v>
      </c>
      <c r="B13" s="3" t="s">
        <v>27</v>
      </c>
      <c r="C13" s="3" t="s">
        <v>28</v>
      </c>
      <c r="D13" s="3" t="s">
        <v>29</v>
      </c>
      <c r="E13" s="3">
        <v>18.0</v>
      </c>
      <c r="F13" s="3" t="s">
        <v>27</v>
      </c>
      <c r="G13" s="3">
        <v>23.95</v>
      </c>
      <c r="I13" s="3">
        <v>27.95</v>
      </c>
      <c r="K13" s="3">
        <v>0.0</v>
      </c>
      <c r="L13" s="3">
        <v>0.0</v>
      </c>
      <c r="M13" s="3" t="s">
        <v>41</v>
      </c>
      <c r="N13" s="3">
        <v>0.997</v>
      </c>
      <c r="O13" s="3">
        <v>0.0</v>
      </c>
      <c r="P13" s="3">
        <v>0.337</v>
      </c>
      <c r="Q13" s="3">
        <v>0.0039</v>
      </c>
      <c r="R13" s="3">
        <v>0.4023</v>
      </c>
      <c r="S13" s="3">
        <v>43.869999</v>
      </c>
      <c r="T13" s="3">
        <v>84.0</v>
      </c>
      <c r="U13" s="3">
        <f t="shared" si="2"/>
        <v>25.95</v>
      </c>
      <c r="V13" s="3"/>
      <c r="W13" s="3">
        <f t="shared" si="3"/>
        <v>25.87429302</v>
      </c>
      <c r="X13" s="3">
        <f t="shared" si="4"/>
        <v>3.952616935</v>
      </c>
      <c r="Y13" s="3">
        <f t="shared" si="5"/>
        <v>3.720348922</v>
      </c>
      <c r="Z13" s="3">
        <f t="shared" ref="Z13:AA13" si="16">_xlfn.NORM.S.DIST(X13)</f>
        <v>0.9999613494</v>
      </c>
      <c r="AA13" s="3">
        <f t="shared" si="16"/>
        <v>0.9999005261</v>
      </c>
      <c r="AB13" s="3"/>
      <c r="AC13" s="3"/>
    </row>
    <row r="14" ht="14.25" customHeight="1">
      <c r="A14" s="3" t="s">
        <v>26</v>
      </c>
      <c r="B14" s="3" t="s">
        <v>27</v>
      </c>
      <c r="C14" s="3" t="s">
        <v>28</v>
      </c>
      <c r="D14" s="3" t="s">
        <v>29</v>
      </c>
      <c r="E14" s="3">
        <v>18.0</v>
      </c>
      <c r="F14" s="3" t="s">
        <v>27</v>
      </c>
      <c r="G14" s="3">
        <v>23.75</v>
      </c>
      <c r="I14" s="3">
        <v>28.15</v>
      </c>
      <c r="K14" s="3">
        <v>0.0</v>
      </c>
      <c r="L14" s="3">
        <v>0.0</v>
      </c>
      <c r="M14" s="3" t="s">
        <v>42</v>
      </c>
      <c r="N14" s="3">
        <v>1.0</v>
      </c>
      <c r="O14" s="3">
        <v>0.0</v>
      </c>
      <c r="P14" s="3">
        <v>-0.0545</v>
      </c>
      <c r="Q14" s="3">
        <v>0.0</v>
      </c>
      <c r="R14" s="3">
        <v>0.2884</v>
      </c>
      <c r="S14" s="3">
        <v>44.15</v>
      </c>
      <c r="T14" s="3">
        <v>83.0</v>
      </c>
      <c r="U14" s="3">
        <f t="shared" si="2"/>
        <v>25.95</v>
      </c>
      <c r="V14" s="3"/>
      <c r="W14" s="3">
        <f t="shared" si="3"/>
        <v>26.15414955</v>
      </c>
      <c r="X14" s="3">
        <f t="shared" si="4"/>
        <v>5.504975993</v>
      </c>
      <c r="Y14" s="3">
        <f t="shared" si="5"/>
        <v>5.339462261</v>
      </c>
      <c r="Z14" s="3">
        <f t="shared" ref="Z14:AA14" si="17">_xlfn.NORM.S.DIST(X14)</f>
        <v>0.9999999815</v>
      </c>
      <c r="AA14" s="3">
        <f t="shared" si="17"/>
        <v>0.9999999534</v>
      </c>
      <c r="AB14" s="3"/>
      <c r="AC14" s="3"/>
    </row>
    <row r="15" ht="14.25" customHeight="1">
      <c r="A15" s="3" t="s">
        <v>26</v>
      </c>
      <c r="B15" s="3" t="s">
        <v>27</v>
      </c>
      <c r="C15" s="3" t="s">
        <v>28</v>
      </c>
      <c r="D15" s="3" t="s">
        <v>29</v>
      </c>
      <c r="E15" s="3">
        <v>18.0</v>
      </c>
      <c r="F15" s="3" t="s">
        <v>27</v>
      </c>
      <c r="G15" s="3">
        <v>25.1</v>
      </c>
      <c r="I15" s="3">
        <v>28.2</v>
      </c>
      <c r="K15" s="3">
        <v>0.0</v>
      </c>
      <c r="L15" s="3">
        <v>0.0</v>
      </c>
      <c r="M15" s="3" t="s">
        <v>43</v>
      </c>
      <c r="N15" s="3">
        <v>1.0</v>
      </c>
      <c r="O15" s="3">
        <v>0.0</v>
      </c>
      <c r="P15" s="3">
        <v>-0.0545</v>
      </c>
      <c r="Q15" s="3">
        <v>0.0</v>
      </c>
      <c r="R15" s="3">
        <v>0.2733</v>
      </c>
      <c r="S15" s="3">
        <v>44.639999</v>
      </c>
      <c r="T15" s="3">
        <v>82.0</v>
      </c>
      <c r="U15" s="3">
        <f t="shared" si="2"/>
        <v>26.65</v>
      </c>
      <c r="V15" s="3"/>
      <c r="W15" s="3">
        <f t="shared" si="3"/>
        <v>26.64409854</v>
      </c>
      <c r="X15" s="3">
        <f t="shared" si="4"/>
        <v>5.905313438</v>
      </c>
      <c r="Y15" s="3">
        <f t="shared" si="5"/>
        <v>5.749413376</v>
      </c>
      <c r="Z15" s="3">
        <f t="shared" ref="Z15:AA15" si="18">_xlfn.NORM.S.DIST(X15)</f>
        <v>0.9999999982</v>
      </c>
      <c r="AA15" s="3">
        <f t="shared" si="18"/>
        <v>0.9999999955</v>
      </c>
      <c r="AB15" s="3"/>
      <c r="AC15" s="3"/>
    </row>
    <row r="16" ht="14.25" customHeight="1">
      <c r="A16" s="3" t="s">
        <v>26</v>
      </c>
      <c r="B16" s="3" t="s">
        <v>27</v>
      </c>
      <c r="C16" s="3" t="s">
        <v>28</v>
      </c>
      <c r="D16" s="3" t="s">
        <v>29</v>
      </c>
      <c r="E16" s="3">
        <v>18.0</v>
      </c>
      <c r="F16" s="3" t="s">
        <v>27</v>
      </c>
      <c r="G16" s="3">
        <v>24.8</v>
      </c>
      <c r="I16" s="3">
        <v>28.1</v>
      </c>
      <c r="K16" s="3">
        <v>0.0</v>
      </c>
      <c r="L16" s="3">
        <v>0.0</v>
      </c>
      <c r="M16" s="3" t="s">
        <v>44</v>
      </c>
      <c r="N16" s="3">
        <v>1.0</v>
      </c>
      <c r="O16" s="3">
        <v>0.0</v>
      </c>
      <c r="P16" s="3">
        <v>-0.0547</v>
      </c>
      <c r="Q16" s="3">
        <v>4.0E-4</v>
      </c>
      <c r="R16" s="3">
        <v>0.364</v>
      </c>
      <c r="S16" s="3">
        <v>44.3</v>
      </c>
      <c r="T16" s="3">
        <v>81.0</v>
      </c>
      <c r="U16" s="3">
        <f t="shared" si="2"/>
        <v>26.45</v>
      </c>
      <c r="V16" s="3"/>
      <c r="W16" s="3">
        <f t="shared" si="3"/>
        <v>26.30405727</v>
      </c>
      <c r="X16" s="3">
        <f t="shared" si="4"/>
        <v>4.468373139</v>
      </c>
      <c r="Y16" s="3">
        <f t="shared" si="5"/>
        <v>4.262004537</v>
      </c>
      <c r="Z16" s="3">
        <f t="shared" ref="Z16:AA16" si="19">_xlfn.NORM.S.DIST(X16)</f>
        <v>0.9999960592</v>
      </c>
      <c r="AA16" s="3">
        <f t="shared" si="19"/>
        <v>0.9999898699</v>
      </c>
      <c r="AB16" s="3"/>
      <c r="AC16" s="3"/>
    </row>
    <row r="17" ht="14.25" customHeight="1">
      <c r="A17" s="3" t="s">
        <v>26</v>
      </c>
      <c r="B17" s="3" t="s">
        <v>27</v>
      </c>
      <c r="C17" s="3" t="s">
        <v>28</v>
      </c>
      <c r="D17" s="3" t="s">
        <v>29</v>
      </c>
      <c r="E17" s="3">
        <v>18.0</v>
      </c>
      <c r="F17" s="3" t="s">
        <v>27</v>
      </c>
      <c r="G17" s="3">
        <v>24.6</v>
      </c>
      <c r="I17" s="3">
        <v>29.1</v>
      </c>
      <c r="K17" s="3">
        <v>0.0</v>
      </c>
      <c r="L17" s="3">
        <v>0.0</v>
      </c>
      <c r="M17" s="3" t="s">
        <v>45</v>
      </c>
      <c r="N17" s="3">
        <v>1.0</v>
      </c>
      <c r="O17" s="3">
        <v>0.0</v>
      </c>
      <c r="P17" s="3">
        <v>-0.0545</v>
      </c>
      <c r="Q17" s="3">
        <v>0.0</v>
      </c>
      <c r="R17" s="3">
        <v>0.3288</v>
      </c>
      <c r="S17" s="3">
        <v>44.66</v>
      </c>
      <c r="T17" s="3">
        <v>80.0</v>
      </c>
      <c r="U17" s="3">
        <f t="shared" si="2"/>
        <v>26.85</v>
      </c>
      <c r="V17" s="3"/>
      <c r="W17" s="3">
        <f t="shared" si="3"/>
        <v>26.66400002</v>
      </c>
      <c r="X17" s="3">
        <f t="shared" si="4"/>
        <v>4.998919755</v>
      </c>
      <c r="Y17" s="3">
        <f t="shared" si="5"/>
        <v>4.813661942</v>
      </c>
      <c r="Z17" s="3">
        <f t="shared" ref="Z17:AA17" si="20">_xlfn.NORM.S.DIST(X17)</f>
        <v>0.9999997117</v>
      </c>
      <c r="AA17" s="3">
        <f t="shared" si="20"/>
        <v>0.9999992591</v>
      </c>
      <c r="AB17" s="3"/>
      <c r="AC17" s="3"/>
    </row>
    <row r="18" ht="14.25" customHeight="1">
      <c r="A18" s="3" t="s">
        <v>26</v>
      </c>
      <c r="B18" s="3" t="s">
        <v>27</v>
      </c>
      <c r="C18" s="3" t="s">
        <v>28</v>
      </c>
      <c r="D18" s="3" t="s">
        <v>29</v>
      </c>
      <c r="E18" s="3">
        <v>18.0</v>
      </c>
      <c r="F18" s="3" t="s">
        <v>27</v>
      </c>
      <c r="G18" s="3">
        <v>25.15</v>
      </c>
      <c r="I18" s="3">
        <v>29.15</v>
      </c>
      <c r="K18" s="3">
        <v>0.0</v>
      </c>
      <c r="L18" s="3">
        <v>0.0</v>
      </c>
      <c r="M18" s="3" t="s">
        <v>46</v>
      </c>
      <c r="N18" s="3">
        <v>0.9984</v>
      </c>
      <c r="O18" s="3">
        <v>0.0</v>
      </c>
      <c r="P18" s="3">
        <v>0.1836</v>
      </c>
      <c r="Q18" s="3">
        <v>0.0</v>
      </c>
      <c r="R18" s="3">
        <v>0.2899</v>
      </c>
      <c r="S18" s="3">
        <v>45.290003</v>
      </c>
      <c r="T18" s="3">
        <v>79.0</v>
      </c>
      <c r="U18" s="3">
        <f t="shared" si="2"/>
        <v>27.15</v>
      </c>
      <c r="V18" s="3"/>
      <c r="W18" s="3">
        <f t="shared" si="3"/>
        <v>27.29395257</v>
      </c>
      <c r="X18" s="3">
        <f t="shared" si="4"/>
        <v>5.767188197</v>
      </c>
      <c r="Y18" s="3">
        <f t="shared" si="5"/>
        <v>5.604872138</v>
      </c>
      <c r="Z18" s="3">
        <f t="shared" ref="Z18:AA18" si="21">_xlfn.NORM.S.DIST(X18)</f>
        <v>0.999999996</v>
      </c>
      <c r="AA18" s="3">
        <f t="shared" si="21"/>
        <v>0.9999999896</v>
      </c>
      <c r="AB18" s="3"/>
      <c r="AC18" s="3"/>
    </row>
    <row r="19" ht="14.25" customHeight="1">
      <c r="A19" s="3" t="s">
        <v>26</v>
      </c>
      <c r="B19" s="3" t="s">
        <v>27</v>
      </c>
      <c r="C19" s="3" t="s">
        <v>28</v>
      </c>
      <c r="D19" s="3" t="s">
        <v>29</v>
      </c>
      <c r="E19" s="3">
        <v>18.0</v>
      </c>
      <c r="F19" s="3" t="s">
        <v>27</v>
      </c>
      <c r="G19" s="3">
        <v>25.55</v>
      </c>
      <c r="I19" s="3">
        <v>28.7</v>
      </c>
      <c r="K19" s="3">
        <v>0.0</v>
      </c>
      <c r="L19" s="3">
        <v>0.0</v>
      </c>
      <c r="M19" s="3" t="s">
        <v>47</v>
      </c>
      <c r="N19" s="3">
        <v>0.9968</v>
      </c>
      <c r="O19" s="3">
        <v>0.0</v>
      </c>
      <c r="P19" s="3">
        <v>0.4233</v>
      </c>
      <c r="Q19" s="3">
        <v>0.0</v>
      </c>
      <c r="R19" s="3">
        <v>0.3366</v>
      </c>
      <c r="S19" s="3">
        <v>45.18</v>
      </c>
      <c r="T19" s="3">
        <v>78.0</v>
      </c>
      <c r="U19" s="3">
        <f t="shared" si="2"/>
        <v>27.125</v>
      </c>
      <c r="V19" s="3"/>
      <c r="W19" s="3">
        <f t="shared" si="3"/>
        <v>27.18390002</v>
      </c>
      <c r="X19" s="3">
        <f t="shared" si="4"/>
        <v>5.009073218</v>
      </c>
      <c r="Y19" s="3">
        <f t="shared" si="5"/>
        <v>4.821806266</v>
      </c>
      <c r="Z19" s="3">
        <f t="shared" ref="Z19:AA19" si="22">_xlfn.NORM.S.DIST(X19)</f>
        <v>0.9999997265</v>
      </c>
      <c r="AA19" s="3">
        <f t="shared" si="22"/>
        <v>0.9999992887</v>
      </c>
      <c r="AB19" s="3"/>
      <c r="AC19" s="3"/>
    </row>
    <row r="20" ht="14.25" customHeight="1">
      <c r="A20" s="3" t="s">
        <v>26</v>
      </c>
      <c r="B20" s="3" t="s">
        <v>27</v>
      </c>
      <c r="C20" s="3" t="s">
        <v>28</v>
      </c>
      <c r="D20" s="3" t="s">
        <v>29</v>
      </c>
      <c r="E20" s="3">
        <v>18.0</v>
      </c>
      <c r="F20" s="3" t="s">
        <v>27</v>
      </c>
      <c r="G20" s="3">
        <v>24.7</v>
      </c>
      <c r="I20" s="3">
        <v>29.05</v>
      </c>
      <c r="K20" s="3">
        <v>0.0</v>
      </c>
      <c r="L20" s="3">
        <v>0.0</v>
      </c>
      <c r="M20" s="3" t="s">
        <v>48</v>
      </c>
      <c r="N20" s="3">
        <v>0.9949</v>
      </c>
      <c r="O20" s="3">
        <v>4.0E-4</v>
      </c>
      <c r="P20" s="3">
        <v>0.2648</v>
      </c>
      <c r="Q20" s="3">
        <v>0.1484</v>
      </c>
      <c r="R20" s="3">
        <v>0.6105</v>
      </c>
      <c r="S20" s="3">
        <v>44.639999</v>
      </c>
      <c r="T20" s="3">
        <v>77.0</v>
      </c>
      <c r="U20" s="3">
        <f t="shared" si="2"/>
        <v>26.875</v>
      </c>
      <c r="V20" s="3"/>
      <c r="W20" s="3">
        <f t="shared" si="3"/>
        <v>26.65413111</v>
      </c>
      <c r="X20" s="3">
        <f t="shared" si="4"/>
        <v>2.860770071</v>
      </c>
      <c r="Y20" s="3">
        <f t="shared" si="5"/>
        <v>2.523303499</v>
      </c>
      <c r="Z20" s="3">
        <f t="shared" ref="Z20:AA20" si="23">_xlfn.NORM.S.DIST(X20)</f>
        <v>0.9978869329</v>
      </c>
      <c r="AA20" s="3">
        <f t="shared" si="23"/>
        <v>0.9941870993</v>
      </c>
      <c r="AB20" s="3"/>
      <c r="AC20" s="3"/>
    </row>
    <row r="21" ht="14.25" customHeight="1">
      <c r="A21" s="3" t="s">
        <v>26</v>
      </c>
      <c r="B21" s="3" t="s">
        <v>27</v>
      </c>
      <c r="C21" s="3" t="s">
        <v>28</v>
      </c>
      <c r="D21" s="3" t="s">
        <v>29</v>
      </c>
      <c r="E21" s="3">
        <v>18.0</v>
      </c>
      <c r="F21" s="3" t="s">
        <v>27</v>
      </c>
      <c r="G21" s="3">
        <v>24.8</v>
      </c>
      <c r="I21" s="3">
        <v>28.05</v>
      </c>
      <c r="K21" s="3">
        <v>0.0</v>
      </c>
      <c r="L21" s="3">
        <v>0.0</v>
      </c>
      <c r="M21" s="3" t="s">
        <v>49</v>
      </c>
      <c r="N21" s="3">
        <v>0.9968</v>
      </c>
      <c r="O21" s="3">
        <v>0.0</v>
      </c>
      <c r="P21" s="3">
        <v>0.414</v>
      </c>
      <c r="Q21" s="3">
        <v>0.0038</v>
      </c>
      <c r="R21" s="3">
        <v>0.4321</v>
      </c>
      <c r="S21" s="3">
        <v>44.4</v>
      </c>
      <c r="T21" s="3">
        <v>76.0</v>
      </c>
      <c r="U21" s="3">
        <f t="shared" si="2"/>
        <v>26.425</v>
      </c>
      <c r="V21" s="3"/>
      <c r="W21" s="3">
        <f t="shared" si="3"/>
        <v>26.40391035</v>
      </c>
      <c r="X21" s="3">
        <f t="shared" si="4"/>
        <v>3.92435087</v>
      </c>
      <c r="Y21" s="3">
        <f t="shared" si="5"/>
        <v>3.687054665</v>
      </c>
      <c r="Z21" s="3">
        <f t="shared" ref="Z21:AA21" si="24">_xlfn.NORM.S.DIST(X21)</f>
        <v>0.999956518</v>
      </c>
      <c r="AA21" s="3">
        <f t="shared" si="24"/>
        <v>0.9998865677</v>
      </c>
      <c r="AB21" s="3"/>
      <c r="AC21" s="3"/>
    </row>
    <row r="22" ht="14.25" customHeight="1">
      <c r="A22" s="3" t="s">
        <v>26</v>
      </c>
      <c r="B22" s="3" t="s">
        <v>27</v>
      </c>
      <c r="C22" s="3" t="s">
        <v>28</v>
      </c>
      <c r="D22" s="3" t="s">
        <v>29</v>
      </c>
      <c r="E22" s="3">
        <v>18.0</v>
      </c>
      <c r="F22" s="3" t="s">
        <v>27</v>
      </c>
      <c r="G22" s="3">
        <v>24.45</v>
      </c>
      <c r="I22" s="3">
        <v>28.8</v>
      </c>
      <c r="K22" s="3">
        <v>0.0</v>
      </c>
      <c r="L22" s="3">
        <v>0.0</v>
      </c>
      <c r="M22" s="3" t="s">
        <v>50</v>
      </c>
      <c r="N22" s="3">
        <v>0.9969</v>
      </c>
      <c r="O22" s="3">
        <v>0.0</v>
      </c>
      <c r="P22" s="3">
        <v>0.4208</v>
      </c>
      <c r="Q22" s="3">
        <v>0.0</v>
      </c>
      <c r="R22" s="3">
        <v>0.3209</v>
      </c>
      <c r="S22" s="3">
        <v>44.780002</v>
      </c>
      <c r="T22" s="3">
        <v>75.0</v>
      </c>
      <c r="U22" s="3">
        <f t="shared" si="2"/>
        <v>26.625</v>
      </c>
      <c r="V22" s="3"/>
      <c r="W22" s="3">
        <f t="shared" si="3"/>
        <v>26.78375169</v>
      </c>
      <c r="X22" s="3">
        <f t="shared" si="4"/>
        <v>5.294722303</v>
      </c>
      <c r="Y22" s="3">
        <f t="shared" si="5"/>
        <v>5.119657001</v>
      </c>
      <c r="Z22" s="3">
        <f t="shared" ref="Z22:AA22" si="25">_xlfn.NORM.S.DIST(X22)</f>
        <v>0.9999999404</v>
      </c>
      <c r="AA22" s="3">
        <f t="shared" si="25"/>
        <v>0.999999847</v>
      </c>
      <c r="AB22" s="3"/>
      <c r="AC22" s="3"/>
    </row>
    <row r="23" ht="14.25" customHeight="1">
      <c r="A23" s="3" t="s">
        <v>26</v>
      </c>
      <c r="B23" s="3" t="s">
        <v>27</v>
      </c>
      <c r="C23" s="3" t="s">
        <v>51</v>
      </c>
      <c r="D23" s="3" t="s">
        <v>29</v>
      </c>
      <c r="E23" s="3">
        <v>18.0</v>
      </c>
      <c r="F23" s="3" t="s">
        <v>27</v>
      </c>
      <c r="G23" s="3">
        <v>25.05</v>
      </c>
      <c r="I23" s="3">
        <v>29.5</v>
      </c>
      <c r="K23" s="3">
        <v>0.0</v>
      </c>
      <c r="L23" s="3">
        <v>0.0</v>
      </c>
      <c r="M23" s="3" t="s">
        <v>52</v>
      </c>
      <c r="N23" s="3">
        <v>0.9969</v>
      </c>
      <c r="O23" s="3">
        <v>0.0</v>
      </c>
      <c r="P23" s="3">
        <v>0.4294</v>
      </c>
      <c r="Q23" s="3">
        <v>4.0E-4</v>
      </c>
      <c r="R23" s="3">
        <v>0.391</v>
      </c>
      <c r="S23" s="3">
        <v>45.290003</v>
      </c>
      <c r="T23" s="3">
        <v>74.0</v>
      </c>
      <c r="U23" s="3">
        <f t="shared" si="2"/>
        <v>27.275</v>
      </c>
      <c r="V23" s="3"/>
      <c r="W23" s="3">
        <f t="shared" si="3"/>
        <v>27.293711</v>
      </c>
      <c r="X23" s="3">
        <f t="shared" si="4"/>
        <v>4.461779066</v>
      </c>
      <c r="Y23" s="3">
        <f t="shared" si="5"/>
        <v>4.249897904</v>
      </c>
      <c r="Z23" s="3">
        <f t="shared" ref="Z23:AA23" si="26">_xlfn.NORM.S.DIST(X23)</f>
        <v>0.9999959359</v>
      </c>
      <c r="AA23" s="3">
        <f t="shared" si="26"/>
        <v>0.9999893066</v>
      </c>
      <c r="AB23" s="3"/>
      <c r="AC23" s="3"/>
    </row>
    <row r="24" ht="14.25" customHeight="1">
      <c r="A24" s="3" t="s">
        <v>26</v>
      </c>
      <c r="B24" s="3" t="s">
        <v>27</v>
      </c>
      <c r="C24" s="3" t="s">
        <v>51</v>
      </c>
      <c r="D24" s="3" t="s">
        <v>29</v>
      </c>
      <c r="E24" s="3">
        <v>18.0</v>
      </c>
      <c r="F24" s="3" t="s">
        <v>27</v>
      </c>
      <c r="G24" s="3">
        <v>24.45</v>
      </c>
      <c r="I24" s="3">
        <v>28.45</v>
      </c>
      <c r="K24" s="3">
        <v>0.0</v>
      </c>
      <c r="L24" s="3">
        <v>0.0</v>
      </c>
      <c r="M24" s="3" t="s">
        <v>53</v>
      </c>
      <c r="N24" s="3">
        <v>0.997</v>
      </c>
      <c r="O24" s="3">
        <v>0.0</v>
      </c>
      <c r="P24" s="3">
        <v>0.4171</v>
      </c>
      <c r="Q24" s="3">
        <v>0.0</v>
      </c>
      <c r="R24" s="3">
        <v>0.306</v>
      </c>
      <c r="S24" s="3">
        <v>44.26</v>
      </c>
      <c r="T24" s="3">
        <v>73.0</v>
      </c>
      <c r="U24" s="3">
        <f t="shared" si="2"/>
        <v>26.45</v>
      </c>
      <c r="V24" s="3"/>
      <c r="W24" s="3">
        <f t="shared" si="3"/>
        <v>26.26364965</v>
      </c>
      <c r="X24" s="3">
        <f t="shared" si="4"/>
        <v>5.546435193</v>
      </c>
      <c r="Y24" s="3">
        <f t="shared" si="5"/>
        <v>5.381739369</v>
      </c>
      <c r="Z24" s="3">
        <f t="shared" ref="Z24:AA24" si="27">_xlfn.NORM.S.DIST(X24)</f>
        <v>0.9999999854</v>
      </c>
      <c r="AA24" s="3">
        <f t="shared" si="27"/>
        <v>0.9999999631</v>
      </c>
      <c r="AB24" s="3"/>
      <c r="AC24" s="3"/>
    </row>
    <row r="25" ht="14.25" customHeight="1">
      <c r="A25" s="3" t="s">
        <v>26</v>
      </c>
      <c r="B25" s="3" t="s">
        <v>27</v>
      </c>
      <c r="C25" s="3" t="s">
        <v>51</v>
      </c>
      <c r="D25" s="3" t="s">
        <v>29</v>
      </c>
      <c r="E25" s="3">
        <v>18.0</v>
      </c>
      <c r="F25" s="3" t="s">
        <v>27</v>
      </c>
      <c r="G25" s="3">
        <v>24.95</v>
      </c>
      <c r="I25" s="3">
        <v>28.7</v>
      </c>
      <c r="K25" s="3">
        <v>0.0</v>
      </c>
      <c r="L25" s="3">
        <v>0.0</v>
      </c>
      <c r="M25" s="3" t="s">
        <v>54</v>
      </c>
      <c r="N25" s="3">
        <v>0.9971</v>
      </c>
      <c r="O25" s="3">
        <v>0.0</v>
      </c>
      <c r="P25" s="3">
        <v>0.4233</v>
      </c>
      <c r="Q25" s="3">
        <v>0.0</v>
      </c>
      <c r="R25" s="3">
        <v>0.2828</v>
      </c>
      <c r="S25" s="3">
        <v>45.000002</v>
      </c>
      <c r="T25" s="3">
        <v>72.0</v>
      </c>
      <c r="U25" s="3">
        <f t="shared" si="2"/>
        <v>26.825</v>
      </c>
      <c r="V25" s="3"/>
      <c r="W25" s="3">
        <f t="shared" si="3"/>
        <v>27.00360164</v>
      </c>
      <c r="X25" s="3">
        <f t="shared" si="4"/>
        <v>6.138513734</v>
      </c>
      <c r="Y25" s="3">
        <f t="shared" si="5"/>
        <v>5.987350775</v>
      </c>
      <c r="Z25" s="3">
        <f t="shared" ref="Z25:AA25" si="28">_xlfn.NORM.S.DIST(X25)</f>
        <v>0.9999999996</v>
      </c>
      <c r="AA25" s="3">
        <f t="shared" si="28"/>
        <v>0.9999999989</v>
      </c>
      <c r="AB25" s="3"/>
      <c r="AC25" s="3"/>
    </row>
    <row r="26" ht="14.25" customHeight="1">
      <c r="A26" s="3" t="s">
        <v>26</v>
      </c>
      <c r="B26" s="3" t="s">
        <v>27</v>
      </c>
      <c r="C26" s="3" t="s">
        <v>51</v>
      </c>
      <c r="D26" s="3" t="s">
        <v>29</v>
      </c>
      <c r="E26" s="3">
        <v>18.0</v>
      </c>
      <c r="F26" s="3" t="s">
        <v>27</v>
      </c>
      <c r="G26" s="3">
        <v>25.05</v>
      </c>
      <c r="I26" s="3">
        <v>28.6</v>
      </c>
      <c r="K26" s="3">
        <v>0.0</v>
      </c>
      <c r="L26" s="3">
        <v>0.0</v>
      </c>
      <c r="M26" s="3" t="s">
        <v>55</v>
      </c>
      <c r="N26" s="3">
        <v>0.9971</v>
      </c>
      <c r="O26" s="3">
        <v>0.0</v>
      </c>
      <c r="P26" s="3">
        <v>0.4209</v>
      </c>
      <c r="Q26" s="3">
        <v>0.0</v>
      </c>
      <c r="R26" s="3">
        <v>0.2658</v>
      </c>
      <c r="S26" s="3">
        <v>45.090001</v>
      </c>
      <c r="T26" s="3">
        <v>71.0</v>
      </c>
      <c r="U26" s="3">
        <f t="shared" si="2"/>
        <v>26.825</v>
      </c>
      <c r="V26" s="3"/>
      <c r="W26" s="3">
        <f t="shared" si="3"/>
        <v>27.09355065</v>
      </c>
      <c r="X26" s="3">
        <f t="shared" si="4"/>
        <v>6.580657845</v>
      </c>
      <c r="Y26" s="3">
        <f t="shared" si="5"/>
        <v>6.439571858</v>
      </c>
      <c r="Z26" s="3">
        <f t="shared" ref="Z26:AA26" si="29">_xlfn.NORM.S.DIST(X26)</f>
        <v>1</v>
      </c>
      <c r="AA26" s="3">
        <f t="shared" si="29"/>
        <v>0.9999999999</v>
      </c>
      <c r="AB26" s="3"/>
      <c r="AC26" s="3"/>
    </row>
    <row r="27" ht="14.25" customHeight="1">
      <c r="A27" s="3" t="s">
        <v>26</v>
      </c>
      <c r="B27" s="3" t="s">
        <v>27</v>
      </c>
      <c r="C27" s="3" t="s">
        <v>51</v>
      </c>
      <c r="D27" s="3" t="s">
        <v>29</v>
      </c>
      <c r="E27" s="3">
        <v>18.0</v>
      </c>
      <c r="F27" s="3" t="s">
        <v>27</v>
      </c>
      <c r="G27" s="3">
        <v>25.1</v>
      </c>
      <c r="I27" s="3">
        <v>28.75</v>
      </c>
      <c r="K27" s="3">
        <v>0.0</v>
      </c>
      <c r="L27" s="3">
        <v>0.0</v>
      </c>
      <c r="M27" s="3" t="s">
        <v>56</v>
      </c>
      <c r="N27" s="3">
        <v>0.9986</v>
      </c>
      <c r="O27" s="3">
        <v>0.0</v>
      </c>
      <c r="P27" s="3">
        <v>0.18</v>
      </c>
      <c r="Q27" s="3">
        <v>0.0</v>
      </c>
      <c r="R27" s="3">
        <v>0.2989</v>
      </c>
      <c r="S27" s="3">
        <v>45.010002</v>
      </c>
      <c r="T27" s="3">
        <v>70.0</v>
      </c>
      <c r="U27" s="3">
        <f t="shared" si="2"/>
        <v>26.925</v>
      </c>
      <c r="V27" s="3"/>
      <c r="W27" s="3">
        <f t="shared" si="3"/>
        <v>27.01350166</v>
      </c>
      <c r="X27" s="3">
        <f t="shared" si="4"/>
        <v>5.897870558</v>
      </c>
      <c r="Y27" s="3">
        <f t="shared" si="5"/>
        <v>5.740336426</v>
      </c>
      <c r="Z27" s="3">
        <f t="shared" ref="Z27:AA27" si="30">_xlfn.NORM.S.DIST(X27)</f>
        <v>0.9999999982</v>
      </c>
      <c r="AA27" s="3">
        <f t="shared" si="30"/>
        <v>0.9999999953</v>
      </c>
      <c r="AB27" s="3"/>
      <c r="AC27" s="3"/>
    </row>
    <row r="28" ht="14.25" customHeight="1">
      <c r="A28" s="3" t="s">
        <v>26</v>
      </c>
      <c r="B28" s="3" t="s">
        <v>27</v>
      </c>
      <c r="C28" s="3" t="s">
        <v>51</v>
      </c>
      <c r="D28" s="3" t="s">
        <v>29</v>
      </c>
      <c r="E28" s="3">
        <v>18.0</v>
      </c>
      <c r="F28" s="3" t="s">
        <v>27</v>
      </c>
      <c r="G28" s="3">
        <v>24.9</v>
      </c>
      <c r="I28" s="3">
        <v>29.45</v>
      </c>
      <c r="K28" s="3">
        <v>0.0</v>
      </c>
      <c r="L28" s="3">
        <v>0.0</v>
      </c>
      <c r="M28" s="3" t="s">
        <v>57</v>
      </c>
      <c r="N28" s="3">
        <v>0.9972</v>
      </c>
      <c r="O28" s="3">
        <v>0.0</v>
      </c>
      <c r="P28" s="3">
        <v>0.411</v>
      </c>
      <c r="Q28" s="3">
        <v>0.0016</v>
      </c>
      <c r="R28" s="3">
        <v>0.4359</v>
      </c>
      <c r="S28" s="3">
        <v>45.080002</v>
      </c>
      <c r="T28" s="3">
        <v>69.0</v>
      </c>
      <c r="U28" s="3">
        <f t="shared" si="2"/>
        <v>27.175</v>
      </c>
      <c r="V28" s="3"/>
      <c r="W28" s="3">
        <f t="shared" si="3"/>
        <v>27.08349281</v>
      </c>
      <c r="X28" s="3">
        <f t="shared" si="4"/>
        <v>4.139861905</v>
      </c>
      <c r="Y28" s="3">
        <f t="shared" si="5"/>
        <v>3.911769333</v>
      </c>
      <c r="Z28" s="3">
        <f t="shared" ref="Z28:AA28" si="31">_xlfn.NORM.S.DIST(X28)</f>
        <v>0.9999826243</v>
      </c>
      <c r="AA28" s="3">
        <f t="shared" si="31"/>
        <v>0.9999541888</v>
      </c>
      <c r="AB28" s="3"/>
      <c r="AC28" s="3"/>
    </row>
    <row r="29" ht="14.25" customHeight="1">
      <c r="A29" s="3" t="s">
        <v>26</v>
      </c>
      <c r="B29" s="3" t="s">
        <v>27</v>
      </c>
      <c r="C29" s="3" t="s">
        <v>51</v>
      </c>
      <c r="D29" s="3" t="s">
        <v>29</v>
      </c>
      <c r="E29" s="3">
        <v>18.0</v>
      </c>
      <c r="F29" s="3" t="s">
        <v>27</v>
      </c>
      <c r="G29" s="3">
        <v>24.3</v>
      </c>
      <c r="I29" s="3">
        <v>28.5</v>
      </c>
      <c r="K29" s="3">
        <v>0.0</v>
      </c>
      <c r="L29" s="3">
        <v>0.0</v>
      </c>
      <c r="M29" s="3" t="s">
        <v>58</v>
      </c>
      <c r="N29" s="3">
        <v>0.9973</v>
      </c>
      <c r="O29" s="3">
        <v>0.0</v>
      </c>
      <c r="P29" s="3">
        <v>0.4121</v>
      </c>
      <c r="Q29" s="3">
        <v>0.0</v>
      </c>
      <c r="R29" s="3">
        <v>0.3557</v>
      </c>
      <c r="S29" s="3">
        <v>44.599999</v>
      </c>
      <c r="T29" s="3">
        <v>68.0</v>
      </c>
      <c r="U29" s="3">
        <f t="shared" si="2"/>
        <v>26.4</v>
      </c>
      <c r="V29" s="3"/>
      <c r="W29" s="3">
        <f t="shared" si="3"/>
        <v>26.60339912</v>
      </c>
      <c r="X29" s="3">
        <f t="shared" si="4"/>
        <v>5.004099297</v>
      </c>
      <c r="Y29" s="3">
        <f t="shared" si="5"/>
        <v>4.819326493</v>
      </c>
      <c r="Z29" s="3">
        <f t="shared" ref="Z29:AA29" si="32">_xlfn.NORM.S.DIST(X29)</f>
        <v>0.9999997194</v>
      </c>
      <c r="AA29" s="3">
        <f t="shared" si="32"/>
        <v>0.9999992798</v>
      </c>
      <c r="AB29" s="3"/>
      <c r="AC29" s="3"/>
    </row>
    <row r="30" ht="14.25" customHeight="1">
      <c r="A30" s="3" t="s">
        <v>26</v>
      </c>
      <c r="B30" s="3" t="s">
        <v>27</v>
      </c>
      <c r="C30" s="3" t="s">
        <v>51</v>
      </c>
      <c r="D30" s="3" t="s">
        <v>29</v>
      </c>
      <c r="E30" s="3">
        <v>18.0</v>
      </c>
      <c r="F30" s="3" t="s">
        <v>27</v>
      </c>
      <c r="G30" s="3">
        <v>24.5</v>
      </c>
      <c r="I30" s="3">
        <v>28.95</v>
      </c>
      <c r="K30" s="3">
        <v>0.0</v>
      </c>
      <c r="L30" s="3">
        <v>0.0</v>
      </c>
      <c r="M30" s="3" t="s">
        <v>59</v>
      </c>
      <c r="N30" s="3">
        <v>0.9973</v>
      </c>
      <c r="O30" s="3">
        <v>0.0</v>
      </c>
      <c r="P30" s="3">
        <v>0.4076</v>
      </c>
      <c r="Q30" s="3">
        <v>0.0</v>
      </c>
      <c r="R30" s="3">
        <v>0.353</v>
      </c>
      <c r="S30" s="3">
        <v>44.62</v>
      </c>
      <c r="T30" s="3">
        <v>67.0</v>
      </c>
      <c r="U30" s="3">
        <f t="shared" si="2"/>
        <v>26.725</v>
      </c>
      <c r="V30" s="3"/>
      <c r="W30" s="3">
        <f t="shared" si="3"/>
        <v>26.62334998</v>
      </c>
      <c r="X30" s="3">
        <f t="shared" si="4"/>
        <v>5.079535834</v>
      </c>
      <c r="Y30" s="3">
        <f t="shared" si="5"/>
        <v>4.897518882</v>
      </c>
      <c r="Z30" s="3">
        <f t="shared" ref="Z30:AA30" si="33">_xlfn.NORM.S.DIST(X30)</f>
        <v>0.9999998108</v>
      </c>
      <c r="AA30" s="3">
        <f t="shared" si="33"/>
        <v>0.9999995147</v>
      </c>
      <c r="AB30" s="3"/>
      <c r="AC30" s="3"/>
    </row>
    <row r="31" ht="14.25" customHeight="1">
      <c r="A31" s="3" t="s">
        <v>26</v>
      </c>
      <c r="B31" s="3" t="s">
        <v>27</v>
      </c>
      <c r="C31" s="3" t="s">
        <v>51</v>
      </c>
      <c r="D31" s="3" t="s">
        <v>29</v>
      </c>
      <c r="E31" s="3">
        <v>18.0</v>
      </c>
      <c r="F31" s="3" t="s">
        <v>27</v>
      </c>
      <c r="G31" s="3">
        <v>26.3</v>
      </c>
      <c r="I31" s="3">
        <v>27.25</v>
      </c>
      <c r="K31" s="3">
        <v>0.0</v>
      </c>
      <c r="L31" s="3">
        <v>0.0</v>
      </c>
      <c r="M31" s="3" t="s">
        <v>60</v>
      </c>
      <c r="N31" s="3">
        <v>0.9973</v>
      </c>
      <c r="O31" s="3">
        <v>0.0</v>
      </c>
      <c r="P31" s="3">
        <v>0.4137</v>
      </c>
      <c r="Q31" s="3">
        <v>0.0</v>
      </c>
      <c r="R31" s="3">
        <v>0.3719</v>
      </c>
      <c r="S31" s="3">
        <v>44.749999</v>
      </c>
      <c r="T31" s="3">
        <v>66.0</v>
      </c>
      <c r="U31" s="3">
        <f t="shared" si="2"/>
        <v>26.775</v>
      </c>
      <c r="V31" s="3"/>
      <c r="W31" s="3">
        <f t="shared" si="3"/>
        <v>26.75329958</v>
      </c>
      <c r="X31" s="3">
        <f t="shared" si="4"/>
        <v>4.881180153</v>
      </c>
      <c r="Y31" s="3">
        <f t="shared" si="5"/>
        <v>4.69085426</v>
      </c>
      <c r="Z31" s="3">
        <f t="shared" ref="Z31:AA31" si="34">_xlfn.NORM.S.DIST(X31)</f>
        <v>0.9999994727</v>
      </c>
      <c r="AA31" s="3">
        <f t="shared" si="34"/>
        <v>0.9999986397</v>
      </c>
      <c r="AB31" s="3"/>
      <c r="AC31" s="3"/>
    </row>
    <row r="32" ht="14.25" customHeight="1">
      <c r="A32" s="3" t="s">
        <v>26</v>
      </c>
      <c r="B32" s="3" t="s">
        <v>27</v>
      </c>
      <c r="C32" s="3" t="s">
        <v>51</v>
      </c>
      <c r="D32" s="3" t="s">
        <v>29</v>
      </c>
      <c r="E32" s="3">
        <v>18.0</v>
      </c>
      <c r="F32" s="3" t="s">
        <v>27</v>
      </c>
      <c r="G32" s="3">
        <v>26.2</v>
      </c>
      <c r="I32" s="3">
        <v>27.05</v>
      </c>
      <c r="K32" s="3">
        <v>0.0</v>
      </c>
      <c r="L32" s="3">
        <v>0.0</v>
      </c>
      <c r="M32" s="3" t="s">
        <v>61</v>
      </c>
      <c r="N32" s="3">
        <v>0.9973</v>
      </c>
      <c r="O32" s="3">
        <v>0.0</v>
      </c>
      <c r="P32" s="3">
        <v>0.4167</v>
      </c>
      <c r="Q32" s="3">
        <v>0.0</v>
      </c>
      <c r="R32" s="3">
        <v>0.3333</v>
      </c>
      <c r="S32" s="3">
        <v>44.580001</v>
      </c>
      <c r="T32" s="3">
        <v>65.0</v>
      </c>
      <c r="U32" s="3">
        <f t="shared" si="2"/>
        <v>26.625</v>
      </c>
      <c r="V32" s="3"/>
      <c r="W32" s="3">
        <f t="shared" si="3"/>
        <v>26.58325074</v>
      </c>
      <c r="X32" s="3">
        <f t="shared" si="4"/>
        <v>5.443352083</v>
      </c>
      <c r="Y32" s="3">
        <f t="shared" si="5"/>
        <v>5.274077512</v>
      </c>
      <c r="Z32" s="3">
        <f t="shared" ref="Z32:AA32" si="35">_xlfn.NORM.S.DIST(X32)</f>
        <v>0.9999999739</v>
      </c>
      <c r="AA32" s="3">
        <f t="shared" si="35"/>
        <v>0.9999999333</v>
      </c>
      <c r="AB32" s="3"/>
      <c r="AC32" s="3"/>
    </row>
    <row r="33" ht="14.25" customHeight="1">
      <c r="A33" s="3" t="s">
        <v>26</v>
      </c>
      <c r="B33" s="3" t="s">
        <v>27</v>
      </c>
      <c r="C33" s="3" t="s">
        <v>51</v>
      </c>
      <c r="D33" s="3" t="s">
        <v>29</v>
      </c>
      <c r="E33" s="3">
        <v>18.0</v>
      </c>
      <c r="F33" s="3" t="s">
        <v>27</v>
      </c>
      <c r="G33" s="3">
        <v>24.1</v>
      </c>
      <c r="I33" s="3">
        <v>26.0</v>
      </c>
      <c r="K33" s="3">
        <v>0.0</v>
      </c>
      <c r="L33" s="3">
        <v>0.0</v>
      </c>
      <c r="M33" s="3" t="s">
        <v>62</v>
      </c>
      <c r="N33" s="3">
        <v>0.9974</v>
      </c>
      <c r="O33" s="3">
        <v>0.0</v>
      </c>
      <c r="P33" s="3">
        <v>0.3924</v>
      </c>
      <c r="Q33" s="3">
        <v>0.0</v>
      </c>
      <c r="R33" s="3">
        <v>0.2189</v>
      </c>
      <c r="S33" s="3">
        <v>42.249999</v>
      </c>
      <c r="T33" s="3">
        <v>64.0</v>
      </c>
      <c r="U33" s="3">
        <f t="shared" si="2"/>
        <v>25.05</v>
      </c>
      <c r="V33" s="3"/>
      <c r="W33" s="3">
        <f t="shared" si="3"/>
        <v>24.25319872</v>
      </c>
      <c r="X33" s="3">
        <f t="shared" si="4"/>
        <v>7.791263894</v>
      </c>
      <c r="Y33" s="3">
        <f t="shared" si="5"/>
        <v>7.680948663</v>
      </c>
      <c r="Z33" s="3">
        <f t="shared" ref="Z33:AA33" si="36">_xlfn.NORM.S.DIST(X33)</f>
        <v>1</v>
      </c>
      <c r="AA33" s="3">
        <f t="shared" si="36"/>
        <v>1</v>
      </c>
      <c r="AB33" s="3"/>
      <c r="AC33" s="3"/>
    </row>
    <row r="34" ht="14.25" customHeight="1">
      <c r="A34" s="3" t="s">
        <v>26</v>
      </c>
      <c r="B34" s="3" t="s">
        <v>27</v>
      </c>
      <c r="C34" s="3" t="s">
        <v>51</v>
      </c>
      <c r="D34" s="3" t="s">
        <v>29</v>
      </c>
      <c r="E34" s="3">
        <v>18.0</v>
      </c>
      <c r="F34" s="3" t="s">
        <v>27</v>
      </c>
      <c r="G34" s="3">
        <v>23.4</v>
      </c>
      <c r="I34" s="3">
        <v>26.65</v>
      </c>
      <c r="K34" s="3">
        <v>0.0</v>
      </c>
      <c r="L34" s="3">
        <v>0.0</v>
      </c>
      <c r="M34" s="3" t="s">
        <v>63</v>
      </c>
      <c r="N34" s="3">
        <v>1.0</v>
      </c>
      <c r="O34" s="3">
        <v>0.0</v>
      </c>
      <c r="P34" s="3">
        <v>-0.0523</v>
      </c>
      <c r="Q34" s="3">
        <v>0.0</v>
      </c>
      <c r="R34" s="3">
        <v>0.2518</v>
      </c>
      <c r="S34" s="3">
        <v>43.01</v>
      </c>
      <c r="T34" s="3">
        <v>63.0</v>
      </c>
      <c r="U34" s="3">
        <f t="shared" si="2"/>
        <v>25.025</v>
      </c>
      <c r="V34" s="3"/>
      <c r="W34" s="3">
        <f t="shared" si="3"/>
        <v>25.01314972</v>
      </c>
      <c r="X34" s="3">
        <f t="shared" si="4"/>
        <v>6.98301266</v>
      </c>
      <c r="Y34" s="3">
        <f t="shared" si="5"/>
        <v>6.85711266</v>
      </c>
      <c r="Z34" s="3">
        <f t="shared" ref="Z34:AA34" si="37">_xlfn.NORM.S.DIST(X34)</f>
        <v>1</v>
      </c>
      <c r="AA34" s="3">
        <f t="shared" si="37"/>
        <v>1</v>
      </c>
      <c r="AB34" s="3"/>
      <c r="AC34" s="3"/>
    </row>
    <row r="35" ht="14.25" customHeight="1">
      <c r="A35" s="3" t="s">
        <v>26</v>
      </c>
      <c r="B35" s="3" t="s">
        <v>27</v>
      </c>
      <c r="C35" s="3" t="s">
        <v>51</v>
      </c>
      <c r="D35" s="3" t="s">
        <v>29</v>
      </c>
      <c r="E35" s="3">
        <v>18.0</v>
      </c>
      <c r="F35" s="3" t="s">
        <v>27</v>
      </c>
      <c r="G35" s="3">
        <v>22.5</v>
      </c>
      <c r="I35" s="3">
        <v>25.9</v>
      </c>
      <c r="K35" s="3">
        <v>0.0</v>
      </c>
      <c r="L35" s="3">
        <v>0.0</v>
      </c>
      <c r="M35" s="3" t="s">
        <v>64</v>
      </c>
      <c r="N35" s="3">
        <v>1.0</v>
      </c>
      <c r="O35" s="3">
        <v>0.0</v>
      </c>
      <c r="P35" s="3">
        <v>-0.0523</v>
      </c>
      <c r="Q35" s="3">
        <v>0.0</v>
      </c>
      <c r="R35" s="3">
        <v>0.3458</v>
      </c>
      <c r="S35" s="3">
        <v>42.24</v>
      </c>
      <c r="T35" s="3">
        <v>62.0</v>
      </c>
      <c r="U35" s="3">
        <f t="shared" si="2"/>
        <v>24.2</v>
      </c>
      <c r="V35" s="3"/>
      <c r="W35" s="3">
        <f t="shared" si="3"/>
        <v>24.24310002</v>
      </c>
      <c r="X35" s="3">
        <f t="shared" si="4"/>
        <v>5.059855821</v>
      </c>
      <c r="Y35" s="3">
        <f t="shared" si="5"/>
        <v>4.888333533</v>
      </c>
      <c r="Z35" s="3">
        <f t="shared" ref="Z35:AA35" si="38">_xlfn.NORM.S.DIST(X35)</f>
        <v>0.9999997902</v>
      </c>
      <c r="AA35" s="3">
        <f t="shared" si="38"/>
        <v>0.9999994915</v>
      </c>
      <c r="AB35" s="3"/>
      <c r="AC35" s="3"/>
    </row>
    <row r="36" ht="14.25" customHeight="1">
      <c r="A36" s="3" t="s">
        <v>26</v>
      </c>
      <c r="B36" s="3" t="s">
        <v>27</v>
      </c>
      <c r="C36" s="3" t="s">
        <v>51</v>
      </c>
      <c r="D36" s="3" t="s">
        <v>29</v>
      </c>
      <c r="E36" s="3">
        <v>18.0</v>
      </c>
      <c r="F36" s="3" t="s">
        <v>27</v>
      </c>
      <c r="G36" s="3">
        <v>23.4</v>
      </c>
      <c r="I36" s="3">
        <v>24.0</v>
      </c>
      <c r="K36" s="3">
        <v>10.0</v>
      </c>
      <c r="L36" s="3">
        <v>0.0</v>
      </c>
      <c r="M36" s="3" t="s">
        <v>65</v>
      </c>
      <c r="N36" s="3">
        <v>1.0</v>
      </c>
      <c r="O36" s="3">
        <v>0.0</v>
      </c>
      <c r="P36" s="3">
        <v>-0.0523</v>
      </c>
      <c r="Q36" s="3">
        <v>0.0</v>
      </c>
      <c r="R36" s="3">
        <v>0.3111</v>
      </c>
      <c r="S36" s="3">
        <v>41.630001</v>
      </c>
      <c r="T36" s="3">
        <v>61.0</v>
      </c>
      <c r="U36" s="3">
        <f t="shared" si="2"/>
        <v>23.7</v>
      </c>
      <c r="V36" s="3"/>
      <c r="W36" s="3">
        <f t="shared" si="3"/>
        <v>23.63305076</v>
      </c>
      <c r="X36" s="3">
        <f t="shared" si="4"/>
        <v>5.55551312</v>
      </c>
      <c r="Y36" s="3">
        <f t="shared" si="5"/>
        <v>5.402452081</v>
      </c>
      <c r="Z36" s="3">
        <f t="shared" ref="Z36:AA36" si="39">_xlfn.NORM.S.DIST(X36)</f>
        <v>0.9999999862</v>
      </c>
      <c r="AA36" s="3">
        <f t="shared" si="39"/>
        <v>0.9999999671</v>
      </c>
      <c r="AB36" s="3"/>
      <c r="AC36" s="3"/>
    </row>
    <row r="37" ht="14.25" customHeight="1">
      <c r="A37" s="3" t="s">
        <v>26</v>
      </c>
      <c r="B37" s="3" t="s">
        <v>27</v>
      </c>
      <c r="C37" s="3" t="s">
        <v>51</v>
      </c>
      <c r="D37" s="3" t="s">
        <v>29</v>
      </c>
      <c r="E37" s="3">
        <v>18.0</v>
      </c>
      <c r="F37" s="3" t="s">
        <v>27</v>
      </c>
      <c r="G37" s="3">
        <v>23.5</v>
      </c>
      <c r="I37" s="3">
        <v>24.1</v>
      </c>
      <c r="K37" s="3">
        <v>0.0</v>
      </c>
      <c r="L37" s="3">
        <v>0.0</v>
      </c>
      <c r="M37" s="3" t="s">
        <v>66</v>
      </c>
      <c r="N37" s="3">
        <v>0.9987</v>
      </c>
      <c r="O37" s="3">
        <v>0.0</v>
      </c>
      <c r="P37" s="3">
        <v>0.1697</v>
      </c>
      <c r="Q37" s="3">
        <v>0.0049</v>
      </c>
      <c r="R37" s="3">
        <v>0.4693</v>
      </c>
      <c r="S37" s="3">
        <v>41.8</v>
      </c>
      <c r="T37" s="3">
        <v>60.0</v>
      </c>
      <c r="U37" s="3">
        <f t="shared" si="2"/>
        <v>23.8</v>
      </c>
      <c r="V37" s="3"/>
      <c r="W37" s="3">
        <f t="shared" si="3"/>
        <v>23.80317564</v>
      </c>
      <c r="X37" s="3">
        <f t="shared" si="4"/>
        <v>3.794453041</v>
      </c>
      <c r="Y37" s="3">
        <f t="shared" si="5"/>
        <v>3.565458089</v>
      </c>
      <c r="Z37" s="3">
        <f t="shared" ref="Z37:AA37" si="40">_xlfn.NORM.S.DIST(X37)</f>
        <v>0.9999260154</v>
      </c>
      <c r="AA37" s="3">
        <f t="shared" si="40"/>
        <v>0.9998183894</v>
      </c>
      <c r="AB37" s="3"/>
      <c r="AC37" s="3"/>
    </row>
    <row r="38" ht="14.25" customHeight="1">
      <c r="A38" s="3" t="s">
        <v>26</v>
      </c>
      <c r="B38" s="3" t="s">
        <v>27</v>
      </c>
      <c r="C38" s="3" t="s">
        <v>51</v>
      </c>
      <c r="D38" s="3" t="s">
        <v>29</v>
      </c>
      <c r="E38" s="3">
        <v>18.0</v>
      </c>
      <c r="F38" s="3" t="s">
        <v>27</v>
      </c>
      <c r="G38" s="3">
        <v>22.55</v>
      </c>
      <c r="I38" s="3">
        <v>24.25</v>
      </c>
      <c r="K38" s="3">
        <v>0.0</v>
      </c>
      <c r="L38" s="3">
        <v>0.0</v>
      </c>
      <c r="M38" s="3" t="s">
        <v>67</v>
      </c>
      <c r="N38" s="3">
        <v>0.9988</v>
      </c>
      <c r="O38" s="3">
        <v>0.0</v>
      </c>
      <c r="P38" s="3">
        <v>0.1719</v>
      </c>
      <c r="Q38" s="3">
        <v>0.0</v>
      </c>
      <c r="R38" s="3">
        <v>0.3649</v>
      </c>
      <c r="S38" s="3">
        <v>41.289999</v>
      </c>
      <c r="T38" s="3">
        <v>59.0</v>
      </c>
      <c r="U38" s="3">
        <f t="shared" si="2"/>
        <v>23.4</v>
      </c>
      <c r="V38" s="3"/>
      <c r="W38" s="3">
        <f t="shared" si="3"/>
        <v>23.29294997</v>
      </c>
      <c r="X38" s="3">
        <f t="shared" si="4"/>
        <v>4.791490187</v>
      </c>
      <c r="Y38" s="3">
        <f t="shared" si="5"/>
        <v>4.614927228</v>
      </c>
      <c r="Z38" s="3">
        <f t="shared" ref="Z38:AA38" si="41">_xlfn.NORM.S.DIST(X38)</f>
        <v>0.9999991723</v>
      </c>
      <c r="AA38" s="3">
        <f t="shared" si="41"/>
        <v>0.9999980338</v>
      </c>
      <c r="AB38" s="3"/>
      <c r="AC38" s="3"/>
    </row>
    <row r="39" ht="14.25" customHeight="1">
      <c r="A39" s="3" t="s">
        <v>26</v>
      </c>
      <c r="B39" s="3" t="s">
        <v>27</v>
      </c>
      <c r="C39" s="3" t="s">
        <v>51</v>
      </c>
      <c r="D39" s="3" t="s">
        <v>29</v>
      </c>
      <c r="E39" s="3">
        <v>18.0</v>
      </c>
      <c r="F39" s="3" t="s">
        <v>27</v>
      </c>
      <c r="G39" s="3">
        <v>21.4</v>
      </c>
      <c r="I39" s="3">
        <v>23.95</v>
      </c>
      <c r="K39" s="3">
        <v>0.0</v>
      </c>
      <c r="L39" s="3">
        <v>0.0</v>
      </c>
      <c r="M39" s="3" t="s">
        <v>68</v>
      </c>
      <c r="N39" s="3">
        <v>0.9976</v>
      </c>
      <c r="O39" s="3">
        <v>0.0</v>
      </c>
      <c r="P39" s="3">
        <v>0.3922</v>
      </c>
      <c r="Q39" s="3">
        <v>0.0</v>
      </c>
      <c r="R39" s="3">
        <v>0.3484</v>
      </c>
      <c r="S39" s="3">
        <v>40.970001</v>
      </c>
      <c r="T39" s="3">
        <v>58.0</v>
      </c>
      <c r="U39" s="3">
        <f t="shared" si="2"/>
        <v>22.675</v>
      </c>
      <c r="V39" s="3"/>
      <c r="W39" s="3">
        <f t="shared" si="3"/>
        <v>22.97290113</v>
      </c>
      <c r="X39" s="3">
        <f t="shared" si="4"/>
        <v>5.005241073</v>
      </c>
      <c r="Y39" s="3">
        <f t="shared" si="5"/>
        <v>4.838096656</v>
      </c>
      <c r="Z39" s="3">
        <f t="shared" ref="Z39:AA39" si="42">_xlfn.NORM.S.DIST(X39)</f>
        <v>0.999999721</v>
      </c>
      <c r="AA39" s="3">
        <f t="shared" si="42"/>
        <v>0.9999993446</v>
      </c>
      <c r="AB39" s="3"/>
      <c r="AC39" s="3"/>
    </row>
    <row r="40" ht="14.25" customHeight="1">
      <c r="A40" s="3" t="s">
        <v>26</v>
      </c>
      <c r="B40" s="3" t="s">
        <v>27</v>
      </c>
      <c r="C40" s="3" t="s">
        <v>51</v>
      </c>
      <c r="D40" s="3" t="s">
        <v>29</v>
      </c>
      <c r="E40" s="3">
        <v>18.0</v>
      </c>
      <c r="F40" s="3" t="s">
        <v>27</v>
      </c>
      <c r="G40" s="3">
        <v>21.9</v>
      </c>
      <c r="I40" s="3">
        <v>23.9</v>
      </c>
      <c r="K40" s="3">
        <v>0.0</v>
      </c>
      <c r="L40" s="3">
        <v>0.0</v>
      </c>
      <c r="M40" s="3" t="s">
        <v>69</v>
      </c>
      <c r="N40" s="3">
        <v>0.9976</v>
      </c>
      <c r="O40" s="3">
        <v>0.0</v>
      </c>
      <c r="P40" s="3">
        <v>0.4082</v>
      </c>
      <c r="Q40" s="3">
        <v>0.0</v>
      </c>
      <c r="R40" s="3">
        <v>0.2876</v>
      </c>
      <c r="S40" s="3">
        <v>41.729999</v>
      </c>
      <c r="T40" s="3">
        <v>57.0</v>
      </c>
      <c r="U40" s="3">
        <f t="shared" si="2"/>
        <v>22.9</v>
      </c>
      <c r="V40" s="3"/>
      <c r="W40" s="3">
        <f t="shared" si="3"/>
        <v>23.73284877</v>
      </c>
      <c r="X40" s="3">
        <f t="shared" si="4"/>
        <v>6.216951625</v>
      </c>
      <c r="Y40" s="3">
        <f t="shared" si="5"/>
        <v>6.080170542</v>
      </c>
      <c r="Z40" s="3">
        <f t="shared" ref="Z40:AA40" si="43">_xlfn.NORM.S.DIST(X40)</f>
        <v>0.9999999997</v>
      </c>
      <c r="AA40" s="3">
        <f t="shared" si="43"/>
        <v>0.9999999994</v>
      </c>
      <c r="AB40" s="3"/>
      <c r="AC40" s="3"/>
    </row>
    <row r="41" ht="14.25" customHeight="1">
      <c r="A41" s="3" t="s">
        <v>26</v>
      </c>
      <c r="B41" s="3" t="s">
        <v>27</v>
      </c>
      <c r="C41" s="3" t="s">
        <v>51</v>
      </c>
      <c r="D41" s="3" t="s">
        <v>29</v>
      </c>
      <c r="E41" s="3">
        <v>18.0</v>
      </c>
      <c r="F41" s="3" t="s">
        <v>27</v>
      </c>
      <c r="G41" s="3">
        <v>22.5</v>
      </c>
      <c r="I41" s="3">
        <v>23.95</v>
      </c>
      <c r="K41" s="3">
        <v>0.0</v>
      </c>
      <c r="L41" s="3">
        <v>0.0</v>
      </c>
      <c r="M41" s="3" t="s">
        <v>70</v>
      </c>
      <c r="N41" s="3">
        <v>0.9975</v>
      </c>
      <c r="O41" s="3">
        <v>1.0E-4</v>
      </c>
      <c r="P41" s="3">
        <v>0.3926</v>
      </c>
      <c r="Q41" s="3">
        <v>0.0107</v>
      </c>
      <c r="R41" s="3">
        <v>0.513</v>
      </c>
      <c r="S41" s="3">
        <v>41.479999</v>
      </c>
      <c r="T41" s="3">
        <v>56.0</v>
      </c>
      <c r="U41" s="3">
        <f t="shared" si="2"/>
        <v>23.225</v>
      </c>
      <c r="V41" s="3"/>
      <c r="W41" s="3">
        <f t="shared" si="3"/>
        <v>23.4832615</v>
      </c>
      <c r="X41" s="3">
        <f t="shared" si="4"/>
        <v>3.573726591</v>
      </c>
      <c r="Y41" s="3">
        <f t="shared" si="5"/>
        <v>3.331896072</v>
      </c>
      <c r="Z41" s="3">
        <f t="shared" ref="Z41:AA41" si="44">_xlfn.NORM.S.DIST(X41)</f>
        <v>0.9998240318</v>
      </c>
      <c r="AA41" s="3">
        <f t="shared" si="44"/>
        <v>0.9995687177</v>
      </c>
      <c r="AB41" s="3"/>
      <c r="AC41" s="3"/>
    </row>
    <row r="42" ht="14.25" customHeight="1">
      <c r="A42" s="3" t="s">
        <v>26</v>
      </c>
      <c r="B42" s="3" t="s">
        <v>27</v>
      </c>
      <c r="C42" s="3" t="s">
        <v>51</v>
      </c>
      <c r="D42" s="3" t="s">
        <v>29</v>
      </c>
      <c r="E42" s="3">
        <v>18.0</v>
      </c>
      <c r="F42" s="3" t="s">
        <v>27</v>
      </c>
      <c r="G42" s="3">
        <v>21.6</v>
      </c>
      <c r="I42" s="3">
        <v>25.5</v>
      </c>
      <c r="K42" s="3">
        <v>0.0</v>
      </c>
      <c r="L42" s="3">
        <v>0.0</v>
      </c>
      <c r="M42" s="3" t="s">
        <v>71</v>
      </c>
      <c r="N42" s="3">
        <v>0.9976</v>
      </c>
      <c r="O42" s="3">
        <v>0.0</v>
      </c>
      <c r="P42" s="3">
        <v>0.4198</v>
      </c>
      <c r="Q42" s="3">
        <v>0.0</v>
      </c>
      <c r="R42" s="3">
        <v>0.2824</v>
      </c>
      <c r="S42" s="3">
        <v>41.930001</v>
      </c>
      <c r="T42" s="3">
        <v>55.0</v>
      </c>
      <c r="U42" s="3">
        <f t="shared" si="2"/>
        <v>23.55</v>
      </c>
      <c r="V42" s="3"/>
      <c r="W42" s="3">
        <f t="shared" si="3"/>
        <v>23.93275079</v>
      </c>
      <c r="X42" s="3">
        <f t="shared" si="4"/>
        <v>6.476776463</v>
      </c>
      <c r="Y42" s="3">
        <f t="shared" si="5"/>
        <v>6.344845793</v>
      </c>
      <c r="Z42" s="3">
        <f t="shared" ref="Z42:AA42" si="45">_xlfn.NORM.S.DIST(X42)</f>
        <v>1</v>
      </c>
      <c r="AA42" s="3">
        <f t="shared" si="45"/>
        <v>0.9999999999</v>
      </c>
      <c r="AB42" s="3"/>
      <c r="AC42" s="3"/>
    </row>
    <row r="43" ht="14.25" customHeight="1">
      <c r="A43" s="3" t="s">
        <v>26</v>
      </c>
      <c r="B43" s="3" t="s">
        <v>27</v>
      </c>
      <c r="C43" s="3" t="s">
        <v>51</v>
      </c>
      <c r="D43" s="3" t="s">
        <v>29</v>
      </c>
      <c r="E43" s="3">
        <v>18.0</v>
      </c>
      <c r="F43" s="3" t="s">
        <v>27</v>
      </c>
      <c r="G43" s="3">
        <v>22.35</v>
      </c>
      <c r="I43" s="3">
        <v>25.75</v>
      </c>
      <c r="K43" s="3">
        <v>0.0</v>
      </c>
      <c r="L43" s="3">
        <v>0.0</v>
      </c>
      <c r="M43" s="3" t="s">
        <v>72</v>
      </c>
      <c r="N43" s="3">
        <v>0.9987</v>
      </c>
      <c r="O43" s="3">
        <v>0.0</v>
      </c>
      <c r="P43" s="3">
        <v>0.2177</v>
      </c>
      <c r="Q43" s="3">
        <v>0.0</v>
      </c>
      <c r="R43" s="3">
        <v>0.3212</v>
      </c>
      <c r="S43" s="3">
        <v>42.029999</v>
      </c>
      <c r="T43" s="3">
        <v>54.0</v>
      </c>
      <c r="U43" s="3">
        <f t="shared" si="2"/>
        <v>24.05</v>
      </c>
      <c r="V43" s="3"/>
      <c r="W43" s="3">
        <f t="shared" si="3"/>
        <v>24.0326988</v>
      </c>
      <c r="X43" s="3">
        <f t="shared" si="4"/>
        <v>5.778699033</v>
      </c>
      <c r="Y43" s="3">
        <f t="shared" si="5"/>
        <v>5.630012325</v>
      </c>
      <c r="Z43" s="3">
        <f t="shared" ref="Z43:AA43" si="46">_xlfn.NORM.S.DIST(X43)</f>
        <v>0.9999999962</v>
      </c>
      <c r="AA43" s="3">
        <f t="shared" si="46"/>
        <v>0.999999991</v>
      </c>
      <c r="AB43" s="3"/>
      <c r="AC43" s="3"/>
    </row>
    <row r="44" ht="14.25" customHeight="1">
      <c r="A44" s="3" t="s">
        <v>26</v>
      </c>
      <c r="B44" s="3" t="s">
        <v>27</v>
      </c>
      <c r="C44" s="3" t="s">
        <v>51</v>
      </c>
      <c r="D44" s="3" t="s">
        <v>29</v>
      </c>
      <c r="E44" s="3">
        <v>18.0</v>
      </c>
      <c r="F44" s="3" t="s">
        <v>27</v>
      </c>
      <c r="G44" s="3">
        <v>22.85</v>
      </c>
      <c r="I44" s="3">
        <v>26.6</v>
      </c>
      <c r="K44" s="3">
        <v>0.0</v>
      </c>
      <c r="L44" s="3">
        <v>0.0</v>
      </c>
      <c r="M44" s="3" t="s">
        <v>73</v>
      </c>
      <c r="N44" s="3">
        <v>0.9974</v>
      </c>
      <c r="O44" s="3">
        <v>0.0</v>
      </c>
      <c r="P44" s="3">
        <v>0.4934</v>
      </c>
      <c r="Q44" s="3">
        <v>1.0E-4</v>
      </c>
      <c r="R44" s="3">
        <v>0.4198</v>
      </c>
      <c r="S44" s="3">
        <v>42.660001</v>
      </c>
      <c r="T44" s="3">
        <v>53.0</v>
      </c>
      <c r="U44" s="3">
        <f t="shared" si="2"/>
        <v>24.725</v>
      </c>
      <c r="V44" s="3"/>
      <c r="W44" s="3">
        <f t="shared" si="3"/>
        <v>24.66265482</v>
      </c>
      <c r="X44" s="3">
        <f t="shared" si="4"/>
        <v>4.579061501</v>
      </c>
      <c r="Y44" s="3">
        <f t="shared" si="5"/>
        <v>4.386539619</v>
      </c>
      <c r="Z44" s="3">
        <f t="shared" ref="Z44:AA44" si="47">_xlfn.NORM.S.DIST(X44)</f>
        <v>0.9999976647</v>
      </c>
      <c r="AA44" s="3">
        <f t="shared" si="47"/>
        <v>0.9999942416</v>
      </c>
      <c r="AB44" s="3"/>
      <c r="AC44" s="3"/>
    </row>
    <row r="45" ht="14.25" customHeight="1">
      <c r="A45" s="3" t="s">
        <v>26</v>
      </c>
      <c r="B45" s="3" t="s">
        <v>27</v>
      </c>
      <c r="C45" s="3" t="s">
        <v>51</v>
      </c>
      <c r="D45" s="3" t="s">
        <v>29</v>
      </c>
      <c r="E45" s="3">
        <v>18.0</v>
      </c>
      <c r="F45" s="3" t="s">
        <v>27</v>
      </c>
      <c r="G45" s="3">
        <v>23.45</v>
      </c>
      <c r="I45" s="3">
        <v>26.75</v>
      </c>
      <c r="K45" s="3">
        <v>0.0</v>
      </c>
      <c r="L45" s="3">
        <v>0.0</v>
      </c>
      <c r="M45" s="3" t="s">
        <v>74</v>
      </c>
      <c r="N45" s="3">
        <v>0.9987</v>
      </c>
      <c r="O45" s="3">
        <v>0.0</v>
      </c>
      <c r="P45" s="3">
        <v>0.2329</v>
      </c>
      <c r="Q45" s="3">
        <v>0.0</v>
      </c>
      <c r="R45" s="3">
        <v>0.3381</v>
      </c>
      <c r="S45" s="3">
        <v>43.239999</v>
      </c>
      <c r="T45" s="3">
        <v>52.0</v>
      </c>
      <c r="U45" s="3">
        <f t="shared" si="2"/>
        <v>25.1</v>
      </c>
      <c r="V45" s="3"/>
      <c r="W45" s="3">
        <f t="shared" si="3"/>
        <v>25.24259882</v>
      </c>
      <c r="X45" s="3">
        <f t="shared" si="4"/>
        <v>5.784010628</v>
      </c>
      <c r="Y45" s="3">
        <f t="shared" si="5"/>
        <v>5.630426417</v>
      </c>
      <c r="Z45" s="3">
        <f t="shared" ref="Z45:AA45" si="48">_xlfn.NORM.S.DIST(X45)</f>
        <v>0.9999999964</v>
      </c>
      <c r="AA45" s="3">
        <f t="shared" si="48"/>
        <v>0.999999991</v>
      </c>
      <c r="AB45" s="3"/>
      <c r="AC45" s="3"/>
    </row>
    <row r="46" ht="14.25" customHeight="1">
      <c r="A46" s="3" t="s">
        <v>26</v>
      </c>
      <c r="B46" s="3" t="s">
        <v>27</v>
      </c>
      <c r="C46" s="3" t="s">
        <v>51</v>
      </c>
      <c r="D46" s="3" t="s">
        <v>29</v>
      </c>
      <c r="E46" s="3">
        <v>18.0</v>
      </c>
      <c r="F46" s="3" t="s">
        <v>27</v>
      </c>
      <c r="G46" s="3">
        <v>22.9</v>
      </c>
      <c r="I46" s="3">
        <v>27.4</v>
      </c>
      <c r="K46" s="3">
        <v>0.0</v>
      </c>
      <c r="L46" s="3">
        <v>0.0</v>
      </c>
      <c r="M46" s="3" t="s">
        <v>75</v>
      </c>
      <c r="N46" s="3">
        <v>0.9987</v>
      </c>
      <c r="O46" s="3">
        <v>0.0</v>
      </c>
      <c r="P46" s="3">
        <v>0.2429</v>
      </c>
      <c r="Q46" s="3">
        <v>0.0</v>
      </c>
      <c r="R46" s="3">
        <v>0.3057</v>
      </c>
      <c r="S46" s="3">
        <v>43.250001</v>
      </c>
      <c r="T46" s="3">
        <v>51.0</v>
      </c>
      <c r="U46" s="3">
        <f t="shared" si="2"/>
        <v>25.15</v>
      </c>
      <c r="V46" s="3"/>
      <c r="W46" s="3">
        <f t="shared" si="3"/>
        <v>25.25255082</v>
      </c>
      <c r="X46" s="3">
        <f t="shared" si="4"/>
        <v>6.444112114</v>
      </c>
      <c r="Y46" s="3">
        <f t="shared" si="5"/>
        <v>6.306587556</v>
      </c>
      <c r="Z46" s="3">
        <f t="shared" ref="Z46:AA46" si="49">_xlfn.NORM.S.DIST(X46)</f>
        <v>0.9999999999</v>
      </c>
      <c r="AA46" s="3">
        <f t="shared" si="49"/>
        <v>0.9999999999</v>
      </c>
      <c r="AB46" s="3"/>
      <c r="AC46" s="3"/>
    </row>
    <row r="47" ht="14.25" customHeight="1">
      <c r="A47" s="3" t="s">
        <v>26</v>
      </c>
      <c r="B47" s="3" t="s">
        <v>27</v>
      </c>
      <c r="C47" s="3" t="s">
        <v>51</v>
      </c>
      <c r="D47" s="3" t="s">
        <v>29</v>
      </c>
      <c r="E47" s="3">
        <v>18.0</v>
      </c>
      <c r="F47" s="3" t="s">
        <v>27</v>
      </c>
      <c r="G47" s="3">
        <v>24.95</v>
      </c>
      <c r="I47" s="3">
        <v>25.5</v>
      </c>
      <c r="K47" s="3">
        <v>0.0</v>
      </c>
      <c r="L47" s="3">
        <v>0.0</v>
      </c>
      <c r="M47" s="3" t="s">
        <v>76</v>
      </c>
      <c r="N47" s="3">
        <v>1.0</v>
      </c>
      <c r="O47" s="3">
        <v>0.0</v>
      </c>
      <c r="P47" s="3">
        <v>-0.0507</v>
      </c>
      <c r="Q47" s="3">
        <v>0.0</v>
      </c>
      <c r="R47" s="3">
        <v>0.321</v>
      </c>
      <c r="S47" s="3">
        <v>43.030001</v>
      </c>
      <c r="T47" s="3">
        <v>50.0</v>
      </c>
      <c r="U47" s="3">
        <f t="shared" si="2"/>
        <v>25.225</v>
      </c>
      <c r="V47" s="3"/>
      <c r="W47" s="3">
        <f t="shared" si="3"/>
        <v>25.03250083</v>
      </c>
      <c r="X47" s="3">
        <f t="shared" si="4"/>
        <v>6.167699238</v>
      </c>
      <c r="Y47" s="3">
        <f t="shared" si="5"/>
        <v>6.024714473</v>
      </c>
      <c r="Z47" s="3">
        <f t="shared" ref="Z47:AA47" si="50">_xlfn.NORM.S.DIST(X47)</f>
        <v>0.9999999997</v>
      </c>
      <c r="AA47" s="3">
        <f t="shared" si="50"/>
        <v>0.9999999992</v>
      </c>
      <c r="AB47" s="3"/>
      <c r="AC47" s="3"/>
    </row>
    <row r="48" ht="14.25" customHeight="1">
      <c r="A48" s="3" t="s">
        <v>26</v>
      </c>
      <c r="B48" s="3" t="s">
        <v>27</v>
      </c>
      <c r="C48" s="3" t="s">
        <v>51</v>
      </c>
      <c r="D48" s="3" t="s">
        <v>29</v>
      </c>
      <c r="E48" s="3">
        <v>18.0</v>
      </c>
      <c r="F48" s="3" t="s">
        <v>27</v>
      </c>
      <c r="G48" s="3">
        <v>22.5</v>
      </c>
      <c r="I48" s="3">
        <v>26.6</v>
      </c>
      <c r="K48" s="3">
        <v>0.0</v>
      </c>
      <c r="L48" s="3">
        <v>0.0</v>
      </c>
      <c r="M48" s="3" t="s">
        <v>77</v>
      </c>
      <c r="N48" s="3">
        <v>0.9987</v>
      </c>
      <c r="O48" s="3">
        <v>0.0</v>
      </c>
      <c r="P48" s="3">
        <v>0.2399</v>
      </c>
      <c r="Q48" s="3">
        <v>0.0</v>
      </c>
      <c r="R48" s="3">
        <v>0.2915</v>
      </c>
      <c r="S48" s="3">
        <v>42.810001</v>
      </c>
      <c r="T48" s="3">
        <v>49.0</v>
      </c>
      <c r="U48" s="3">
        <f t="shared" si="2"/>
        <v>24.55</v>
      </c>
      <c r="V48" s="3"/>
      <c r="W48" s="3">
        <f t="shared" si="3"/>
        <v>24.81245083</v>
      </c>
      <c r="X48" s="3">
        <f t="shared" si="4"/>
        <v>6.805673328</v>
      </c>
      <c r="Y48" s="3">
        <f t="shared" si="5"/>
        <v>6.67713391</v>
      </c>
      <c r="Z48" s="3">
        <f t="shared" ref="Z48:AA48" si="51">_xlfn.NORM.S.DIST(X48)</f>
        <v>1</v>
      </c>
      <c r="AA48" s="3">
        <f t="shared" si="51"/>
        <v>1</v>
      </c>
      <c r="AB48" s="3"/>
      <c r="AC48" s="3"/>
    </row>
    <row r="49" ht="14.25" customHeight="1">
      <c r="A49" s="3" t="s">
        <v>26</v>
      </c>
      <c r="B49" s="3" t="s">
        <v>27</v>
      </c>
      <c r="C49" s="3" t="s">
        <v>51</v>
      </c>
      <c r="D49" s="3" t="s">
        <v>29</v>
      </c>
      <c r="E49" s="3">
        <v>18.0</v>
      </c>
      <c r="F49" s="3" t="s">
        <v>27</v>
      </c>
      <c r="G49" s="3">
        <v>22.55</v>
      </c>
      <c r="I49" s="3">
        <v>27.0</v>
      </c>
      <c r="K49" s="3">
        <v>0.0</v>
      </c>
      <c r="L49" s="3">
        <v>0.0</v>
      </c>
      <c r="M49" s="3" t="s">
        <v>78</v>
      </c>
      <c r="N49" s="3">
        <v>1.0</v>
      </c>
      <c r="O49" s="3">
        <v>0.0</v>
      </c>
      <c r="P49" s="3">
        <v>-0.0507</v>
      </c>
      <c r="Q49" s="3">
        <v>0.0</v>
      </c>
      <c r="R49" s="3">
        <v>0.337</v>
      </c>
      <c r="S49" s="3">
        <v>42.619999</v>
      </c>
      <c r="T49" s="3">
        <v>48.0</v>
      </c>
      <c r="U49" s="3">
        <f t="shared" si="2"/>
        <v>24.775</v>
      </c>
      <c r="V49" s="3"/>
      <c r="W49" s="3">
        <f t="shared" si="3"/>
        <v>24.62239884</v>
      </c>
      <c r="X49" s="3">
        <f t="shared" si="4"/>
        <v>5.934920121</v>
      </c>
      <c r="Y49" s="3">
        <f t="shared" si="5"/>
        <v>5.787841263</v>
      </c>
      <c r="Z49" s="3">
        <f t="shared" ref="Z49:AA49" si="52">_xlfn.NORM.S.DIST(X49)</f>
        <v>0.9999999985</v>
      </c>
      <c r="AA49" s="3">
        <f t="shared" si="52"/>
        <v>0.9999999964</v>
      </c>
      <c r="AB49" s="3"/>
      <c r="AC49" s="3"/>
    </row>
    <row r="50" ht="14.25" customHeight="1">
      <c r="A50" s="3" t="s">
        <v>26</v>
      </c>
      <c r="B50" s="3" t="s">
        <v>27</v>
      </c>
      <c r="C50" s="3" t="s">
        <v>51</v>
      </c>
      <c r="D50" s="3" t="s">
        <v>29</v>
      </c>
      <c r="E50" s="3">
        <v>18.0</v>
      </c>
      <c r="F50" s="3" t="s">
        <v>27</v>
      </c>
      <c r="G50" s="3">
        <v>22.7</v>
      </c>
      <c r="I50" s="3">
        <v>26.8</v>
      </c>
      <c r="K50" s="3">
        <v>0.0</v>
      </c>
      <c r="L50" s="3">
        <v>0.0</v>
      </c>
      <c r="M50" s="3" t="s">
        <v>79</v>
      </c>
      <c r="N50" s="3">
        <v>0.9986</v>
      </c>
      <c r="O50" s="3">
        <v>0.0</v>
      </c>
      <c r="P50" s="3">
        <v>0.2778</v>
      </c>
      <c r="Q50" s="3">
        <v>0.0</v>
      </c>
      <c r="R50" s="3">
        <v>0.2657</v>
      </c>
      <c r="S50" s="3">
        <v>43.000001</v>
      </c>
      <c r="T50" s="3">
        <v>47.0</v>
      </c>
      <c r="U50" s="3">
        <f t="shared" si="2"/>
        <v>24.75</v>
      </c>
      <c r="V50" s="3"/>
      <c r="W50" s="3">
        <f t="shared" si="3"/>
        <v>25.00235085</v>
      </c>
      <c r="X50" s="3">
        <f t="shared" si="4"/>
        <v>7.647647578</v>
      </c>
      <c r="Y50" s="3">
        <f t="shared" si="5"/>
        <v>7.532900876</v>
      </c>
      <c r="Z50" s="3">
        <f t="shared" ref="Z50:AA50" si="53">_xlfn.NORM.S.DIST(X50)</f>
        <v>1</v>
      </c>
      <c r="AA50" s="3">
        <f t="shared" si="53"/>
        <v>1</v>
      </c>
      <c r="AB50" s="3"/>
      <c r="AC50" s="3"/>
    </row>
    <row r="51" ht="14.25" customHeight="1">
      <c r="A51" s="3" t="s">
        <v>26</v>
      </c>
      <c r="B51" s="3" t="s">
        <v>27</v>
      </c>
      <c r="C51" s="3" t="s">
        <v>51</v>
      </c>
      <c r="D51" s="3" t="s">
        <v>29</v>
      </c>
      <c r="E51" s="3">
        <v>18.0</v>
      </c>
      <c r="F51" s="3" t="s">
        <v>27</v>
      </c>
      <c r="G51" s="3">
        <v>23.5</v>
      </c>
      <c r="I51" s="3">
        <v>26.8</v>
      </c>
      <c r="K51" s="3">
        <v>0.0</v>
      </c>
      <c r="L51" s="3">
        <v>0.0</v>
      </c>
      <c r="M51" s="3" t="s">
        <v>80</v>
      </c>
      <c r="N51" s="3">
        <v>0.9973</v>
      </c>
      <c r="O51" s="3">
        <v>0.0</v>
      </c>
      <c r="P51" s="3">
        <v>0.614</v>
      </c>
      <c r="Q51" s="3">
        <v>0.0</v>
      </c>
      <c r="R51" s="3">
        <v>0.2713</v>
      </c>
      <c r="S51" s="3">
        <v>43.320001</v>
      </c>
      <c r="T51" s="3">
        <v>46.0</v>
      </c>
      <c r="U51" s="3">
        <f t="shared" si="2"/>
        <v>25.15</v>
      </c>
      <c r="V51" s="3"/>
      <c r="W51" s="3">
        <f t="shared" si="3"/>
        <v>25.32230085</v>
      </c>
      <c r="X51" s="3">
        <f t="shared" si="4"/>
        <v>7.635863251</v>
      </c>
      <c r="Y51" s="3">
        <f t="shared" si="5"/>
        <v>7.51995124</v>
      </c>
      <c r="Z51" s="3">
        <f t="shared" ref="Z51:AA51" si="54">_xlfn.NORM.S.DIST(X51)</f>
        <v>1</v>
      </c>
      <c r="AA51" s="3">
        <f t="shared" si="54"/>
        <v>1</v>
      </c>
      <c r="AB51" s="3"/>
      <c r="AC51" s="3"/>
    </row>
    <row r="52" ht="14.25" customHeight="1">
      <c r="A52" s="3" t="s">
        <v>26</v>
      </c>
      <c r="B52" s="3" t="s">
        <v>27</v>
      </c>
      <c r="C52" s="3" t="s">
        <v>51</v>
      </c>
      <c r="D52" s="3" t="s">
        <v>29</v>
      </c>
      <c r="E52" s="3">
        <v>18.0</v>
      </c>
      <c r="F52" s="3" t="s">
        <v>27</v>
      </c>
      <c r="G52" s="3">
        <v>23.45</v>
      </c>
      <c r="I52" s="3">
        <v>26.6</v>
      </c>
      <c r="K52" s="3">
        <v>0.0</v>
      </c>
      <c r="L52" s="3">
        <v>0.0</v>
      </c>
      <c r="M52" s="3" t="s">
        <v>81</v>
      </c>
      <c r="N52" s="3">
        <v>0.9973</v>
      </c>
      <c r="O52" s="3">
        <v>0.0</v>
      </c>
      <c r="P52" s="3">
        <v>0.6054</v>
      </c>
      <c r="Q52" s="3">
        <v>2.0E-4</v>
      </c>
      <c r="R52" s="3">
        <v>0.4644</v>
      </c>
      <c r="S52" s="3">
        <v>43.01</v>
      </c>
      <c r="T52" s="3">
        <v>45.0</v>
      </c>
      <c r="U52" s="3">
        <f t="shared" si="2"/>
        <v>25.025</v>
      </c>
      <c r="V52" s="3"/>
      <c r="W52" s="3">
        <f t="shared" si="3"/>
        <v>25.01225493</v>
      </c>
      <c r="X52" s="3">
        <f t="shared" si="4"/>
        <v>4.537403395</v>
      </c>
      <c r="Y52" s="3">
        <f t="shared" si="5"/>
        <v>4.341158577</v>
      </c>
      <c r="Z52" s="3">
        <f t="shared" ref="Z52:AA52" si="55">_xlfn.NORM.S.DIST(X52)</f>
        <v>0.9999971524</v>
      </c>
      <c r="AA52" s="3">
        <f t="shared" si="55"/>
        <v>0.9999929133</v>
      </c>
      <c r="AB52" s="3"/>
      <c r="AC52" s="3"/>
    </row>
    <row r="53" ht="14.25" customHeight="1">
      <c r="A53" s="3" t="s">
        <v>26</v>
      </c>
      <c r="B53" s="3" t="s">
        <v>27</v>
      </c>
      <c r="C53" s="3" t="s">
        <v>51</v>
      </c>
      <c r="D53" s="3" t="s">
        <v>29</v>
      </c>
      <c r="E53" s="3">
        <v>18.0</v>
      </c>
      <c r="F53" s="3" t="s">
        <v>27</v>
      </c>
      <c r="G53" s="3">
        <v>22.2</v>
      </c>
      <c r="I53" s="3">
        <v>26.7</v>
      </c>
      <c r="K53" s="3">
        <v>0.0</v>
      </c>
      <c r="L53" s="3">
        <v>0.0</v>
      </c>
      <c r="M53" s="3" t="s">
        <v>82</v>
      </c>
      <c r="N53" s="3">
        <v>0.9974</v>
      </c>
      <c r="O53" s="3">
        <v>0.0</v>
      </c>
      <c r="P53" s="3">
        <v>0.6079</v>
      </c>
      <c r="Q53" s="3">
        <v>0.0</v>
      </c>
      <c r="R53" s="3">
        <v>0.2849</v>
      </c>
      <c r="S53" s="3">
        <v>42.550001</v>
      </c>
      <c r="T53" s="3">
        <v>44.0</v>
      </c>
      <c r="U53" s="3">
        <f t="shared" si="2"/>
        <v>24.45</v>
      </c>
      <c r="V53" s="3"/>
      <c r="W53" s="3">
        <f t="shared" si="3"/>
        <v>24.55220087</v>
      </c>
      <c r="X53" s="3">
        <f t="shared" si="4"/>
        <v>7.287174949</v>
      </c>
      <c r="Y53" s="3">
        <f t="shared" si="5"/>
        <v>7.168127932</v>
      </c>
      <c r="Z53" s="3">
        <f t="shared" ref="Z53:AA53" si="56">_xlfn.NORM.S.DIST(X53)</f>
        <v>1</v>
      </c>
      <c r="AA53" s="3">
        <f t="shared" si="56"/>
        <v>1</v>
      </c>
      <c r="AB53" s="3"/>
      <c r="AC53" s="3"/>
    </row>
    <row r="54" ht="14.25" customHeight="1">
      <c r="A54" s="3" t="s">
        <v>26</v>
      </c>
      <c r="B54" s="3" t="s">
        <v>27</v>
      </c>
      <c r="C54" s="3" t="s">
        <v>51</v>
      </c>
      <c r="D54" s="3" t="s">
        <v>29</v>
      </c>
      <c r="E54" s="3">
        <v>18.0</v>
      </c>
      <c r="F54" s="3" t="s">
        <v>27</v>
      </c>
      <c r="G54" s="3">
        <v>22.15</v>
      </c>
      <c r="I54" s="3">
        <v>26.15</v>
      </c>
      <c r="K54" s="3">
        <v>0.0</v>
      </c>
      <c r="L54" s="3">
        <v>0.0</v>
      </c>
      <c r="M54" s="3" t="s">
        <v>83</v>
      </c>
      <c r="N54" s="3">
        <v>0.9975</v>
      </c>
      <c r="O54" s="3">
        <v>0.0</v>
      </c>
      <c r="P54" s="3">
        <v>0.6014</v>
      </c>
      <c r="Q54" s="3">
        <v>0.0</v>
      </c>
      <c r="R54" s="3">
        <v>0.3071</v>
      </c>
      <c r="S54" s="3">
        <v>42.000001</v>
      </c>
      <c r="T54" s="3">
        <v>43.0</v>
      </c>
      <c r="U54" s="3">
        <f t="shared" si="2"/>
        <v>24.15</v>
      </c>
      <c r="V54" s="3"/>
      <c r="W54" s="3">
        <f t="shared" si="3"/>
        <v>24.00215087</v>
      </c>
      <c r="X54" s="3">
        <f t="shared" si="4"/>
        <v>6.743537676</v>
      </c>
      <c r="Y54" s="3">
        <f t="shared" si="5"/>
        <v>6.61668087</v>
      </c>
      <c r="Z54" s="3">
        <f t="shared" ref="Z54:AA54" si="57">_xlfn.NORM.S.DIST(X54)</f>
        <v>1</v>
      </c>
      <c r="AA54" s="3">
        <f t="shared" si="57"/>
        <v>1</v>
      </c>
      <c r="AB54" s="3"/>
      <c r="AC54" s="3"/>
    </row>
    <row r="55" ht="14.25" customHeight="1">
      <c r="A55" s="3" t="s">
        <v>26</v>
      </c>
      <c r="B55" s="3" t="s">
        <v>27</v>
      </c>
      <c r="C55" s="3" t="s">
        <v>51</v>
      </c>
      <c r="D55" s="3" t="s">
        <v>29</v>
      </c>
      <c r="E55" s="3">
        <v>18.0</v>
      </c>
      <c r="F55" s="3" t="s">
        <v>27</v>
      </c>
      <c r="G55" s="3">
        <v>22.3</v>
      </c>
      <c r="I55" s="3">
        <v>26.65</v>
      </c>
      <c r="K55" s="3">
        <v>0.0</v>
      </c>
      <c r="L55" s="3">
        <v>0.0</v>
      </c>
      <c r="M55" s="3" t="s">
        <v>84</v>
      </c>
      <c r="N55" s="3">
        <v>0.9988</v>
      </c>
      <c r="O55" s="3">
        <v>0.0</v>
      </c>
      <c r="P55" s="3">
        <v>0.2812</v>
      </c>
      <c r="Q55" s="3">
        <v>0.0</v>
      </c>
      <c r="R55" s="3">
        <v>0.2633</v>
      </c>
      <c r="S55" s="3">
        <v>42.700001</v>
      </c>
      <c r="T55" s="3">
        <v>42.0</v>
      </c>
      <c r="U55" s="3">
        <f t="shared" si="2"/>
        <v>24.475</v>
      </c>
      <c r="V55" s="3"/>
      <c r="W55" s="3">
        <f t="shared" si="3"/>
        <v>24.70210088</v>
      </c>
      <c r="X55" s="3">
        <f t="shared" si="4"/>
        <v>8.091047843</v>
      </c>
      <c r="Y55" s="3">
        <f t="shared" si="5"/>
        <v>7.983556068</v>
      </c>
      <c r="Z55" s="3">
        <f t="shared" ref="Z55:AA55" si="58">_xlfn.NORM.S.DIST(X55)</f>
        <v>1</v>
      </c>
      <c r="AA55" s="3">
        <f t="shared" si="58"/>
        <v>1</v>
      </c>
      <c r="AB55" s="3"/>
      <c r="AC55" s="3"/>
    </row>
    <row r="56" ht="14.25" customHeight="1">
      <c r="A56" s="3" t="s">
        <v>26</v>
      </c>
      <c r="B56" s="3" t="s">
        <v>27</v>
      </c>
      <c r="C56" s="3" t="s">
        <v>51</v>
      </c>
      <c r="D56" s="3" t="s">
        <v>29</v>
      </c>
      <c r="E56" s="3">
        <v>18.0</v>
      </c>
      <c r="F56" s="3" t="s">
        <v>27</v>
      </c>
      <c r="G56" s="3">
        <v>22.2</v>
      </c>
      <c r="I56" s="3">
        <v>26.15</v>
      </c>
      <c r="K56" s="3">
        <v>0.0</v>
      </c>
      <c r="L56" s="3">
        <v>0.0</v>
      </c>
      <c r="M56" s="3" t="s">
        <v>85</v>
      </c>
      <c r="N56" s="3">
        <v>0.9976</v>
      </c>
      <c r="O56" s="3">
        <v>0.0</v>
      </c>
      <c r="P56" s="3">
        <v>0.598</v>
      </c>
      <c r="Q56" s="3">
        <v>0.0</v>
      </c>
      <c r="R56" s="3">
        <v>0.3384</v>
      </c>
      <c r="S56" s="3">
        <v>41.65</v>
      </c>
      <c r="T56" s="3">
        <v>41.0</v>
      </c>
      <c r="U56" s="3">
        <f t="shared" si="2"/>
        <v>24.175</v>
      </c>
      <c r="V56" s="3"/>
      <c r="W56" s="3">
        <f t="shared" si="3"/>
        <v>23.65204988</v>
      </c>
      <c r="X56" s="3">
        <f t="shared" si="4"/>
        <v>6.215237736</v>
      </c>
      <c r="Y56" s="3">
        <f t="shared" si="5"/>
        <v>6.07874108</v>
      </c>
      <c r="Z56" s="3">
        <f t="shared" ref="Z56:AA56" si="59">_xlfn.NORM.S.DIST(X56)</f>
        <v>0.9999999997</v>
      </c>
      <c r="AA56" s="3">
        <f t="shared" si="59"/>
        <v>0.9999999994</v>
      </c>
      <c r="AB56" s="3"/>
      <c r="AC56" s="3"/>
    </row>
    <row r="57" ht="14.25" customHeight="1">
      <c r="A57" s="3" t="s">
        <v>26</v>
      </c>
      <c r="B57" s="3" t="s">
        <v>27</v>
      </c>
      <c r="C57" s="3" t="s">
        <v>51</v>
      </c>
      <c r="D57" s="3" t="s">
        <v>29</v>
      </c>
      <c r="E57" s="3">
        <v>18.0</v>
      </c>
      <c r="F57" s="3" t="s">
        <v>27</v>
      </c>
      <c r="G57" s="3">
        <v>21.45</v>
      </c>
      <c r="I57" s="3">
        <v>25.4</v>
      </c>
      <c r="K57" s="3">
        <v>0.0</v>
      </c>
      <c r="L57" s="3">
        <v>0.0</v>
      </c>
      <c r="M57" s="3" t="s">
        <v>86</v>
      </c>
      <c r="N57" s="3">
        <v>0.9976</v>
      </c>
      <c r="O57" s="3">
        <v>0.0</v>
      </c>
      <c r="P57" s="3">
        <v>0.5898</v>
      </c>
      <c r="Q57" s="3">
        <v>0.0</v>
      </c>
      <c r="R57" s="3">
        <v>0.4267</v>
      </c>
      <c r="S57" s="3">
        <v>41.249999</v>
      </c>
      <c r="T57" s="3">
        <v>40.0</v>
      </c>
      <c r="U57" s="3">
        <f t="shared" si="2"/>
        <v>23.425</v>
      </c>
      <c r="V57" s="3"/>
      <c r="W57" s="3">
        <f t="shared" si="3"/>
        <v>23.25199936</v>
      </c>
      <c r="X57" s="3">
        <f t="shared" si="4"/>
        <v>4.963729259</v>
      </c>
      <c r="Y57" s="3">
        <f t="shared" si="5"/>
        <v>4.79372791</v>
      </c>
      <c r="Z57" s="3">
        <f t="shared" ref="Z57:AA57" si="60">_xlfn.NORM.S.DIST(X57)</f>
        <v>0.9999996542</v>
      </c>
      <c r="AA57" s="3">
        <f t="shared" si="60"/>
        <v>0.9999991814</v>
      </c>
      <c r="AB57" s="3"/>
      <c r="AC57" s="3"/>
    </row>
    <row r="58" ht="14.25" customHeight="1">
      <c r="A58" s="3" t="s">
        <v>26</v>
      </c>
      <c r="B58" s="3" t="s">
        <v>27</v>
      </c>
      <c r="C58" s="3" t="s">
        <v>51</v>
      </c>
      <c r="D58" s="3" t="s">
        <v>29</v>
      </c>
      <c r="E58" s="3">
        <v>18.0</v>
      </c>
      <c r="F58" s="3" t="s">
        <v>27</v>
      </c>
      <c r="G58" s="3">
        <v>21.25</v>
      </c>
      <c r="I58" s="3">
        <v>25.2</v>
      </c>
      <c r="K58" s="3">
        <v>0.0</v>
      </c>
      <c r="L58" s="3">
        <v>0.0</v>
      </c>
      <c r="M58" s="3" t="s">
        <v>87</v>
      </c>
      <c r="N58" s="3">
        <v>0.9978</v>
      </c>
      <c r="O58" s="3">
        <v>0.0</v>
      </c>
      <c r="P58" s="3">
        <v>0.5686</v>
      </c>
      <c r="Q58" s="3">
        <v>4.0E-4</v>
      </c>
      <c r="R58" s="3">
        <v>0.5039</v>
      </c>
      <c r="S58" s="3">
        <v>41.13</v>
      </c>
      <c r="T58" s="3">
        <v>39.0</v>
      </c>
      <c r="U58" s="3">
        <f t="shared" si="2"/>
        <v>23.225</v>
      </c>
      <c r="V58" s="3"/>
      <c r="W58" s="3">
        <f t="shared" si="3"/>
        <v>23.13196778</v>
      </c>
      <c r="X58" s="3">
        <f t="shared" si="4"/>
        <v>4.268319125</v>
      </c>
      <c r="Y58" s="3">
        <f t="shared" si="5"/>
        <v>4.070085925</v>
      </c>
      <c r="Z58" s="3">
        <f t="shared" ref="Z58:AA58" si="61">_xlfn.NORM.S.DIST(X58)</f>
        <v>0.9999901524</v>
      </c>
      <c r="AA58" s="3">
        <f t="shared" si="61"/>
        <v>0.9999765021</v>
      </c>
      <c r="AB58" s="3"/>
      <c r="AC58" s="3"/>
    </row>
    <row r="59" ht="14.25" customHeight="1">
      <c r="A59" s="3" t="s">
        <v>26</v>
      </c>
      <c r="B59" s="3" t="s">
        <v>27</v>
      </c>
      <c r="C59" s="3" t="s">
        <v>51</v>
      </c>
      <c r="D59" s="3" t="s">
        <v>29</v>
      </c>
      <c r="E59" s="3">
        <v>18.0</v>
      </c>
      <c r="F59" s="3" t="s">
        <v>27</v>
      </c>
      <c r="G59" s="3">
        <v>21.8</v>
      </c>
      <c r="I59" s="3">
        <v>25.25</v>
      </c>
      <c r="K59" s="3">
        <v>0.0</v>
      </c>
      <c r="L59" s="3">
        <v>0.0</v>
      </c>
      <c r="M59" s="3" t="s">
        <v>88</v>
      </c>
      <c r="N59" s="3">
        <v>0.9978</v>
      </c>
      <c r="O59" s="3">
        <v>0.0</v>
      </c>
      <c r="P59" s="3">
        <v>0.5893</v>
      </c>
      <c r="Q59" s="3">
        <v>0.0</v>
      </c>
      <c r="R59" s="3">
        <v>0.2439</v>
      </c>
      <c r="S59" s="3">
        <v>41.820001</v>
      </c>
      <c r="T59" s="3">
        <v>38.0</v>
      </c>
      <c r="U59" s="3">
        <f t="shared" si="2"/>
        <v>23.525</v>
      </c>
      <c r="V59" s="3"/>
      <c r="W59" s="3">
        <f t="shared" si="3"/>
        <v>23.8219009</v>
      </c>
      <c r="X59" s="3">
        <f t="shared" si="4"/>
        <v>8.949203267</v>
      </c>
      <c r="Y59" s="3">
        <f t="shared" si="5"/>
        <v>8.854491633</v>
      </c>
      <c r="Z59" s="3">
        <f t="shared" ref="Z59:AA59" si="62">_xlfn.NORM.S.DIST(X59)</f>
        <v>1</v>
      </c>
      <c r="AA59" s="3">
        <f t="shared" si="62"/>
        <v>1</v>
      </c>
      <c r="AB59" s="3"/>
      <c r="AC59" s="3"/>
    </row>
    <row r="60" ht="14.25" customHeight="1">
      <c r="A60" s="3" t="s">
        <v>26</v>
      </c>
      <c r="B60" s="3" t="s">
        <v>27</v>
      </c>
      <c r="C60" s="3" t="s">
        <v>51</v>
      </c>
      <c r="D60" s="3" t="s">
        <v>29</v>
      </c>
      <c r="E60" s="3">
        <v>18.0</v>
      </c>
      <c r="F60" s="3" t="s">
        <v>27</v>
      </c>
      <c r="G60" s="3">
        <v>21.7</v>
      </c>
      <c r="I60" s="3">
        <v>25.75</v>
      </c>
      <c r="K60" s="3">
        <v>0.0</v>
      </c>
      <c r="L60" s="3">
        <v>0.0</v>
      </c>
      <c r="M60" s="3" t="s">
        <v>89</v>
      </c>
      <c r="N60" s="3">
        <v>0.9979</v>
      </c>
      <c r="O60" s="3">
        <v>0.0</v>
      </c>
      <c r="P60" s="3">
        <v>0.5838</v>
      </c>
      <c r="Q60" s="3">
        <v>0.0</v>
      </c>
      <c r="R60" s="3">
        <v>0.299</v>
      </c>
      <c r="S60" s="3">
        <v>42.09</v>
      </c>
      <c r="T60" s="3">
        <v>37.0</v>
      </c>
      <c r="U60" s="3">
        <f t="shared" si="2"/>
        <v>23.725</v>
      </c>
      <c r="V60" s="3"/>
      <c r="W60" s="3">
        <f t="shared" si="3"/>
        <v>24.0918499</v>
      </c>
      <c r="X60" s="3">
        <f t="shared" si="4"/>
        <v>7.472310923</v>
      </c>
      <c r="Y60" s="3">
        <f t="shared" si="5"/>
        <v>7.357740695</v>
      </c>
      <c r="Z60" s="3">
        <f t="shared" ref="Z60:AA60" si="63">_xlfn.NORM.S.DIST(X60)</f>
        <v>1</v>
      </c>
      <c r="AA60" s="3">
        <f t="shared" si="63"/>
        <v>1</v>
      </c>
      <c r="AB60" s="3"/>
      <c r="AC60" s="3"/>
    </row>
    <row r="61" ht="14.25" customHeight="1">
      <c r="A61" s="3" t="s">
        <v>26</v>
      </c>
      <c r="B61" s="3" t="s">
        <v>27</v>
      </c>
      <c r="C61" s="3" t="s">
        <v>51</v>
      </c>
      <c r="D61" s="3" t="s">
        <v>29</v>
      </c>
      <c r="E61" s="3">
        <v>18.0</v>
      </c>
      <c r="F61" s="3" t="s">
        <v>27</v>
      </c>
      <c r="G61" s="3">
        <v>21.6</v>
      </c>
      <c r="I61" s="3">
        <v>26.15</v>
      </c>
      <c r="K61" s="3">
        <v>0.0</v>
      </c>
      <c r="L61" s="3">
        <v>0.0</v>
      </c>
      <c r="M61" s="3" t="s">
        <v>90</v>
      </c>
      <c r="N61" s="3">
        <v>1.0</v>
      </c>
      <c r="O61" s="3">
        <v>0.0</v>
      </c>
      <c r="P61" s="3">
        <v>-0.0507</v>
      </c>
      <c r="Q61" s="3">
        <v>0.0</v>
      </c>
      <c r="R61" s="3">
        <v>0.3454</v>
      </c>
      <c r="S61" s="3">
        <v>41.970001</v>
      </c>
      <c r="T61" s="3">
        <v>36.0</v>
      </c>
      <c r="U61" s="3">
        <f t="shared" si="2"/>
        <v>23.875</v>
      </c>
      <c r="V61" s="3"/>
      <c r="W61" s="3">
        <f t="shared" si="3"/>
        <v>23.97180091</v>
      </c>
      <c r="X61" s="3">
        <f t="shared" si="4"/>
        <v>6.550837769</v>
      </c>
      <c r="Y61" s="3">
        <f t="shared" si="5"/>
        <v>6.42028884</v>
      </c>
      <c r="Z61" s="3">
        <f t="shared" ref="Z61:AA61" si="64">_xlfn.NORM.S.DIST(X61)</f>
        <v>1</v>
      </c>
      <c r="AA61" s="3">
        <f t="shared" si="64"/>
        <v>0.9999999999</v>
      </c>
      <c r="AB61" s="3"/>
      <c r="AC61" s="3"/>
    </row>
    <row r="62" ht="14.25" customHeight="1">
      <c r="A62" s="3" t="s">
        <v>26</v>
      </c>
      <c r="B62" s="3" t="s">
        <v>27</v>
      </c>
      <c r="C62" s="3" t="s">
        <v>51</v>
      </c>
      <c r="D62" s="3" t="s">
        <v>29</v>
      </c>
      <c r="E62" s="3">
        <v>18.0</v>
      </c>
      <c r="F62" s="3" t="s">
        <v>27</v>
      </c>
      <c r="G62" s="3">
        <v>22.45</v>
      </c>
      <c r="I62" s="3">
        <v>23.45</v>
      </c>
      <c r="K62" s="3">
        <v>0.0</v>
      </c>
      <c r="L62" s="3">
        <v>0.0</v>
      </c>
      <c r="M62" s="3" t="s">
        <v>91</v>
      </c>
      <c r="N62" s="3">
        <v>0.9984</v>
      </c>
      <c r="O62" s="3">
        <v>0.0</v>
      </c>
      <c r="P62" s="3">
        <v>0.4504</v>
      </c>
      <c r="Q62" s="3">
        <v>0.0</v>
      </c>
      <c r="R62" s="3">
        <v>0.3827</v>
      </c>
      <c r="S62" s="3">
        <v>40.930001</v>
      </c>
      <c r="T62" s="3">
        <v>35.0</v>
      </c>
      <c r="U62" s="3">
        <f t="shared" si="2"/>
        <v>22.95</v>
      </c>
      <c r="V62" s="3"/>
      <c r="W62" s="3">
        <f t="shared" si="3"/>
        <v>22.93175092</v>
      </c>
      <c r="X62" s="3">
        <f t="shared" si="4"/>
        <v>5.831839847</v>
      </c>
      <c r="Y62" s="3">
        <f t="shared" si="5"/>
        <v>5.689215978</v>
      </c>
      <c r="Z62" s="3">
        <f t="shared" ref="Z62:AA62" si="65">_xlfn.NORM.S.DIST(X62)</f>
        <v>0.9999999973</v>
      </c>
      <c r="AA62" s="3">
        <f t="shared" si="65"/>
        <v>0.9999999936</v>
      </c>
      <c r="AB62" s="3"/>
      <c r="AC62" s="3"/>
    </row>
    <row r="63" ht="14.25" customHeight="1">
      <c r="A63" s="3" t="s">
        <v>26</v>
      </c>
      <c r="B63" s="3" t="s">
        <v>27</v>
      </c>
      <c r="C63" s="3" t="s">
        <v>51</v>
      </c>
      <c r="D63" s="3" t="s">
        <v>29</v>
      </c>
      <c r="E63" s="3">
        <v>18.0</v>
      </c>
      <c r="F63" s="3" t="s">
        <v>27</v>
      </c>
      <c r="G63" s="3">
        <v>22.15</v>
      </c>
      <c r="I63" s="3">
        <v>23.15</v>
      </c>
      <c r="K63" s="3">
        <v>0.0</v>
      </c>
      <c r="L63" s="3">
        <v>0.0</v>
      </c>
      <c r="M63" s="3" t="s">
        <v>92</v>
      </c>
      <c r="N63" s="3">
        <v>0.9992</v>
      </c>
      <c r="O63" s="3">
        <v>0.0</v>
      </c>
      <c r="P63" s="3">
        <v>0.1988</v>
      </c>
      <c r="Q63" s="3">
        <v>0.0</v>
      </c>
      <c r="R63" s="3">
        <v>0.3929</v>
      </c>
      <c r="S63" s="3">
        <v>40.66</v>
      </c>
      <c r="T63" s="3">
        <v>34.0</v>
      </c>
      <c r="U63" s="3">
        <f t="shared" si="2"/>
        <v>22.65</v>
      </c>
      <c r="V63" s="3"/>
      <c r="W63" s="3">
        <f t="shared" si="3"/>
        <v>22.66169993</v>
      </c>
      <c r="X63" s="3">
        <f t="shared" si="4"/>
        <v>5.719175794</v>
      </c>
      <c r="Y63" s="3">
        <f t="shared" si="5"/>
        <v>5.574857556</v>
      </c>
      <c r="Z63" s="3">
        <f t="shared" ref="Z63:AA63" si="66">_xlfn.NORM.S.DIST(X63)</f>
        <v>0.9999999946</v>
      </c>
      <c r="AA63" s="3">
        <f t="shared" si="66"/>
        <v>0.9999999876</v>
      </c>
      <c r="AB63" s="3"/>
      <c r="AC63" s="3"/>
    </row>
    <row r="64" ht="14.25" customHeight="1">
      <c r="A64" s="3" t="s">
        <v>26</v>
      </c>
      <c r="B64" s="3" t="s">
        <v>27</v>
      </c>
      <c r="C64" s="3" t="s">
        <v>51</v>
      </c>
      <c r="D64" s="3" t="s">
        <v>29</v>
      </c>
      <c r="E64" s="3">
        <v>18.0</v>
      </c>
      <c r="F64" s="3" t="s">
        <v>27</v>
      </c>
      <c r="G64" s="3">
        <v>22.05</v>
      </c>
      <c r="I64" s="3">
        <v>23.05</v>
      </c>
      <c r="K64" s="3">
        <v>0.0</v>
      </c>
      <c r="L64" s="3">
        <v>0.0</v>
      </c>
      <c r="M64" s="3" t="s">
        <v>93</v>
      </c>
      <c r="N64" s="3">
        <v>0.9985</v>
      </c>
      <c r="O64" s="3">
        <v>0.0</v>
      </c>
      <c r="P64" s="3">
        <v>0.4454</v>
      </c>
      <c r="Q64" s="3">
        <v>0.0</v>
      </c>
      <c r="R64" s="3">
        <v>0.4671</v>
      </c>
      <c r="S64" s="3">
        <v>40.519999</v>
      </c>
      <c r="T64" s="3">
        <v>33.0</v>
      </c>
      <c r="U64" s="3">
        <f t="shared" si="2"/>
        <v>22.55</v>
      </c>
      <c r="V64" s="3"/>
      <c r="W64" s="3">
        <f t="shared" si="3"/>
        <v>22.52164962</v>
      </c>
      <c r="X64" s="3">
        <f t="shared" si="4"/>
        <v>4.885499847</v>
      </c>
      <c r="Y64" s="3">
        <f t="shared" si="5"/>
        <v>4.716468767</v>
      </c>
      <c r="Z64" s="3">
        <f t="shared" ref="Z64:AA64" si="67">_xlfn.NORM.S.DIST(X64)</f>
        <v>0.9999994842</v>
      </c>
      <c r="AA64" s="3">
        <f t="shared" si="67"/>
        <v>0.9999988001</v>
      </c>
      <c r="AB64" s="3"/>
      <c r="AC64" s="3"/>
    </row>
    <row r="65" ht="14.25" customHeight="1">
      <c r="A65" s="3" t="s">
        <v>26</v>
      </c>
      <c r="B65" s="3" t="s">
        <v>27</v>
      </c>
      <c r="C65" s="3" t="s">
        <v>51</v>
      </c>
      <c r="D65" s="3" t="s">
        <v>29</v>
      </c>
      <c r="E65" s="3">
        <v>18.0</v>
      </c>
      <c r="F65" s="3" t="s">
        <v>27</v>
      </c>
      <c r="G65" s="3">
        <v>22.9</v>
      </c>
      <c r="I65" s="3">
        <v>23.65</v>
      </c>
      <c r="K65" s="3">
        <v>0.0</v>
      </c>
      <c r="L65" s="3">
        <v>0.0</v>
      </c>
      <c r="M65" s="3" t="s">
        <v>94</v>
      </c>
      <c r="N65" s="3">
        <v>0.9993</v>
      </c>
      <c r="O65" s="3">
        <v>0.0</v>
      </c>
      <c r="P65" s="3">
        <v>0.2034</v>
      </c>
      <c r="Q65" s="3">
        <v>0.0</v>
      </c>
      <c r="R65" s="3">
        <v>0.4112</v>
      </c>
      <c r="S65" s="3">
        <v>41.410001</v>
      </c>
      <c r="T65" s="3">
        <v>32.0</v>
      </c>
      <c r="U65" s="3">
        <f t="shared" si="2"/>
        <v>23.275</v>
      </c>
      <c r="V65" s="3"/>
      <c r="W65" s="3">
        <f t="shared" si="3"/>
        <v>23.41160093</v>
      </c>
      <c r="X65" s="3">
        <f t="shared" si="4"/>
        <v>5.75972605</v>
      </c>
      <c r="Y65" s="3">
        <f t="shared" si="5"/>
        <v>5.61319562</v>
      </c>
      <c r="Z65" s="3">
        <f t="shared" ref="Z65:AA65" si="68">_xlfn.NORM.S.DIST(X65)</f>
        <v>0.9999999958</v>
      </c>
      <c r="AA65" s="3">
        <f t="shared" si="68"/>
        <v>0.9999999901</v>
      </c>
      <c r="AB65" s="3"/>
      <c r="AC65" s="3"/>
    </row>
    <row r="66" ht="14.25" customHeight="1">
      <c r="A66" s="3" t="s">
        <v>26</v>
      </c>
      <c r="B66" s="3" t="s">
        <v>27</v>
      </c>
      <c r="C66" s="3" t="s">
        <v>51</v>
      </c>
      <c r="D66" s="3" t="s">
        <v>29</v>
      </c>
      <c r="E66" s="3">
        <v>18.0</v>
      </c>
      <c r="F66" s="3" t="s">
        <v>27</v>
      </c>
      <c r="G66" s="3">
        <v>23.4</v>
      </c>
      <c r="I66" s="3">
        <v>23.7</v>
      </c>
      <c r="K66" s="3">
        <v>0.0</v>
      </c>
      <c r="L66" s="3">
        <v>0.0</v>
      </c>
      <c r="M66" s="3" t="s">
        <v>95</v>
      </c>
      <c r="N66" s="3">
        <v>0.9986</v>
      </c>
      <c r="O66" s="3">
        <v>0.0</v>
      </c>
      <c r="P66" s="3">
        <v>0.4579</v>
      </c>
      <c r="Q66" s="3">
        <v>0.0</v>
      </c>
      <c r="R66" s="3">
        <v>0.4948</v>
      </c>
      <c r="S66" s="3">
        <v>41.54</v>
      </c>
      <c r="T66" s="3">
        <v>31.0</v>
      </c>
      <c r="U66" s="3">
        <f t="shared" si="2"/>
        <v>23.55</v>
      </c>
      <c r="V66" s="3"/>
      <c r="W66" s="3">
        <f t="shared" si="3"/>
        <v>23.54155059</v>
      </c>
      <c r="X66" s="3">
        <f t="shared" si="4"/>
        <v>4.906125683</v>
      </c>
      <c r="Y66" s="3">
        <f t="shared" si="5"/>
        <v>4.732581417</v>
      </c>
      <c r="Z66" s="3">
        <f t="shared" ref="Z66:AA66" si="69">_xlfn.NORM.S.DIST(X66)</f>
        <v>0.9999995355</v>
      </c>
      <c r="AA66" s="3">
        <f t="shared" si="69"/>
        <v>0.9999988916</v>
      </c>
      <c r="AB66" s="3"/>
      <c r="AC66" s="3"/>
    </row>
    <row r="67" ht="14.25" customHeight="1">
      <c r="A67" s="3" t="s">
        <v>26</v>
      </c>
      <c r="B67" s="3" t="s">
        <v>27</v>
      </c>
      <c r="C67" s="3" t="s">
        <v>51</v>
      </c>
      <c r="D67" s="3" t="s">
        <v>29</v>
      </c>
      <c r="E67" s="3">
        <v>18.0</v>
      </c>
      <c r="F67" s="3" t="s">
        <v>27</v>
      </c>
      <c r="G67" s="3">
        <v>23.2</v>
      </c>
      <c r="I67" s="3">
        <v>24.2</v>
      </c>
      <c r="K67" s="3">
        <v>0.0</v>
      </c>
      <c r="L67" s="3">
        <v>0.0</v>
      </c>
      <c r="M67" s="3" t="s">
        <v>96</v>
      </c>
      <c r="N67" s="3">
        <v>0.9991</v>
      </c>
      <c r="O67" s="3">
        <v>0.0</v>
      </c>
      <c r="P67" s="3">
        <v>0.3113</v>
      </c>
      <c r="Q67" s="3">
        <v>0.0</v>
      </c>
      <c r="R67" s="3">
        <v>0.4016</v>
      </c>
      <c r="S67" s="3">
        <v>41.659999</v>
      </c>
      <c r="T67" s="3">
        <v>30.0</v>
      </c>
      <c r="U67" s="3">
        <f t="shared" si="2"/>
        <v>23.7</v>
      </c>
      <c r="V67" s="3"/>
      <c r="W67" s="3">
        <f t="shared" si="3"/>
        <v>23.66149894</v>
      </c>
      <c r="X67" s="3">
        <f t="shared" si="4"/>
        <v>6.126021239</v>
      </c>
      <c r="Y67" s="3">
        <f t="shared" si="5"/>
        <v>5.987456075</v>
      </c>
      <c r="Z67" s="3">
        <f t="shared" ref="Z67:AA67" si="70">_xlfn.NORM.S.DIST(X67)</f>
        <v>0.9999999995</v>
      </c>
      <c r="AA67" s="3">
        <f t="shared" si="70"/>
        <v>0.9999999989</v>
      </c>
      <c r="AB67" s="3"/>
      <c r="AC67" s="3"/>
    </row>
    <row r="68" ht="14.25" customHeight="1">
      <c r="A68" s="3" t="s">
        <v>26</v>
      </c>
      <c r="B68" s="3" t="s">
        <v>27</v>
      </c>
      <c r="C68" s="3" t="s">
        <v>51</v>
      </c>
      <c r="D68" s="3" t="s">
        <v>29</v>
      </c>
      <c r="E68" s="3">
        <v>18.0</v>
      </c>
      <c r="F68" s="3" t="s">
        <v>27</v>
      </c>
      <c r="G68" s="3">
        <v>23.2</v>
      </c>
      <c r="I68" s="3">
        <v>24.2</v>
      </c>
      <c r="K68" s="3">
        <v>0.0</v>
      </c>
      <c r="L68" s="3">
        <v>0.0</v>
      </c>
      <c r="M68" s="3" t="s">
        <v>97</v>
      </c>
      <c r="N68" s="3">
        <v>0.9993</v>
      </c>
      <c r="O68" s="3">
        <v>0.0</v>
      </c>
      <c r="P68" s="3">
        <v>0.2085</v>
      </c>
      <c r="Q68" s="3">
        <v>0.0</v>
      </c>
      <c r="R68" s="3">
        <v>0.4364</v>
      </c>
      <c r="S68" s="3">
        <v>41.65</v>
      </c>
      <c r="T68" s="3">
        <v>29.0</v>
      </c>
      <c r="U68" s="3">
        <f t="shared" si="2"/>
        <v>23.7</v>
      </c>
      <c r="V68" s="3"/>
      <c r="W68" s="3">
        <f t="shared" si="3"/>
        <v>23.65144995</v>
      </c>
      <c r="X68" s="3">
        <f t="shared" si="4"/>
        <v>5.741419273</v>
      </c>
      <c r="Y68" s="3">
        <f t="shared" si="5"/>
        <v>5.593377775</v>
      </c>
      <c r="Z68" s="3">
        <f t="shared" ref="Z68:AA68" si="71">_xlfn.NORM.S.DIST(X68)</f>
        <v>0.9999999953</v>
      </c>
      <c r="AA68" s="3">
        <f t="shared" si="71"/>
        <v>0.9999999889</v>
      </c>
      <c r="AB68" s="3"/>
      <c r="AC68" s="3"/>
    </row>
    <row r="69" ht="14.25" customHeight="1">
      <c r="A69" s="3" t="s">
        <v>26</v>
      </c>
      <c r="B69" s="3" t="s">
        <v>27</v>
      </c>
      <c r="C69" s="3" t="s">
        <v>51</v>
      </c>
      <c r="D69" s="3" t="s">
        <v>29</v>
      </c>
      <c r="E69" s="3">
        <v>18.0</v>
      </c>
      <c r="F69" s="3" t="s">
        <v>27</v>
      </c>
      <c r="G69" s="3">
        <v>23.75</v>
      </c>
      <c r="I69" s="3">
        <v>24.75</v>
      </c>
      <c r="K69" s="3">
        <v>0.0</v>
      </c>
      <c r="L69" s="3">
        <v>0.0</v>
      </c>
      <c r="M69" s="3" t="s">
        <v>98</v>
      </c>
      <c r="N69" s="3">
        <v>0.9991</v>
      </c>
      <c r="O69" s="3">
        <v>0.0</v>
      </c>
      <c r="P69" s="3">
        <v>0.3166</v>
      </c>
      <c r="Q69" s="3">
        <v>0.0</v>
      </c>
      <c r="R69" s="3">
        <v>0.3574</v>
      </c>
      <c r="S69" s="3">
        <v>42.260001</v>
      </c>
      <c r="T69" s="3">
        <v>28.0</v>
      </c>
      <c r="U69" s="3">
        <f t="shared" si="2"/>
        <v>24.25</v>
      </c>
      <c r="V69" s="3"/>
      <c r="W69" s="3">
        <f t="shared" si="3"/>
        <v>24.26140095</v>
      </c>
      <c r="X69" s="3">
        <f t="shared" si="4"/>
        <v>7.224203396</v>
      </c>
      <c r="Y69" s="3">
        <f t="shared" si="5"/>
        <v>7.105070063</v>
      </c>
      <c r="Z69" s="3">
        <f t="shared" ref="Z69:AA69" si="72">_xlfn.NORM.S.DIST(X69)</f>
        <v>1</v>
      </c>
      <c r="AA69" s="3">
        <f t="shared" si="72"/>
        <v>1</v>
      </c>
      <c r="AB69" s="3"/>
      <c r="AC69" s="3"/>
    </row>
    <row r="70" ht="14.25" customHeight="1">
      <c r="A70" s="3" t="s">
        <v>26</v>
      </c>
      <c r="B70" s="3" t="s">
        <v>27</v>
      </c>
      <c r="C70" s="3" t="s">
        <v>51</v>
      </c>
      <c r="D70" s="3" t="s">
        <v>29</v>
      </c>
      <c r="E70" s="3">
        <v>18.0</v>
      </c>
      <c r="F70" s="3" t="s">
        <v>27</v>
      </c>
      <c r="G70" s="3">
        <v>25.35</v>
      </c>
      <c r="I70" s="3">
        <v>26.35</v>
      </c>
      <c r="K70" s="3">
        <v>0.0</v>
      </c>
      <c r="L70" s="3">
        <v>0.0</v>
      </c>
      <c r="M70" s="3" t="s">
        <v>99</v>
      </c>
      <c r="N70" s="3">
        <v>0.9994</v>
      </c>
      <c r="O70" s="3">
        <v>0.0</v>
      </c>
      <c r="P70" s="3">
        <v>0.2257</v>
      </c>
      <c r="Q70" s="3">
        <v>0.0</v>
      </c>
      <c r="R70" s="3">
        <v>0.333</v>
      </c>
      <c r="S70" s="3">
        <v>43.86</v>
      </c>
      <c r="T70" s="3">
        <v>27.0</v>
      </c>
      <c r="U70" s="3">
        <f t="shared" si="2"/>
        <v>25.85</v>
      </c>
      <c r="V70" s="3"/>
      <c r="W70" s="3">
        <f t="shared" si="3"/>
        <v>25.86134995</v>
      </c>
      <c r="X70" s="3">
        <f t="shared" si="4"/>
        <v>8.226126742</v>
      </c>
      <c r="Y70" s="3">
        <f t="shared" si="5"/>
        <v>8.117126906</v>
      </c>
      <c r="Z70" s="3">
        <f t="shared" ref="Z70:AA70" si="73">_xlfn.NORM.S.DIST(X70)</f>
        <v>1</v>
      </c>
      <c r="AA70" s="3">
        <f t="shared" si="73"/>
        <v>1</v>
      </c>
      <c r="AB70" s="3"/>
      <c r="AC70" s="3"/>
    </row>
    <row r="71" ht="14.25" customHeight="1">
      <c r="A71" s="3" t="s">
        <v>26</v>
      </c>
      <c r="B71" s="3" t="s">
        <v>27</v>
      </c>
      <c r="C71" s="3" t="s">
        <v>51</v>
      </c>
      <c r="D71" s="3" t="s">
        <v>29</v>
      </c>
      <c r="E71" s="3">
        <v>18.0</v>
      </c>
      <c r="F71" s="3" t="s">
        <v>27</v>
      </c>
      <c r="G71" s="3">
        <v>26.25</v>
      </c>
      <c r="I71" s="3">
        <v>27.25</v>
      </c>
      <c r="K71" s="3">
        <v>0.0</v>
      </c>
      <c r="L71" s="3">
        <v>0.0</v>
      </c>
      <c r="M71" s="3" t="s">
        <v>100</v>
      </c>
      <c r="N71" s="3">
        <v>0.9994</v>
      </c>
      <c r="O71" s="3">
        <v>0.0</v>
      </c>
      <c r="P71" s="3">
        <v>0.2349</v>
      </c>
      <c r="Q71" s="3">
        <v>0.0</v>
      </c>
      <c r="R71" s="3">
        <v>0.2979</v>
      </c>
      <c r="S71" s="3">
        <v>44.749999</v>
      </c>
      <c r="T71" s="3">
        <v>26.0</v>
      </c>
      <c r="U71" s="3">
        <f t="shared" si="2"/>
        <v>26.75</v>
      </c>
      <c r="V71" s="3"/>
      <c r="W71" s="3">
        <f t="shared" si="3"/>
        <v>26.75129895</v>
      </c>
      <c r="X71" s="3">
        <f t="shared" si="4"/>
        <v>9.566206566</v>
      </c>
      <c r="Y71" s="3">
        <f t="shared" si="5"/>
        <v>9.470518692</v>
      </c>
      <c r="Z71" s="3">
        <f t="shared" ref="Z71:AA71" si="74">_xlfn.NORM.S.DIST(X71)</f>
        <v>1</v>
      </c>
      <c r="AA71" s="3">
        <f t="shared" si="74"/>
        <v>1</v>
      </c>
      <c r="AB71" s="3"/>
      <c r="AC71" s="3"/>
    </row>
    <row r="72" ht="14.25" customHeight="1">
      <c r="A72" s="3" t="s">
        <v>26</v>
      </c>
      <c r="B72" s="3" t="s">
        <v>27</v>
      </c>
      <c r="C72" s="3" t="s">
        <v>51</v>
      </c>
      <c r="D72" s="3" t="s">
        <v>29</v>
      </c>
      <c r="E72" s="3">
        <v>18.0</v>
      </c>
      <c r="F72" s="3" t="s">
        <v>27</v>
      </c>
      <c r="G72" s="3">
        <v>24.6</v>
      </c>
      <c r="I72" s="3">
        <v>25.6</v>
      </c>
      <c r="K72" s="3">
        <v>0.0</v>
      </c>
      <c r="L72" s="3">
        <v>0.0</v>
      </c>
      <c r="M72" s="3" t="s">
        <v>101</v>
      </c>
      <c r="N72" s="3">
        <v>0.9997</v>
      </c>
      <c r="O72" s="3">
        <v>0.0</v>
      </c>
      <c r="P72" s="3">
        <v>0.0835</v>
      </c>
      <c r="Q72" s="3">
        <v>0.0</v>
      </c>
      <c r="R72" s="3">
        <v>0.4968</v>
      </c>
      <c r="S72" s="3">
        <v>43.04</v>
      </c>
      <c r="T72" s="3">
        <v>25.0</v>
      </c>
      <c r="U72" s="3">
        <f t="shared" si="2"/>
        <v>25.1</v>
      </c>
      <c r="V72" s="3"/>
      <c r="W72" s="3">
        <f t="shared" si="3"/>
        <v>25.04124997</v>
      </c>
      <c r="X72" s="3">
        <f t="shared" si="4"/>
        <v>5.649830487</v>
      </c>
      <c r="Y72" s="3">
        <f t="shared" si="5"/>
        <v>5.493353195</v>
      </c>
      <c r="Z72" s="3">
        <f t="shared" ref="Z72:AA72" si="75">_xlfn.NORM.S.DIST(X72)</f>
        <v>0.999999992</v>
      </c>
      <c r="AA72" s="3">
        <f t="shared" si="75"/>
        <v>0.9999999803</v>
      </c>
      <c r="AB72" s="3"/>
      <c r="AC72" s="3"/>
    </row>
    <row r="73" ht="14.25" customHeight="1">
      <c r="A73" s="3" t="s">
        <v>26</v>
      </c>
      <c r="B73" s="3" t="s">
        <v>27</v>
      </c>
      <c r="C73" s="3" t="s">
        <v>51</v>
      </c>
      <c r="D73" s="3" t="s">
        <v>29</v>
      </c>
      <c r="E73" s="3">
        <v>18.0</v>
      </c>
      <c r="F73" s="3" t="s">
        <v>27</v>
      </c>
      <c r="G73" s="3">
        <v>24.95</v>
      </c>
      <c r="I73" s="3">
        <v>25.95</v>
      </c>
      <c r="K73" s="3">
        <v>0.0</v>
      </c>
      <c r="L73" s="3">
        <v>0.0</v>
      </c>
      <c r="M73" s="3" t="s">
        <v>102</v>
      </c>
      <c r="N73" s="3">
        <v>1.0</v>
      </c>
      <c r="O73" s="3">
        <v>0.0</v>
      </c>
      <c r="P73" s="3">
        <v>-0.0499</v>
      </c>
      <c r="Q73" s="3">
        <v>0.0</v>
      </c>
      <c r="R73" s="3">
        <v>0.4041</v>
      </c>
      <c r="S73" s="3">
        <v>43.389999</v>
      </c>
      <c r="T73" s="3">
        <v>24.0</v>
      </c>
      <c r="U73" s="3">
        <f t="shared" si="2"/>
        <v>25.45</v>
      </c>
      <c r="V73" s="3"/>
      <c r="W73" s="3">
        <f t="shared" si="3"/>
        <v>25.39119896</v>
      </c>
      <c r="X73" s="3">
        <f t="shared" si="4"/>
        <v>7.118229431</v>
      </c>
      <c r="Y73" s="3">
        <f t="shared" si="5"/>
        <v>6.993521464</v>
      </c>
      <c r="Z73" s="3">
        <f t="shared" ref="Z73:AA73" si="76">_xlfn.NORM.S.DIST(X73)</f>
        <v>1</v>
      </c>
      <c r="AA73" s="3">
        <f t="shared" si="76"/>
        <v>1</v>
      </c>
      <c r="AB73" s="3"/>
      <c r="AC73" s="3"/>
    </row>
    <row r="74" ht="14.25" customHeight="1">
      <c r="A74" s="3" t="s">
        <v>26</v>
      </c>
      <c r="B74" s="3" t="s">
        <v>27</v>
      </c>
      <c r="C74" s="3" t="s">
        <v>51</v>
      </c>
      <c r="D74" s="3" t="s">
        <v>29</v>
      </c>
      <c r="E74" s="3">
        <v>18.0</v>
      </c>
      <c r="F74" s="3" t="s">
        <v>27</v>
      </c>
      <c r="G74" s="3">
        <v>23.75</v>
      </c>
      <c r="I74" s="3">
        <v>24.75</v>
      </c>
      <c r="K74" s="3">
        <v>0.0</v>
      </c>
      <c r="L74" s="3">
        <v>0.0</v>
      </c>
      <c r="M74" s="3" t="s">
        <v>103</v>
      </c>
      <c r="N74" s="3">
        <v>1.0</v>
      </c>
      <c r="O74" s="3">
        <v>0.0</v>
      </c>
      <c r="P74" s="3">
        <v>-0.0499</v>
      </c>
      <c r="Q74" s="3">
        <v>0.0</v>
      </c>
      <c r="R74" s="3">
        <v>0.3852</v>
      </c>
      <c r="S74" s="3">
        <v>42.190001</v>
      </c>
      <c r="T74" s="3">
        <v>23.0</v>
      </c>
      <c r="U74" s="3">
        <f t="shared" si="2"/>
        <v>24.25</v>
      </c>
      <c r="V74" s="3"/>
      <c r="W74" s="3">
        <f t="shared" si="3"/>
        <v>24.19115096</v>
      </c>
      <c r="X74" s="3">
        <f t="shared" si="4"/>
        <v>7.378440034</v>
      </c>
      <c r="Y74" s="3">
        <f t="shared" si="5"/>
        <v>7.262067652</v>
      </c>
      <c r="Z74" s="3">
        <f t="shared" ref="Z74:AA74" si="77">_xlfn.NORM.S.DIST(X74)</f>
        <v>1</v>
      </c>
      <c r="AA74" s="3">
        <f t="shared" si="77"/>
        <v>1</v>
      </c>
      <c r="AB74" s="3"/>
      <c r="AC74" s="3"/>
    </row>
    <row r="75" ht="14.25" customHeight="1">
      <c r="A75" s="3" t="s">
        <v>26</v>
      </c>
      <c r="B75" s="3" t="s">
        <v>27</v>
      </c>
      <c r="C75" s="3" t="s">
        <v>51</v>
      </c>
      <c r="D75" s="3" t="s">
        <v>29</v>
      </c>
      <c r="E75" s="3">
        <v>18.0</v>
      </c>
      <c r="F75" s="3" t="s">
        <v>27</v>
      </c>
      <c r="G75" s="3">
        <v>23.35</v>
      </c>
      <c r="I75" s="3">
        <v>24.35</v>
      </c>
      <c r="K75" s="3">
        <v>0.0</v>
      </c>
      <c r="L75" s="3">
        <v>0.0</v>
      </c>
      <c r="M75" s="3" t="s">
        <v>104</v>
      </c>
      <c r="N75" s="3">
        <v>1.0</v>
      </c>
      <c r="O75" s="3">
        <v>0.0</v>
      </c>
      <c r="P75" s="3">
        <v>-0.0499</v>
      </c>
      <c r="Q75" s="3">
        <v>0.0</v>
      </c>
      <c r="R75" s="3">
        <v>0.3878</v>
      </c>
      <c r="S75" s="3">
        <v>41.83</v>
      </c>
      <c r="T75" s="3">
        <v>22.0</v>
      </c>
      <c r="U75" s="3">
        <f t="shared" si="2"/>
        <v>23.85</v>
      </c>
      <c r="V75" s="3"/>
      <c r="W75" s="3">
        <f t="shared" si="3"/>
        <v>23.83109997</v>
      </c>
      <c r="X75" s="3">
        <f t="shared" si="4"/>
        <v>7.417071487</v>
      </c>
      <c r="Y75" s="3">
        <f t="shared" si="5"/>
        <v>7.302488833</v>
      </c>
      <c r="Z75" s="3">
        <f t="shared" ref="Z75:AA75" si="78">_xlfn.NORM.S.DIST(X75)</f>
        <v>1</v>
      </c>
      <c r="AA75" s="3">
        <f t="shared" si="78"/>
        <v>1</v>
      </c>
      <c r="AB75" s="3"/>
      <c r="AC75" s="3"/>
    </row>
    <row r="76" ht="14.25" customHeight="1">
      <c r="A76" s="3" t="s">
        <v>26</v>
      </c>
      <c r="B76" s="3" t="s">
        <v>27</v>
      </c>
      <c r="C76" s="3" t="s">
        <v>51</v>
      </c>
      <c r="D76" s="3" t="s">
        <v>29</v>
      </c>
      <c r="E76" s="3">
        <v>18.0</v>
      </c>
      <c r="F76" s="3" t="s">
        <v>27</v>
      </c>
      <c r="G76" s="3">
        <v>23.5</v>
      </c>
      <c r="I76" s="3">
        <v>24.5</v>
      </c>
      <c r="K76" s="3">
        <v>0.0</v>
      </c>
      <c r="L76" s="3">
        <v>0.0</v>
      </c>
      <c r="M76" s="3" t="s">
        <v>105</v>
      </c>
      <c r="N76" s="3">
        <v>1.0</v>
      </c>
      <c r="O76" s="3">
        <v>0.0</v>
      </c>
      <c r="P76" s="3">
        <v>-0.0499</v>
      </c>
      <c r="Q76" s="3">
        <v>0.0</v>
      </c>
      <c r="R76" s="3">
        <v>0.4222</v>
      </c>
      <c r="S76" s="3">
        <v>42.000001</v>
      </c>
      <c r="T76" s="3">
        <v>21.0</v>
      </c>
      <c r="U76" s="3">
        <f t="shared" si="2"/>
        <v>24</v>
      </c>
      <c r="V76" s="3"/>
      <c r="W76" s="3">
        <f t="shared" si="3"/>
        <v>24.00105097</v>
      </c>
      <c r="X76" s="3">
        <f t="shared" si="4"/>
        <v>7.01339797</v>
      </c>
      <c r="Y76" s="3">
        <f t="shared" si="5"/>
        <v>6.891519328</v>
      </c>
      <c r="Z76" s="3">
        <f t="shared" ref="Z76:AA76" si="79">_xlfn.NORM.S.DIST(X76)</f>
        <v>1</v>
      </c>
      <c r="AA76" s="3">
        <f t="shared" si="79"/>
        <v>1</v>
      </c>
      <c r="AB76" s="3"/>
      <c r="AC76" s="3"/>
    </row>
    <row r="77" ht="14.25" customHeight="1">
      <c r="A77" s="3" t="s">
        <v>26</v>
      </c>
      <c r="B77" s="3" t="s">
        <v>27</v>
      </c>
      <c r="C77" s="3" t="s">
        <v>51</v>
      </c>
      <c r="D77" s="3" t="s">
        <v>29</v>
      </c>
      <c r="E77" s="3">
        <v>18.0</v>
      </c>
      <c r="F77" s="3" t="s">
        <v>27</v>
      </c>
      <c r="G77" s="3">
        <v>23.35</v>
      </c>
      <c r="I77" s="3">
        <v>24.35</v>
      </c>
      <c r="K77" s="3">
        <v>0.0</v>
      </c>
      <c r="L77" s="3">
        <v>0.0</v>
      </c>
      <c r="M77" s="3" t="s">
        <v>106</v>
      </c>
      <c r="N77" s="3">
        <v>1.0</v>
      </c>
      <c r="O77" s="3">
        <v>0.0</v>
      </c>
      <c r="P77" s="3">
        <v>-0.0499</v>
      </c>
      <c r="Q77" s="3">
        <v>0.0</v>
      </c>
      <c r="R77" s="3">
        <v>0.3834</v>
      </c>
      <c r="S77" s="3">
        <v>41.850001</v>
      </c>
      <c r="T77" s="3">
        <v>20.0</v>
      </c>
      <c r="U77" s="3">
        <f t="shared" si="2"/>
        <v>23.85</v>
      </c>
      <c r="V77" s="3"/>
      <c r="W77" s="3">
        <f t="shared" si="3"/>
        <v>23.85100097</v>
      </c>
      <c r="X77" s="3">
        <f t="shared" si="4"/>
        <v>7.865967607</v>
      </c>
      <c r="Y77" s="3">
        <f t="shared" si="5"/>
        <v>7.757956894</v>
      </c>
      <c r="Z77" s="3">
        <f t="shared" ref="Z77:AA77" si="80">_xlfn.NORM.S.DIST(X77)</f>
        <v>1</v>
      </c>
      <c r="AA77" s="3">
        <f t="shared" si="80"/>
        <v>1</v>
      </c>
      <c r="AB77" s="3"/>
      <c r="AC77" s="3"/>
    </row>
    <row r="78" ht="14.25" customHeight="1">
      <c r="A78" s="3" t="s">
        <v>26</v>
      </c>
      <c r="B78" s="3" t="s">
        <v>27</v>
      </c>
      <c r="C78" s="3" t="s">
        <v>51</v>
      </c>
      <c r="D78" s="3" t="s">
        <v>29</v>
      </c>
      <c r="E78" s="3">
        <v>18.0</v>
      </c>
      <c r="F78" s="3" t="s">
        <v>27</v>
      </c>
      <c r="G78" s="3">
        <v>24.1</v>
      </c>
      <c r="I78" s="3">
        <v>25.1</v>
      </c>
      <c r="K78" s="3">
        <v>0.0</v>
      </c>
      <c r="L78" s="3">
        <v>0.0</v>
      </c>
      <c r="M78" s="3" t="s">
        <v>107</v>
      </c>
      <c r="N78" s="3">
        <v>1.0</v>
      </c>
      <c r="O78" s="3">
        <v>0.0</v>
      </c>
      <c r="P78" s="3">
        <v>-0.0499</v>
      </c>
      <c r="Q78" s="3">
        <v>0.0</v>
      </c>
      <c r="R78" s="3">
        <v>0.3519</v>
      </c>
      <c r="S78" s="3">
        <v>42.609999</v>
      </c>
      <c r="T78" s="3">
        <v>19.0</v>
      </c>
      <c r="U78" s="3">
        <f t="shared" si="2"/>
        <v>24.6</v>
      </c>
      <c r="V78" s="3"/>
      <c r="W78" s="3">
        <f t="shared" si="3"/>
        <v>24.61094897</v>
      </c>
      <c r="X78" s="3">
        <f t="shared" si="4"/>
        <v>8.966889994</v>
      </c>
      <c r="Y78" s="3">
        <f t="shared" si="5"/>
        <v>8.870263595</v>
      </c>
      <c r="Z78" s="3">
        <f t="shared" ref="Z78:AA78" si="81">_xlfn.NORM.S.DIST(X78)</f>
        <v>1</v>
      </c>
      <c r="AA78" s="3">
        <f t="shared" si="81"/>
        <v>1</v>
      </c>
      <c r="AB78" s="3"/>
      <c r="AC78" s="3"/>
    </row>
    <row r="79" ht="14.25" customHeight="1">
      <c r="A79" s="3" t="s">
        <v>26</v>
      </c>
      <c r="B79" s="3" t="s">
        <v>27</v>
      </c>
      <c r="C79" s="3" t="s">
        <v>51</v>
      </c>
      <c r="D79" s="3" t="s">
        <v>29</v>
      </c>
      <c r="E79" s="3">
        <v>18.0</v>
      </c>
      <c r="F79" s="3" t="s">
        <v>27</v>
      </c>
      <c r="G79" s="3">
        <v>24.35</v>
      </c>
      <c r="I79" s="3">
        <v>25.35</v>
      </c>
      <c r="K79" s="3">
        <v>0.0</v>
      </c>
      <c r="L79" s="3">
        <v>0.0</v>
      </c>
      <c r="M79" s="3" t="s">
        <v>108</v>
      </c>
      <c r="N79" s="3">
        <v>0.9997</v>
      </c>
      <c r="O79" s="3">
        <v>0.0</v>
      </c>
      <c r="P79" s="3">
        <v>0.1835</v>
      </c>
      <c r="Q79" s="3">
        <v>0.0</v>
      </c>
      <c r="R79" s="3">
        <v>0.3928</v>
      </c>
      <c r="S79" s="3">
        <v>42.850001</v>
      </c>
      <c r="T79" s="3">
        <v>18.0</v>
      </c>
      <c r="U79" s="3">
        <f t="shared" si="2"/>
        <v>24.85</v>
      </c>
      <c r="V79" s="3"/>
      <c r="W79" s="3">
        <f t="shared" si="3"/>
        <v>24.85090098</v>
      </c>
      <c r="X79" s="3">
        <f t="shared" si="4"/>
        <v>8.314846055</v>
      </c>
      <c r="Y79" s="3">
        <f t="shared" si="5"/>
        <v>8.209865839</v>
      </c>
      <c r="Z79" s="3">
        <f t="shared" ref="Z79:AA79" si="82">_xlfn.NORM.S.DIST(X79)</f>
        <v>1</v>
      </c>
      <c r="AA79" s="3">
        <f t="shared" si="82"/>
        <v>1</v>
      </c>
      <c r="AB79" s="3"/>
      <c r="AC79" s="3"/>
    </row>
    <row r="80" ht="14.25" customHeight="1">
      <c r="A80" s="3" t="s">
        <v>26</v>
      </c>
      <c r="B80" s="3" t="s">
        <v>27</v>
      </c>
      <c r="C80" s="3" t="s">
        <v>51</v>
      </c>
      <c r="D80" s="3" t="s">
        <v>29</v>
      </c>
      <c r="E80" s="3">
        <v>18.0</v>
      </c>
      <c r="F80" s="3" t="s">
        <v>27</v>
      </c>
      <c r="G80" s="3">
        <v>24.2</v>
      </c>
      <c r="I80" s="3">
        <v>25.2</v>
      </c>
      <c r="K80" s="3">
        <v>0.0</v>
      </c>
      <c r="L80" s="3">
        <v>0.0</v>
      </c>
      <c r="M80" s="3" t="s">
        <v>109</v>
      </c>
      <c r="N80" s="3">
        <v>0.9997</v>
      </c>
      <c r="O80" s="3">
        <v>0.0</v>
      </c>
      <c r="P80" s="3">
        <v>0.1829</v>
      </c>
      <c r="Q80" s="3">
        <v>0.0</v>
      </c>
      <c r="R80" s="3">
        <v>0.4565</v>
      </c>
      <c r="S80" s="3">
        <v>42.729999</v>
      </c>
      <c r="T80" s="3">
        <v>17.0</v>
      </c>
      <c r="U80" s="3">
        <f t="shared" si="2"/>
        <v>24.7</v>
      </c>
      <c r="V80" s="3"/>
      <c r="W80" s="3">
        <f t="shared" si="3"/>
        <v>24.73084898</v>
      </c>
      <c r="X80" s="3">
        <f t="shared" si="4"/>
        <v>7.351147493</v>
      </c>
      <c r="Y80" s="3">
        <f t="shared" si="5"/>
        <v>7.232580182</v>
      </c>
      <c r="Z80" s="3">
        <f t="shared" ref="Z80:AA80" si="83">_xlfn.NORM.S.DIST(X80)</f>
        <v>1</v>
      </c>
      <c r="AA80" s="3">
        <f t="shared" si="83"/>
        <v>1</v>
      </c>
      <c r="AB80" s="3"/>
      <c r="AC80" s="3"/>
    </row>
    <row r="81" ht="14.25" customHeight="1">
      <c r="A81" s="3" t="s">
        <v>26</v>
      </c>
      <c r="B81" s="3" t="s">
        <v>27</v>
      </c>
      <c r="C81" s="3" t="s">
        <v>51</v>
      </c>
      <c r="D81" s="3" t="s">
        <v>29</v>
      </c>
      <c r="E81" s="3">
        <v>18.0</v>
      </c>
      <c r="F81" s="3" t="s">
        <v>27</v>
      </c>
      <c r="G81" s="3">
        <v>22.85</v>
      </c>
      <c r="I81" s="3">
        <v>23.85</v>
      </c>
      <c r="K81" s="3">
        <v>0.0</v>
      </c>
      <c r="L81" s="3">
        <v>0.0</v>
      </c>
      <c r="M81" s="3" t="s">
        <v>110</v>
      </c>
      <c r="N81" s="3">
        <v>1.0</v>
      </c>
      <c r="O81" s="3">
        <v>0.0</v>
      </c>
      <c r="P81" s="3">
        <v>-0.0499</v>
      </c>
      <c r="Q81" s="3">
        <v>0.0</v>
      </c>
      <c r="R81" s="3">
        <v>0.4419</v>
      </c>
      <c r="S81" s="3">
        <v>41.300001</v>
      </c>
      <c r="T81" s="3">
        <v>16.0</v>
      </c>
      <c r="U81" s="3">
        <f t="shared" si="2"/>
        <v>23.35</v>
      </c>
      <c r="V81" s="3"/>
      <c r="W81" s="3">
        <f t="shared" si="3"/>
        <v>23.30080098</v>
      </c>
      <c r="X81" s="3">
        <f t="shared" si="4"/>
        <v>7.514566301</v>
      </c>
      <c r="Y81" s="3">
        <f t="shared" si="5"/>
        <v>7.403217967</v>
      </c>
      <c r="Z81" s="3">
        <f t="shared" ref="Z81:AA81" si="84">_xlfn.NORM.S.DIST(X81)</f>
        <v>1</v>
      </c>
      <c r="AA81" s="3">
        <f t="shared" si="84"/>
        <v>1</v>
      </c>
      <c r="AB81" s="3"/>
      <c r="AC81" s="3"/>
    </row>
    <row r="82" ht="14.25" customHeight="1">
      <c r="A82" s="3" t="s">
        <v>26</v>
      </c>
      <c r="B82" s="3" t="s">
        <v>27</v>
      </c>
      <c r="C82" s="3" t="s">
        <v>51</v>
      </c>
      <c r="D82" s="3" t="s">
        <v>29</v>
      </c>
      <c r="E82" s="3">
        <v>18.0</v>
      </c>
      <c r="F82" s="3" t="s">
        <v>27</v>
      </c>
      <c r="G82" s="3">
        <v>22.9</v>
      </c>
      <c r="I82" s="3">
        <v>23.9</v>
      </c>
      <c r="K82" s="3">
        <v>0.0</v>
      </c>
      <c r="L82" s="3">
        <v>0.0</v>
      </c>
      <c r="M82" s="3" t="s">
        <v>111</v>
      </c>
      <c r="N82" s="3">
        <v>1.0</v>
      </c>
      <c r="O82" s="3">
        <v>0.0</v>
      </c>
      <c r="P82" s="3">
        <v>-0.0499</v>
      </c>
      <c r="Q82" s="3">
        <v>0.0</v>
      </c>
      <c r="R82" s="3">
        <v>0.4535</v>
      </c>
      <c r="S82" s="3">
        <v>41.46</v>
      </c>
      <c r="T82" s="3">
        <v>15.0</v>
      </c>
      <c r="U82" s="3">
        <f t="shared" si="2"/>
        <v>23.4</v>
      </c>
      <c r="V82" s="3"/>
      <c r="W82" s="3">
        <f t="shared" si="3"/>
        <v>23.46074998</v>
      </c>
      <c r="X82" s="3">
        <f t="shared" si="4"/>
        <v>7.596706679</v>
      </c>
      <c r="Y82" s="3">
        <f t="shared" si="5"/>
        <v>7.486064009</v>
      </c>
      <c r="Z82" s="3">
        <f t="shared" ref="Z82:AA82" si="85">_xlfn.NORM.S.DIST(X82)</f>
        <v>1</v>
      </c>
      <c r="AA82" s="3">
        <f t="shared" si="85"/>
        <v>1</v>
      </c>
      <c r="AB82" s="3"/>
      <c r="AC82" s="3"/>
    </row>
    <row r="83" ht="14.25" customHeight="1">
      <c r="A83" s="3" t="s">
        <v>26</v>
      </c>
      <c r="B83" s="3" t="s">
        <v>27</v>
      </c>
      <c r="C83" s="3" t="s">
        <v>51</v>
      </c>
      <c r="D83" s="3" t="s">
        <v>29</v>
      </c>
      <c r="E83" s="3">
        <v>18.0</v>
      </c>
      <c r="F83" s="3" t="s">
        <v>27</v>
      </c>
      <c r="G83" s="3">
        <v>22.95</v>
      </c>
      <c r="I83" s="3">
        <v>23.95</v>
      </c>
      <c r="K83" s="3">
        <v>0.0</v>
      </c>
      <c r="L83" s="3">
        <v>0.0</v>
      </c>
      <c r="M83" s="3" t="s">
        <v>112</v>
      </c>
      <c r="N83" s="3">
        <v>1.0</v>
      </c>
      <c r="O83" s="3">
        <v>0.0</v>
      </c>
      <c r="P83" s="3">
        <v>-0.0499</v>
      </c>
      <c r="Q83" s="3">
        <v>0.0</v>
      </c>
      <c r="R83" s="3">
        <v>0.428</v>
      </c>
      <c r="S83" s="3">
        <v>41.439999</v>
      </c>
      <c r="T83" s="3">
        <v>14.0</v>
      </c>
      <c r="U83" s="3">
        <f t="shared" si="2"/>
        <v>23.45</v>
      </c>
      <c r="V83" s="3"/>
      <c r="W83" s="3">
        <f t="shared" si="3"/>
        <v>23.44069899</v>
      </c>
      <c r="X83" s="3">
        <f t="shared" si="4"/>
        <v>8.316786577</v>
      </c>
      <c r="Y83" s="3">
        <f t="shared" si="5"/>
        <v>8.21590601</v>
      </c>
      <c r="Z83" s="3">
        <f t="shared" ref="Z83:AA83" si="86">_xlfn.NORM.S.DIST(X83)</f>
        <v>1</v>
      </c>
      <c r="AA83" s="3">
        <f t="shared" si="86"/>
        <v>1</v>
      </c>
      <c r="AB83" s="3"/>
      <c r="AC83" s="3"/>
    </row>
    <row r="84" ht="14.25" customHeight="1">
      <c r="A84" s="3" t="s">
        <v>26</v>
      </c>
      <c r="B84" s="3" t="s">
        <v>27</v>
      </c>
      <c r="C84" s="3" t="s">
        <v>51</v>
      </c>
      <c r="D84" s="3" t="s">
        <v>29</v>
      </c>
      <c r="E84" s="3">
        <v>18.0</v>
      </c>
      <c r="F84" s="3" t="s">
        <v>27</v>
      </c>
      <c r="G84" s="3">
        <v>22.85</v>
      </c>
      <c r="I84" s="3">
        <v>23.85</v>
      </c>
      <c r="K84" s="3">
        <v>0.0</v>
      </c>
      <c r="L84" s="3">
        <v>0.0</v>
      </c>
      <c r="M84" s="3" t="s">
        <v>113</v>
      </c>
      <c r="N84" s="3">
        <v>1.0</v>
      </c>
      <c r="O84" s="3">
        <v>0.0</v>
      </c>
      <c r="P84" s="3">
        <v>-0.0493</v>
      </c>
      <c r="Q84" s="3">
        <v>0.0</v>
      </c>
      <c r="R84" s="3">
        <v>0.6639</v>
      </c>
      <c r="S84" s="3">
        <v>41.31</v>
      </c>
      <c r="T84" s="3">
        <v>13.0</v>
      </c>
      <c r="U84" s="3">
        <f t="shared" si="2"/>
        <v>23.35</v>
      </c>
      <c r="V84" s="3"/>
      <c r="W84" s="3">
        <f t="shared" si="3"/>
        <v>23.31065</v>
      </c>
      <c r="X84" s="3">
        <f t="shared" si="4"/>
        <v>5.584819112</v>
      </c>
      <c r="Y84" s="3">
        <f t="shared" si="5"/>
        <v>5.43402858</v>
      </c>
      <c r="Z84" s="3">
        <f t="shared" ref="Z84:AA84" si="87">_xlfn.NORM.S.DIST(X84)</f>
        <v>0.9999999883</v>
      </c>
      <c r="AA84" s="3">
        <f t="shared" si="87"/>
        <v>0.9999999725</v>
      </c>
      <c r="AB84" s="3"/>
      <c r="AC84" s="3"/>
    </row>
    <row r="85" ht="14.25" customHeight="1">
      <c r="A85" s="3" t="s">
        <v>26</v>
      </c>
      <c r="B85" s="3" t="s">
        <v>27</v>
      </c>
      <c r="C85" s="3" t="s">
        <v>51</v>
      </c>
      <c r="D85" s="3" t="s">
        <v>29</v>
      </c>
      <c r="E85" s="3">
        <v>18.0</v>
      </c>
      <c r="F85" s="3" t="s">
        <v>27</v>
      </c>
      <c r="G85" s="3">
        <v>22.95</v>
      </c>
      <c r="I85" s="3">
        <v>23.95</v>
      </c>
      <c r="K85" s="3">
        <v>0.0</v>
      </c>
      <c r="L85" s="3">
        <v>0.0</v>
      </c>
      <c r="M85" s="3" t="s">
        <v>114</v>
      </c>
      <c r="N85" s="3">
        <v>1.0</v>
      </c>
      <c r="O85" s="3">
        <v>0.0</v>
      </c>
      <c r="P85" s="3">
        <v>-0.0493</v>
      </c>
      <c r="Q85" s="3">
        <v>0.0</v>
      </c>
      <c r="R85" s="3">
        <v>0.5371</v>
      </c>
      <c r="S85" s="3">
        <v>41.479999</v>
      </c>
      <c r="T85" s="3">
        <v>12.0</v>
      </c>
      <c r="U85" s="3">
        <f t="shared" si="2"/>
        <v>23.45</v>
      </c>
      <c r="V85" s="3"/>
      <c r="W85" s="3">
        <f t="shared" si="3"/>
        <v>23.48059899</v>
      </c>
      <c r="X85" s="3">
        <f t="shared" si="4"/>
        <v>7.18179813</v>
      </c>
      <c r="Y85" s="3">
        <f t="shared" si="5"/>
        <v>7.064593301</v>
      </c>
      <c r="Z85" s="3">
        <f t="shared" ref="Z85:AA85" si="88">_xlfn.NORM.S.DIST(X85)</f>
        <v>1</v>
      </c>
      <c r="AA85" s="3">
        <f t="shared" si="88"/>
        <v>1</v>
      </c>
      <c r="AB85" s="3"/>
      <c r="AC85" s="3"/>
    </row>
    <row r="86" ht="14.25" customHeight="1">
      <c r="A86" s="3" t="s">
        <v>26</v>
      </c>
      <c r="B86" s="3" t="s">
        <v>27</v>
      </c>
      <c r="C86" s="3" t="s">
        <v>51</v>
      </c>
      <c r="D86" s="3" t="s">
        <v>29</v>
      </c>
      <c r="E86" s="3">
        <v>18.0</v>
      </c>
      <c r="F86" s="3" t="s">
        <v>27</v>
      </c>
      <c r="G86" s="3">
        <v>23.05</v>
      </c>
      <c r="I86" s="3">
        <v>24.05</v>
      </c>
      <c r="K86" s="3">
        <v>0.0</v>
      </c>
      <c r="L86" s="3">
        <v>0.0</v>
      </c>
      <c r="M86" s="3" t="s">
        <v>115</v>
      </c>
      <c r="N86" s="3">
        <v>1.0</v>
      </c>
      <c r="O86" s="3">
        <v>0.0</v>
      </c>
      <c r="P86" s="3">
        <v>-0.0493</v>
      </c>
      <c r="Q86" s="3">
        <v>0.0</v>
      </c>
      <c r="R86" s="3">
        <v>0.5323</v>
      </c>
      <c r="S86" s="3">
        <v>41.549999</v>
      </c>
      <c r="T86" s="3">
        <v>11.0</v>
      </c>
      <c r="U86" s="3">
        <f t="shared" si="2"/>
        <v>23.55</v>
      </c>
      <c r="V86" s="3"/>
      <c r="W86" s="3">
        <f t="shared" si="3"/>
        <v>23.55054899</v>
      </c>
      <c r="X86" s="3">
        <f t="shared" si="4"/>
        <v>7.577767262</v>
      </c>
      <c r="Y86" s="3">
        <f t="shared" si="5"/>
        <v>7.466555035</v>
      </c>
      <c r="Z86" s="3">
        <f t="shared" ref="Z86:AA86" si="89">_xlfn.NORM.S.DIST(X86)</f>
        <v>1</v>
      </c>
      <c r="AA86" s="3">
        <f t="shared" si="89"/>
        <v>1</v>
      </c>
      <c r="AB86" s="3"/>
      <c r="AC86" s="3"/>
    </row>
    <row r="87" ht="14.25" customHeight="1">
      <c r="A87" s="3" t="s">
        <v>26</v>
      </c>
      <c r="B87" s="3" t="s">
        <v>27</v>
      </c>
      <c r="C87" s="3" t="s">
        <v>51</v>
      </c>
      <c r="D87" s="3" t="s">
        <v>29</v>
      </c>
      <c r="E87" s="3">
        <v>18.0</v>
      </c>
      <c r="F87" s="3" t="s">
        <v>27</v>
      </c>
      <c r="G87" s="3">
        <v>22.5</v>
      </c>
      <c r="I87" s="3">
        <v>25.55</v>
      </c>
      <c r="K87" s="3">
        <v>0.0</v>
      </c>
      <c r="L87" s="3">
        <v>0.0</v>
      </c>
      <c r="M87" s="3" t="s">
        <v>116</v>
      </c>
      <c r="N87" s="3">
        <v>0.9996</v>
      </c>
      <c r="O87" s="3">
        <v>0.0</v>
      </c>
      <c r="P87" s="3">
        <v>0.4402</v>
      </c>
      <c r="Q87" s="3">
        <v>0.0</v>
      </c>
      <c r="R87" s="3">
        <v>0.626</v>
      </c>
      <c r="S87" s="3">
        <v>42.000001</v>
      </c>
      <c r="T87" s="3">
        <v>10.0</v>
      </c>
      <c r="U87" s="3">
        <f t="shared" si="2"/>
        <v>24.025</v>
      </c>
      <c r="V87" s="3"/>
      <c r="W87" s="3">
        <f t="shared" si="3"/>
        <v>24.00050099</v>
      </c>
      <c r="X87" s="3">
        <f t="shared" si="4"/>
        <v>6.857145126</v>
      </c>
      <c r="Y87" s="3">
        <f t="shared" si="5"/>
        <v>6.732442941</v>
      </c>
      <c r="Z87" s="3">
        <f t="shared" ref="Z87:AA87" si="90">_xlfn.NORM.S.DIST(X87)</f>
        <v>1</v>
      </c>
      <c r="AA87" s="3">
        <f t="shared" si="90"/>
        <v>1</v>
      </c>
      <c r="AB87" s="3"/>
      <c r="AC87" s="3"/>
    </row>
    <row r="88" ht="14.25" customHeight="1">
      <c r="A88" s="3" t="s">
        <v>26</v>
      </c>
      <c r="B88" s="3" t="s">
        <v>27</v>
      </c>
      <c r="C88" s="3" t="s">
        <v>51</v>
      </c>
      <c r="D88" s="3" t="s">
        <v>29</v>
      </c>
      <c r="E88" s="3">
        <v>18.0</v>
      </c>
      <c r="F88" s="3" t="s">
        <v>27</v>
      </c>
      <c r="G88" s="3">
        <v>23.9</v>
      </c>
      <c r="I88" s="3">
        <v>24.55</v>
      </c>
      <c r="K88" s="3">
        <v>0.0</v>
      </c>
      <c r="L88" s="3">
        <v>0.0</v>
      </c>
      <c r="M88" s="3" t="s">
        <v>117</v>
      </c>
      <c r="N88" s="3">
        <v>0.9993</v>
      </c>
      <c r="O88" s="3">
        <v>0.0</v>
      </c>
      <c r="P88" s="3">
        <v>0.9387</v>
      </c>
      <c r="Q88" s="3">
        <v>0.0</v>
      </c>
      <c r="R88" s="3">
        <v>0.5634</v>
      </c>
      <c r="S88" s="3">
        <v>42.400001</v>
      </c>
      <c r="T88" s="3">
        <v>9.0</v>
      </c>
      <c r="U88" s="3">
        <f t="shared" si="2"/>
        <v>24.225</v>
      </c>
      <c r="V88" s="3"/>
      <c r="W88" s="3">
        <f t="shared" si="3"/>
        <v>24.40045099</v>
      </c>
      <c r="X88" s="3">
        <f t="shared" si="4"/>
        <v>8.100392953</v>
      </c>
      <c r="Y88" s="3">
        <f t="shared" si="5"/>
        <v>7.993920361</v>
      </c>
      <c r="Z88" s="3">
        <f t="shared" ref="Z88:AA88" si="91">_xlfn.NORM.S.DIST(X88)</f>
        <v>1</v>
      </c>
      <c r="AA88" s="3">
        <f t="shared" si="91"/>
        <v>1</v>
      </c>
      <c r="AB88" s="3"/>
      <c r="AC88" s="3"/>
    </row>
    <row r="89" ht="14.25" customHeight="1">
      <c r="A89" s="3" t="s">
        <v>26</v>
      </c>
      <c r="B89" s="3" t="s">
        <v>27</v>
      </c>
      <c r="C89" s="3" t="s">
        <v>51</v>
      </c>
      <c r="D89" s="3" t="s">
        <v>29</v>
      </c>
      <c r="E89" s="3">
        <v>18.0</v>
      </c>
      <c r="F89" s="3" t="s">
        <v>27</v>
      </c>
      <c r="G89" s="3">
        <v>24.45</v>
      </c>
      <c r="I89" s="3">
        <v>25.45</v>
      </c>
      <c r="K89" s="3">
        <v>0.0</v>
      </c>
      <c r="L89" s="3">
        <v>0.0</v>
      </c>
      <c r="M89" s="3" t="s">
        <v>118</v>
      </c>
      <c r="N89" s="3">
        <v>0.9994</v>
      </c>
      <c r="O89" s="3">
        <v>0.0</v>
      </c>
      <c r="P89" s="3">
        <v>0.9512</v>
      </c>
      <c r="Q89" s="3">
        <v>0.0</v>
      </c>
      <c r="R89" s="3">
        <v>0.6549</v>
      </c>
      <c r="S89" s="3">
        <v>42.94</v>
      </c>
      <c r="T89" s="3">
        <v>8.0</v>
      </c>
      <c r="U89" s="3">
        <f t="shared" si="2"/>
        <v>24.95</v>
      </c>
      <c r="V89" s="3"/>
      <c r="W89" s="3">
        <f t="shared" si="3"/>
        <v>24.9404</v>
      </c>
      <c r="X89" s="3">
        <f t="shared" si="4"/>
        <v>7.509556923</v>
      </c>
      <c r="Y89" s="3">
        <f t="shared" si="5"/>
        <v>7.392870665</v>
      </c>
      <c r="Z89" s="3">
        <f t="shared" ref="Z89:AA89" si="92">_xlfn.NORM.S.DIST(X89)</f>
        <v>1</v>
      </c>
      <c r="AA89" s="3">
        <f t="shared" si="92"/>
        <v>1</v>
      </c>
      <c r="AB89" s="3"/>
      <c r="AC89" s="3"/>
    </row>
    <row r="90" ht="14.25" customHeight="1">
      <c r="A90" s="3" t="s">
        <v>26</v>
      </c>
      <c r="B90" s="3" t="s">
        <v>27</v>
      </c>
      <c r="C90" s="3" t="s">
        <v>51</v>
      </c>
      <c r="D90" s="3" t="s">
        <v>29</v>
      </c>
      <c r="E90" s="3">
        <v>18.0</v>
      </c>
      <c r="F90" s="3" t="s">
        <v>27</v>
      </c>
      <c r="G90" s="3">
        <v>24.65</v>
      </c>
      <c r="I90" s="3">
        <v>25.65</v>
      </c>
      <c r="K90" s="3">
        <v>0.0</v>
      </c>
      <c r="L90" s="3">
        <v>0.0</v>
      </c>
      <c r="M90" s="3" t="s">
        <v>119</v>
      </c>
      <c r="N90" s="3">
        <v>0.9995</v>
      </c>
      <c r="O90" s="3">
        <v>0.0</v>
      </c>
      <c r="P90" s="3">
        <v>0.9565</v>
      </c>
      <c r="Q90" s="3">
        <v>0.0</v>
      </c>
      <c r="R90" s="3">
        <v>0.5866</v>
      </c>
      <c r="S90" s="3">
        <v>43.16</v>
      </c>
      <c r="T90" s="3">
        <v>7.0</v>
      </c>
      <c r="U90" s="3">
        <f t="shared" si="2"/>
        <v>25.15</v>
      </c>
      <c r="V90" s="3"/>
      <c r="W90" s="3">
        <f t="shared" si="3"/>
        <v>25.16035</v>
      </c>
      <c r="X90" s="3">
        <f t="shared" si="4"/>
        <v>8.994282177</v>
      </c>
      <c r="Y90" s="3">
        <f t="shared" si="5"/>
        <v>8.89651551</v>
      </c>
      <c r="Z90" s="3">
        <f t="shared" ref="Z90:AA90" si="93">_xlfn.NORM.S.DIST(X90)</f>
        <v>1</v>
      </c>
      <c r="AA90" s="3">
        <f t="shared" si="93"/>
        <v>1</v>
      </c>
      <c r="AB90" s="3"/>
      <c r="AC90" s="3"/>
    </row>
    <row r="91" ht="14.25" customHeight="1">
      <c r="A91" s="3" t="s">
        <v>26</v>
      </c>
      <c r="B91" s="3" t="s">
        <v>27</v>
      </c>
      <c r="C91" s="3" t="s">
        <v>51</v>
      </c>
      <c r="D91" s="3" t="s">
        <v>29</v>
      </c>
      <c r="E91" s="3">
        <v>18.0</v>
      </c>
      <c r="F91" s="3" t="s">
        <v>27</v>
      </c>
      <c r="G91" s="3">
        <v>25.1</v>
      </c>
      <c r="I91" s="3">
        <v>26.1</v>
      </c>
      <c r="K91" s="3">
        <v>0.0</v>
      </c>
      <c r="L91" s="3">
        <v>0.0</v>
      </c>
      <c r="M91" s="3" t="s">
        <v>120</v>
      </c>
      <c r="N91" s="3">
        <v>1.0</v>
      </c>
      <c r="O91" s="3">
        <v>0.0</v>
      </c>
      <c r="P91" s="3">
        <v>-0.0493</v>
      </c>
      <c r="Q91" s="3">
        <v>0.0</v>
      </c>
      <c r="R91" s="3">
        <v>0.7378</v>
      </c>
      <c r="S91" s="3">
        <v>43.63</v>
      </c>
      <c r="T91" s="3">
        <v>6.0</v>
      </c>
      <c r="U91" s="3">
        <f t="shared" si="2"/>
        <v>25.6</v>
      </c>
      <c r="V91" s="3"/>
      <c r="W91" s="3">
        <f t="shared" si="3"/>
        <v>25.6303</v>
      </c>
      <c r="X91" s="3">
        <f t="shared" si="4"/>
        <v>7.834073946</v>
      </c>
      <c r="Y91" s="3">
        <f t="shared" si="5"/>
        <v>7.720228934</v>
      </c>
      <c r="Z91" s="3">
        <f t="shared" ref="Z91:AA91" si="94">_xlfn.NORM.S.DIST(X91)</f>
        <v>1</v>
      </c>
      <c r="AA91" s="3">
        <f t="shared" si="94"/>
        <v>1</v>
      </c>
      <c r="AB91" s="3"/>
      <c r="AC91" s="3"/>
    </row>
    <row r="92" ht="14.25" customHeight="1">
      <c r="A92" s="3" t="s">
        <v>26</v>
      </c>
      <c r="B92" s="3" t="s">
        <v>27</v>
      </c>
      <c r="C92" s="3" t="s">
        <v>51</v>
      </c>
      <c r="D92" s="3" t="s">
        <v>29</v>
      </c>
      <c r="E92" s="3">
        <v>18.0</v>
      </c>
      <c r="F92" s="3" t="s">
        <v>27</v>
      </c>
      <c r="G92" s="3">
        <v>24.55</v>
      </c>
      <c r="I92" s="3">
        <v>25.4</v>
      </c>
      <c r="K92" s="3">
        <v>0.0</v>
      </c>
      <c r="L92" s="3">
        <v>0.0</v>
      </c>
      <c r="M92" s="3" t="s">
        <v>121</v>
      </c>
      <c r="N92" s="3">
        <v>1.0</v>
      </c>
      <c r="O92" s="3">
        <v>0.0</v>
      </c>
      <c r="P92" s="3">
        <v>-0.0493</v>
      </c>
      <c r="Q92" s="3">
        <v>0.0</v>
      </c>
      <c r="R92" s="3">
        <v>0.8023</v>
      </c>
      <c r="S92" s="3">
        <v>43.04</v>
      </c>
      <c r="T92" s="3">
        <v>5.0</v>
      </c>
      <c r="U92" s="3">
        <f t="shared" si="2"/>
        <v>24.975</v>
      </c>
      <c r="V92" s="3"/>
      <c r="W92" s="3">
        <f t="shared" si="3"/>
        <v>25.04025</v>
      </c>
      <c r="X92" s="3">
        <f t="shared" si="4"/>
        <v>7.770537237</v>
      </c>
      <c r="Y92" s="3">
        <f t="shared" si="5"/>
        <v>7.657526027</v>
      </c>
      <c r="Z92" s="3">
        <f t="shared" ref="Z92:AA92" si="95">_xlfn.NORM.S.DIST(X92)</f>
        <v>1</v>
      </c>
      <c r="AA92" s="3">
        <f t="shared" si="95"/>
        <v>1</v>
      </c>
      <c r="AB92" s="3"/>
      <c r="AC92" s="3"/>
    </row>
    <row r="93" ht="14.25" customHeight="1">
      <c r="A93" s="3" t="s">
        <v>26</v>
      </c>
      <c r="B93" s="3" t="s">
        <v>27</v>
      </c>
      <c r="C93" s="3" t="s">
        <v>51</v>
      </c>
      <c r="D93" s="3" t="s">
        <v>29</v>
      </c>
      <c r="E93" s="3">
        <v>18.0</v>
      </c>
      <c r="F93" s="3" t="s">
        <v>27</v>
      </c>
      <c r="G93" s="3">
        <v>25.5</v>
      </c>
      <c r="I93" s="3">
        <v>26.5</v>
      </c>
      <c r="K93" s="3">
        <v>0.0</v>
      </c>
      <c r="L93" s="3">
        <v>0.0</v>
      </c>
      <c r="M93" s="3" t="s">
        <v>122</v>
      </c>
      <c r="N93" s="3">
        <v>1.0</v>
      </c>
      <c r="O93" s="3">
        <v>0.0</v>
      </c>
      <c r="P93" s="3">
        <v>-0.0493</v>
      </c>
      <c r="Q93" s="3">
        <v>0.0</v>
      </c>
      <c r="R93" s="3">
        <v>0.7392</v>
      </c>
      <c r="S93" s="3">
        <v>43.97</v>
      </c>
      <c r="T93" s="3">
        <v>4.0</v>
      </c>
      <c r="U93" s="3">
        <f t="shared" si="2"/>
        <v>26</v>
      </c>
      <c r="V93" s="3"/>
      <c r="W93" s="3">
        <f t="shared" si="3"/>
        <v>25.9702</v>
      </c>
      <c r="X93" s="3">
        <f t="shared" si="4"/>
        <v>9.636843949</v>
      </c>
      <c r="Y93" s="3">
        <f t="shared" si="5"/>
        <v>9.543713502</v>
      </c>
      <c r="Z93" s="3">
        <f t="shared" ref="Z93:AA93" si="96">_xlfn.NORM.S.DIST(X93)</f>
        <v>1</v>
      </c>
      <c r="AA93" s="3">
        <f t="shared" si="96"/>
        <v>1</v>
      </c>
      <c r="AB93" s="3"/>
      <c r="AC93" s="3"/>
    </row>
    <row r="94" ht="14.25" customHeight="1">
      <c r="A94" s="3" t="s">
        <v>26</v>
      </c>
      <c r="B94" s="3" t="s">
        <v>27</v>
      </c>
      <c r="C94" s="3" t="s">
        <v>51</v>
      </c>
      <c r="D94" s="3" t="s">
        <v>29</v>
      </c>
      <c r="E94" s="3">
        <v>18.0</v>
      </c>
      <c r="F94" s="3" t="s">
        <v>27</v>
      </c>
      <c r="G94" s="3">
        <v>27.2</v>
      </c>
      <c r="I94" s="3">
        <v>28.2</v>
      </c>
      <c r="K94" s="3">
        <v>0.0</v>
      </c>
      <c r="L94" s="3">
        <v>0.0</v>
      </c>
      <c r="M94" s="3" t="s">
        <v>123</v>
      </c>
      <c r="N94" s="3">
        <v>1.0</v>
      </c>
      <c r="O94" s="3">
        <v>0.0</v>
      </c>
      <c r="P94" s="3">
        <v>-0.0493</v>
      </c>
      <c r="Q94" s="3">
        <v>0.0</v>
      </c>
      <c r="R94" s="3">
        <v>0.3562</v>
      </c>
      <c r="S94" s="3">
        <v>45.680001</v>
      </c>
      <c r="T94" s="3">
        <v>3.0</v>
      </c>
      <c r="U94" s="3">
        <f t="shared" si="2"/>
        <v>27.7</v>
      </c>
      <c r="V94" s="3"/>
      <c r="W94" s="3">
        <f t="shared" si="3"/>
        <v>27.680151</v>
      </c>
      <c r="X94" s="3">
        <f t="shared" si="4"/>
        <v>23.98203614</v>
      </c>
      <c r="Y94" s="3">
        <f t="shared" si="5"/>
        <v>23.94317153</v>
      </c>
      <c r="Z94" s="3">
        <f t="shared" ref="Z94:AA94" si="97">_xlfn.NORM.S.DIST(X94)</f>
        <v>1</v>
      </c>
      <c r="AA94" s="3">
        <f t="shared" si="97"/>
        <v>1</v>
      </c>
      <c r="AB94" s="3"/>
      <c r="AC94" s="3"/>
    </row>
    <row r="95" ht="14.25" customHeight="1">
      <c r="A95" s="3" t="s">
        <v>26</v>
      </c>
      <c r="B95" s="3" t="s">
        <v>27</v>
      </c>
      <c r="C95" s="3" t="s">
        <v>51</v>
      </c>
      <c r="D95" s="3" t="s">
        <v>29</v>
      </c>
      <c r="E95" s="3">
        <v>18.0</v>
      </c>
      <c r="F95" s="3" t="s">
        <v>27</v>
      </c>
      <c r="G95" s="3">
        <v>26.9</v>
      </c>
      <c r="I95" s="3">
        <v>27.1</v>
      </c>
      <c r="K95" s="3">
        <v>0.0</v>
      </c>
      <c r="L95" s="3">
        <v>0.0</v>
      </c>
      <c r="M95" s="3" t="s">
        <v>124</v>
      </c>
      <c r="N95" s="3">
        <v>1.0</v>
      </c>
      <c r="O95" s="3">
        <v>0.0</v>
      </c>
      <c r="P95" s="3">
        <v>-0.0493</v>
      </c>
      <c r="Q95" s="3">
        <v>0.0</v>
      </c>
      <c r="R95" s="3">
        <v>0.3327</v>
      </c>
      <c r="S95" s="3">
        <v>44.989998</v>
      </c>
      <c r="T95" s="3">
        <v>2.0</v>
      </c>
      <c r="U95" s="3">
        <f t="shared" si="2"/>
        <v>27</v>
      </c>
      <c r="V95" s="3"/>
      <c r="W95" s="3">
        <f t="shared" si="3"/>
        <v>26.990098</v>
      </c>
      <c r="X95" s="3">
        <f t="shared" si="4"/>
        <v>30.92225908</v>
      </c>
      <c r="Y95" s="3">
        <f t="shared" si="5"/>
        <v>30.89261981</v>
      </c>
      <c r="Z95" s="3">
        <f t="shared" ref="Z95:AA95" si="98">_xlfn.NORM.S.DIST(X95)</f>
        <v>1</v>
      </c>
      <c r="AA95" s="3">
        <f t="shared" si="98"/>
        <v>1</v>
      </c>
      <c r="AB95" s="3"/>
      <c r="AC95" s="3"/>
    </row>
    <row r="96" ht="14.25" customHeight="1">
      <c r="A96" s="3" t="s">
        <v>26</v>
      </c>
      <c r="B96" s="3" t="s">
        <v>27</v>
      </c>
      <c r="C96" s="3" t="s">
        <v>51</v>
      </c>
      <c r="D96" s="3" t="s">
        <v>29</v>
      </c>
      <c r="E96" s="3">
        <v>18.0</v>
      </c>
      <c r="F96" s="3" t="s">
        <v>27</v>
      </c>
      <c r="G96" s="3">
        <v>27.05</v>
      </c>
      <c r="I96" s="3">
        <v>28.05</v>
      </c>
      <c r="K96" s="3">
        <v>0.0</v>
      </c>
      <c r="L96" s="3">
        <v>0.0</v>
      </c>
      <c r="M96" s="3" t="s">
        <v>125</v>
      </c>
      <c r="N96" s="3">
        <v>1.0</v>
      </c>
      <c r="O96" s="3">
        <v>0.0</v>
      </c>
      <c r="P96" s="3">
        <v>-0.0493</v>
      </c>
      <c r="Q96" s="3">
        <v>0.0</v>
      </c>
      <c r="R96" s="3">
        <v>0.2414</v>
      </c>
      <c r="S96" s="3">
        <v>45.559999</v>
      </c>
      <c r="T96" s="3">
        <v>1.0</v>
      </c>
      <c r="U96" s="3">
        <f t="shared" si="2"/>
        <v>27.55</v>
      </c>
      <c r="V96" s="3"/>
      <c r="W96" s="3">
        <f t="shared" si="3"/>
        <v>27.560049</v>
      </c>
      <c r="X96" s="3">
        <f t="shared" si="4"/>
        <v>61.07652848</v>
      </c>
      <c r="Y96" s="3">
        <f t="shared" si="5"/>
        <v>61.0613217</v>
      </c>
      <c r="Z96" s="3">
        <f t="shared" ref="Z96:AA96" si="99">_xlfn.NORM.S.DIST(X96)</f>
        <v>1</v>
      </c>
      <c r="AA96" s="3">
        <f t="shared" si="99"/>
        <v>1</v>
      </c>
      <c r="AB96" s="3"/>
      <c r="AC96" s="3"/>
    </row>
    <row r="97" ht="14.25" customHeight="1">
      <c r="W97" s="3"/>
      <c r="X97" s="3"/>
      <c r="Y97" s="3"/>
      <c r="Z97" s="3"/>
      <c r="AA97" s="3"/>
      <c r="AB97" s="3"/>
      <c r="AC97" s="3"/>
    </row>
    <row r="98" ht="14.25" customHeight="1">
      <c r="W98" s="3"/>
      <c r="X98" s="3"/>
      <c r="Y98" s="3"/>
      <c r="Z98" s="3"/>
      <c r="AA98" s="3"/>
      <c r="AB98" s="3"/>
      <c r="AC98" s="3"/>
    </row>
    <row r="99" ht="14.25" customHeight="1">
      <c r="W99" s="3"/>
      <c r="X99" s="3"/>
      <c r="Y99" s="3"/>
      <c r="Z99" s="3"/>
      <c r="AA99" s="3"/>
      <c r="AB99" s="3"/>
      <c r="AC99" s="3"/>
    </row>
    <row r="100" ht="14.25" customHeight="1">
      <c r="W100" s="3"/>
      <c r="X100" s="3"/>
      <c r="Y100" s="3"/>
      <c r="Z100" s="3"/>
      <c r="AA100" s="3"/>
      <c r="AB100" s="3"/>
      <c r="AC100" s="3"/>
    </row>
    <row r="101" ht="14.25" customHeight="1">
      <c r="W101" s="3"/>
      <c r="X101" s="3"/>
      <c r="Y101" s="3"/>
      <c r="Z101" s="3"/>
      <c r="AA101" s="3"/>
      <c r="AB101" s="3"/>
      <c r="AC101" s="3"/>
    </row>
    <row r="102" ht="14.25" customHeight="1">
      <c r="W102" s="3"/>
      <c r="X102" s="3"/>
      <c r="Y102" s="3"/>
      <c r="Z102" s="3"/>
      <c r="AA102" s="3"/>
      <c r="AB102" s="3"/>
      <c r="AC102" s="3"/>
    </row>
    <row r="103" ht="14.25" customHeight="1">
      <c r="W103" s="3"/>
      <c r="X103" s="3"/>
      <c r="Y103" s="3"/>
      <c r="Z103" s="3"/>
      <c r="AA103" s="3"/>
      <c r="AB103" s="3"/>
      <c r="AC103" s="3"/>
    </row>
    <row r="104" ht="14.25" customHeight="1">
      <c r="W104" s="3"/>
      <c r="X104" s="3"/>
      <c r="Y104" s="3"/>
      <c r="Z104" s="3"/>
      <c r="AA104" s="3"/>
      <c r="AB104" s="3"/>
      <c r="AC104" s="3"/>
    </row>
    <row r="105" ht="14.25" customHeight="1">
      <c r="W105" s="3"/>
      <c r="X105" s="3"/>
      <c r="Y105" s="3"/>
      <c r="Z105" s="3"/>
      <c r="AA105" s="3"/>
      <c r="AB105" s="3"/>
      <c r="AC105" s="3"/>
    </row>
    <row r="106" ht="14.25" customHeight="1">
      <c r="W106" s="3"/>
      <c r="X106" s="3"/>
      <c r="Y106" s="3"/>
      <c r="Z106" s="3"/>
      <c r="AA106" s="3"/>
      <c r="AB106" s="3"/>
      <c r="AC106" s="3"/>
    </row>
    <row r="107" ht="14.25" customHeight="1">
      <c r="W107" s="3"/>
      <c r="X107" s="3"/>
      <c r="Y107" s="3"/>
      <c r="Z107" s="3"/>
      <c r="AA107" s="3"/>
      <c r="AB107" s="3"/>
      <c r="AC107" s="3"/>
    </row>
    <row r="108" ht="14.25" customHeight="1">
      <c r="W108" s="3"/>
      <c r="X108" s="3"/>
      <c r="Y108" s="3"/>
      <c r="Z108" s="3"/>
      <c r="AA108" s="3"/>
      <c r="AB108" s="3"/>
      <c r="AC108" s="3"/>
    </row>
    <row r="109" ht="14.25" customHeight="1">
      <c r="W109" s="3"/>
      <c r="X109" s="3"/>
      <c r="Y109" s="3"/>
      <c r="Z109" s="3"/>
      <c r="AA109" s="3"/>
      <c r="AB109" s="3"/>
      <c r="AC109" s="3"/>
    </row>
    <row r="110" ht="14.25" customHeight="1">
      <c r="W110" s="3"/>
      <c r="X110" s="3"/>
      <c r="Y110" s="3"/>
      <c r="Z110" s="3"/>
      <c r="AA110" s="3"/>
      <c r="AB110" s="3"/>
      <c r="AC110" s="3"/>
    </row>
    <row r="111" ht="14.25" customHeight="1">
      <c r="W111" s="3"/>
      <c r="X111" s="3"/>
      <c r="Y111" s="3"/>
      <c r="Z111" s="3"/>
      <c r="AA111" s="3"/>
      <c r="AB111" s="3"/>
      <c r="AC111" s="3"/>
    </row>
    <row r="112" ht="14.25" customHeight="1">
      <c r="W112" s="3"/>
      <c r="X112" s="3"/>
      <c r="Y112" s="3"/>
      <c r="Z112" s="3"/>
      <c r="AA112" s="3"/>
      <c r="AB112" s="3"/>
      <c r="AC112" s="3"/>
    </row>
    <row r="113" ht="14.25" customHeight="1">
      <c r="W113" s="3"/>
      <c r="X113" s="3"/>
      <c r="Y113" s="3"/>
      <c r="Z113" s="3"/>
      <c r="AA113" s="3"/>
      <c r="AB113" s="3"/>
      <c r="AC113" s="3"/>
    </row>
    <row r="114" ht="14.25" customHeight="1">
      <c r="W114" s="3"/>
      <c r="X114" s="3"/>
      <c r="Y114" s="3"/>
      <c r="Z114" s="3"/>
      <c r="AA114" s="3"/>
      <c r="AB114" s="3"/>
      <c r="AC114" s="3"/>
    </row>
    <row r="115" ht="14.25" customHeight="1">
      <c r="W115" s="3"/>
      <c r="X115" s="3"/>
      <c r="Y115" s="3"/>
      <c r="Z115" s="3"/>
      <c r="AA115" s="3"/>
      <c r="AB115" s="3"/>
      <c r="AC115" s="3"/>
    </row>
    <row r="116" ht="14.25" customHeight="1">
      <c r="W116" s="3"/>
      <c r="X116" s="3"/>
      <c r="Y116" s="3"/>
      <c r="Z116" s="3"/>
      <c r="AA116" s="3"/>
      <c r="AB116" s="3"/>
      <c r="AC116" s="3"/>
    </row>
    <row r="117" ht="14.25" customHeight="1">
      <c r="W117" s="3"/>
      <c r="X117" s="3"/>
      <c r="Y117" s="3"/>
      <c r="Z117" s="3"/>
      <c r="AA117" s="3"/>
      <c r="AB117" s="3"/>
      <c r="AC117" s="3"/>
    </row>
    <row r="118" ht="14.25" customHeight="1">
      <c r="W118" s="3"/>
      <c r="X118" s="3"/>
      <c r="Y118" s="3"/>
      <c r="Z118" s="3"/>
      <c r="AA118" s="3"/>
      <c r="AB118" s="3"/>
      <c r="AC118" s="3"/>
    </row>
    <row r="119" ht="14.25" customHeight="1">
      <c r="W119" s="3"/>
      <c r="X119" s="3"/>
      <c r="Y119" s="3"/>
      <c r="Z119" s="3"/>
      <c r="AA119" s="3"/>
      <c r="AB119" s="3"/>
      <c r="AC119" s="3"/>
    </row>
    <row r="120" ht="14.25" customHeight="1">
      <c r="W120" s="3"/>
      <c r="X120" s="3"/>
      <c r="Y120" s="3"/>
      <c r="Z120" s="3"/>
      <c r="AA120" s="3"/>
      <c r="AB120" s="3"/>
      <c r="AC120" s="3"/>
    </row>
    <row r="121" ht="14.25" customHeight="1">
      <c r="W121" s="3"/>
      <c r="X121" s="3"/>
      <c r="Y121" s="3"/>
      <c r="Z121" s="3"/>
      <c r="AA121" s="3"/>
      <c r="AB121" s="3"/>
      <c r="AC121" s="3"/>
    </row>
    <row r="122" ht="14.25" customHeight="1">
      <c r="W122" s="3"/>
      <c r="X122" s="3"/>
      <c r="Y122" s="3"/>
      <c r="Z122" s="3"/>
      <c r="AA122" s="3"/>
      <c r="AB122" s="3"/>
      <c r="AC122" s="3"/>
    </row>
    <row r="123" ht="14.25" customHeight="1">
      <c r="W123" s="3"/>
      <c r="X123" s="3"/>
      <c r="Y123" s="3"/>
      <c r="Z123" s="3"/>
      <c r="AA123" s="3"/>
      <c r="AB123" s="3"/>
      <c r="AC123" s="3"/>
    </row>
    <row r="124" ht="14.25" customHeight="1">
      <c r="W124" s="3"/>
      <c r="X124" s="3"/>
      <c r="Y124" s="3"/>
      <c r="Z124" s="3"/>
      <c r="AA124" s="3"/>
      <c r="AB124" s="3"/>
      <c r="AC124" s="3"/>
    </row>
    <row r="125" ht="14.25" customHeight="1">
      <c r="W125" s="3"/>
      <c r="X125" s="3"/>
      <c r="Y125" s="3"/>
      <c r="Z125" s="3"/>
      <c r="AA125" s="3"/>
      <c r="AB125" s="3"/>
      <c r="AC125" s="3"/>
    </row>
    <row r="126" ht="14.25" customHeight="1">
      <c r="W126" s="3"/>
      <c r="X126" s="3"/>
      <c r="Y126" s="3"/>
      <c r="Z126" s="3"/>
      <c r="AA126" s="3"/>
      <c r="AB126" s="3"/>
      <c r="AC126" s="3"/>
    </row>
    <row r="127" ht="14.25" customHeight="1">
      <c r="W127" s="3"/>
      <c r="X127" s="3"/>
      <c r="Y127" s="3"/>
      <c r="Z127" s="3"/>
      <c r="AA127" s="3"/>
      <c r="AB127" s="3"/>
      <c r="AC127" s="3"/>
    </row>
    <row r="128" ht="14.25" customHeight="1">
      <c r="W128" s="3"/>
      <c r="X128" s="3"/>
      <c r="Y128" s="3"/>
      <c r="Z128" s="3"/>
      <c r="AA128" s="3"/>
      <c r="AB128" s="3"/>
      <c r="AC128" s="3"/>
    </row>
    <row r="129" ht="14.25" customHeight="1">
      <c r="W129" s="3"/>
      <c r="X129" s="3"/>
      <c r="Y129" s="3"/>
      <c r="Z129" s="3"/>
      <c r="AA129" s="3"/>
      <c r="AB129" s="3"/>
      <c r="AC129" s="3"/>
    </row>
    <row r="130" ht="14.25" customHeight="1">
      <c r="W130" s="3"/>
      <c r="X130" s="3"/>
      <c r="Y130" s="3"/>
      <c r="Z130" s="3"/>
      <c r="AA130" s="3"/>
      <c r="AB130" s="3"/>
      <c r="AC130" s="3"/>
    </row>
    <row r="131" ht="14.25" customHeight="1">
      <c r="W131" s="3"/>
      <c r="X131" s="3"/>
      <c r="Y131" s="3"/>
      <c r="Z131" s="3"/>
      <c r="AA131" s="3"/>
      <c r="AB131" s="3"/>
      <c r="AC131" s="3"/>
    </row>
    <row r="132" ht="14.25" customHeight="1">
      <c r="W132" s="3"/>
      <c r="X132" s="3"/>
      <c r="Y132" s="3"/>
      <c r="Z132" s="3"/>
      <c r="AA132" s="3"/>
      <c r="AB132" s="3"/>
      <c r="AC132" s="3"/>
    </row>
    <row r="133" ht="14.25" customHeight="1">
      <c r="W133" s="3"/>
      <c r="X133" s="3"/>
      <c r="Y133" s="3"/>
      <c r="Z133" s="3"/>
      <c r="AA133" s="3"/>
      <c r="AB133" s="3"/>
      <c r="AC133" s="3"/>
    </row>
    <row r="134" ht="14.25" customHeight="1">
      <c r="W134" s="3"/>
      <c r="X134" s="3"/>
      <c r="Y134" s="3"/>
      <c r="Z134" s="3"/>
      <c r="AA134" s="3"/>
      <c r="AB134" s="3"/>
      <c r="AC134" s="3"/>
    </row>
    <row r="135" ht="14.25" customHeight="1">
      <c r="W135" s="3"/>
      <c r="X135" s="3"/>
      <c r="Y135" s="3"/>
      <c r="Z135" s="3"/>
      <c r="AA135" s="3"/>
      <c r="AB135" s="3"/>
      <c r="AC135" s="3"/>
    </row>
    <row r="136" ht="14.25" customHeight="1">
      <c r="W136" s="3"/>
      <c r="X136" s="3"/>
      <c r="Y136" s="3"/>
      <c r="Z136" s="3"/>
      <c r="AA136" s="3"/>
      <c r="AB136" s="3"/>
      <c r="AC136" s="3"/>
    </row>
    <row r="137" ht="14.25" customHeight="1">
      <c r="W137" s="3"/>
      <c r="X137" s="3"/>
      <c r="Y137" s="3"/>
      <c r="Z137" s="3"/>
      <c r="AA137" s="3"/>
      <c r="AB137" s="3"/>
      <c r="AC137" s="3"/>
    </row>
    <row r="138" ht="14.25" customHeight="1">
      <c r="W138" s="3"/>
      <c r="X138" s="3"/>
      <c r="Y138" s="3"/>
      <c r="Z138" s="3"/>
      <c r="AA138" s="3"/>
      <c r="AB138" s="3"/>
      <c r="AC138" s="3"/>
    </row>
    <row r="139" ht="14.25" customHeight="1">
      <c r="W139" s="3"/>
      <c r="X139" s="3"/>
      <c r="Y139" s="3"/>
      <c r="Z139" s="3"/>
      <c r="AA139" s="3"/>
      <c r="AB139" s="3"/>
      <c r="AC139" s="3"/>
    </row>
    <row r="140" ht="14.25" customHeight="1">
      <c r="W140" s="3"/>
      <c r="X140" s="3"/>
      <c r="Y140" s="3"/>
      <c r="Z140" s="3"/>
      <c r="AA140" s="3"/>
      <c r="AB140" s="3"/>
      <c r="AC140" s="3"/>
    </row>
    <row r="141" ht="14.25" customHeight="1">
      <c r="W141" s="3"/>
      <c r="X141" s="3"/>
      <c r="Y141" s="3"/>
      <c r="Z141" s="3"/>
      <c r="AA141" s="3"/>
      <c r="AB141" s="3"/>
      <c r="AC141" s="3"/>
    </row>
    <row r="142" ht="14.25" customHeight="1">
      <c r="W142" s="3"/>
      <c r="X142" s="3"/>
      <c r="Y142" s="3"/>
      <c r="Z142" s="3"/>
      <c r="AA142" s="3"/>
      <c r="AB142" s="3"/>
      <c r="AC142" s="3"/>
    </row>
    <row r="143" ht="14.25" customHeight="1">
      <c r="W143" s="3"/>
      <c r="X143" s="3"/>
      <c r="Y143" s="3"/>
      <c r="Z143" s="3"/>
      <c r="AA143" s="3"/>
      <c r="AB143" s="3"/>
      <c r="AC143" s="3"/>
    </row>
    <row r="144" ht="14.25" customHeight="1">
      <c r="W144" s="3"/>
      <c r="X144" s="3"/>
      <c r="Y144" s="3"/>
      <c r="Z144" s="3"/>
      <c r="AA144" s="3"/>
      <c r="AB144" s="3"/>
      <c r="AC144" s="3"/>
    </row>
    <row r="145" ht="14.25" customHeight="1">
      <c r="W145" s="3"/>
      <c r="X145" s="3"/>
      <c r="Y145" s="3"/>
      <c r="Z145" s="3"/>
      <c r="AA145" s="3"/>
      <c r="AB145" s="3"/>
      <c r="AC145" s="3"/>
    </row>
    <row r="146" ht="14.25" customHeight="1">
      <c r="W146" s="3"/>
      <c r="X146" s="3"/>
      <c r="Y146" s="3"/>
      <c r="Z146" s="3"/>
      <c r="AA146" s="3"/>
      <c r="AB146" s="3"/>
      <c r="AC146" s="3"/>
    </row>
    <row r="147" ht="14.25" customHeight="1">
      <c r="W147" s="3"/>
      <c r="X147" s="3"/>
      <c r="Y147" s="3"/>
      <c r="Z147" s="3"/>
      <c r="AA147" s="3"/>
      <c r="AB147" s="3"/>
      <c r="AC147" s="3"/>
    </row>
    <row r="148" ht="14.25" customHeight="1">
      <c r="W148" s="3"/>
      <c r="X148" s="3"/>
      <c r="Y148" s="3"/>
      <c r="Z148" s="3"/>
      <c r="AA148" s="3"/>
      <c r="AB148" s="3"/>
      <c r="AC148" s="3"/>
    </row>
    <row r="149" ht="14.25" customHeight="1">
      <c r="W149" s="3"/>
      <c r="X149" s="3"/>
      <c r="Y149" s="3"/>
      <c r="Z149" s="3"/>
      <c r="AA149" s="3"/>
      <c r="AB149" s="3"/>
      <c r="AC149" s="3"/>
    </row>
    <row r="150" ht="14.25" customHeight="1">
      <c r="W150" s="3"/>
      <c r="X150" s="3"/>
      <c r="Y150" s="3"/>
      <c r="Z150" s="3"/>
      <c r="AA150" s="3"/>
      <c r="AB150" s="3"/>
      <c r="AC150" s="3"/>
    </row>
    <row r="151" ht="14.25" customHeight="1">
      <c r="W151" s="3"/>
      <c r="X151" s="3"/>
      <c r="Y151" s="3"/>
      <c r="Z151" s="3"/>
      <c r="AA151" s="3"/>
      <c r="AB151" s="3"/>
      <c r="AC151" s="3"/>
    </row>
    <row r="152" ht="14.25" customHeight="1">
      <c r="W152" s="3"/>
      <c r="X152" s="3"/>
      <c r="Y152" s="3"/>
      <c r="Z152" s="3"/>
      <c r="AA152" s="3"/>
      <c r="AB152" s="3"/>
      <c r="AC152" s="3"/>
    </row>
    <row r="153" ht="14.25" customHeight="1">
      <c r="W153" s="3"/>
      <c r="X153" s="3"/>
      <c r="Y153" s="3"/>
      <c r="Z153" s="3"/>
      <c r="AA153" s="3"/>
      <c r="AB153" s="3"/>
      <c r="AC153" s="3"/>
    </row>
    <row r="154" ht="14.25" customHeight="1">
      <c r="W154" s="3"/>
      <c r="X154" s="3"/>
      <c r="Y154" s="3"/>
      <c r="Z154" s="3"/>
      <c r="AA154" s="3"/>
      <c r="AB154" s="3"/>
      <c r="AC154" s="3"/>
    </row>
    <row r="155" ht="14.25" customHeight="1">
      <c r="W155" s="3"/>
      <c r="X155" s="3"/>
      <c r="Y155" s="3"/>
      <c r="Z155" s="3"/>
      <c r="AA155" s="3"/>
      <c r="AB155" s="3"/>
      <c r="AC155" s="3"/>
    </row>
    <row r="156" ht="14.25" customHeight="1">
      <c r="W156" s="3"/>
      <c r="X156" s="3"/>
      <c r="Y156" s="3"/>
      <c r="Z156" s="3"/>
      <c r="AA156" s="3"/>
      <c r="AB156" s="3"/>
      <c r="AC156" s="3"/>
    </row>
    <row r="157" ht="14.25" customHeight="1">
      <c r="W157" s="3"/>
      <c r="X157" s="3"/>
      <c r="Y157" s="3"/>
      <c r="Z157" s="3"/>
      <c r="AA157" s="3"/>
      <c r="AB157" s="3"/>
      <c r="AC157" s="3"/>
    </row>
    <row r="158" ht="14.25" customHeight="1">
      <c r="W158" s="3"/>
      <c r="X158" s="3"/>
      <c r="Y158" s="3"/>
      <c r="Z158" s="3"/>
      <c r="AA158" s="3"/>
      <c r="AB158" s="3"/>
      <c r="AC158" s="3"/>
    </row>
    <row r="159" ht="14.25" customHeight="1">
      <c r="W159" s="3"/>
      <c r="X159" s="3"/>
      <c r="Y159" s="3"/>
      <c r="Z159" s="3"/>
      <c r="AA159" s="3"/>
      <c r="AB159" s="3"/>
      <c r="AC159" s="3"/>
    </row>
    <row r="160" ht="14.25" customHeight="1">
      <c r="W160" s="3"/>
      <c r="X160" s="3"/>
      <c r="Y160" s="3"/>
      <c r="Z160" s="3"/>
      <c r="AA160" s="3"/>
      <c r="AB160" s="3"/>
      <c r="AC160" s="3"/>
    </row>
    <row r="161" ht="14.25" customHeight="1">
      <c r="W161" s="3"/>
      <c r="X161" s="3"/>
      <c r="Y161" s="3"/>
      <c r="Z161" s="3"/>
      <c r="AA161" s="3"/>
      <c r="AB161" s="3"/>
      <c r="AC161" s="3"/>
    </row>
    <row r="162" ht="14.25" customHeight="1">
      <c r="W162" s="3"/>
      <c r="X162" s="3"/>
      <c r="Y162" s="3"/>
      <c r="Z162" s="3"/>
      <c r="AA162" s="3"/>
      <c r="AB162" s="3"/>
      <c r="AC162" s="3"/>
    </row>
    <row r="163" ht="14.25" customHeight="1">
      <c r="W163" s="3"/>
      <c r="X163" s="3"/>
      <c r="Y163" s="3"/>
      <c r="Z163" s="3"/>
      <c r="AA163" s="3"/>
      <c r="AB163" s="3"/>
      <c r="AC163" s="3"/>
    </row>
    <row r="164" ht="14.25" customHeight="1">
      <c r="W164" s="3"/>
      <c r="X164" s="3"/>
      <c r="Y164" s="3"/>
      <c r="Z164" s="3"/>
      <c r="AA164" s="3"/>
      <c r="AB164" s="3"/>
      <c r="AC164" s="3"/>
    </row>
    <row r="165" ht="14.25" customHeight="1">
      <c r="W165" s="3"/>
      <c r="X165" s="3"/>
      <c r="Y165" s="3"/>
      <c r="Z165" s="3"/>
      <c r="AA165" s="3"/>
      <c r="AB165" s="3"/>
      <c r="AC165" s="3"/>
    </row>
    <row r="166" ht="14.25" customHeight="1">
      <c r="W166" s="3"/>
      <c r="X166" s="3"/>
      <c r="Y166" s="3"/>
      <c r="Z166" s="3"/>
      <c r="AA166" s="3"/>
      <c r="AB166" s="3"/>
      <c r="AC166" s="3"/>
    </row>
    <row r="167" ht="14.25" customHeight="1">
      <c r="W167" s="3"/>
      <c r="X167" s="3"/>
      <c r="Y167" s="3"/>
      <c r="Z167" s="3"/>
      <c r="AA167" s="3"/>
      <c r="AB167" s="3"/>
      <c r="AC167" s="3"/>
    </row>
    <row r="168" ht="14.25" customHeight="1">
      <c r="W168" s="3"/>
      <c r="X168" s="3"/>
      <c r="Y168" s="3"/>
      <c r="Z168" s="3"/>
      <c r="AA168" s="3"/>
      <c r="AB168" s="3"/>
      <c r="AC168" s="3"/>
    </row>
    <row r="169" ht="14.25" customHeight="1">
      <c r="W169" s="3"/>
      <c r="X169" s="3"/>
      <c r="Y169" s="3"/>
      <c r="Z169" s="3"/>
      <c r="AA169" s="3"/>
      <c r="AB169" s="3"/>
      <c r="AC169" s="3"/>
    </row>
    <row r="170" ht="14.25" customHeight="1">
      <c r="W170" s="3"/>
      <c r="X170" s="3"/>
      <c r="Y170" s="3"/>
      <c r="Z170" s="3"/>
      <c r="AA170" s="3"/>
      <c r="AB170" s="3"/>
      <c r="AC170" s="3"/>
    </row>
    <row r="171" ht="14.25" customHeight="1">
      <c r="W171" s="3"/>
      <c r="X171" s="3"/>
      <c r="Y171" s="3"/>
      <c r="Z171" s="3"/>
      <c r="AA171" s="3"/>
      <c r="AB171" s="3"/>
      <c r="AC171" s="3"/>
    </row>
    <row r="172" ht="14.25" customHeight="1">
      <c r="W172" s="3"/>
      <c r="X172" s="3"/>
      <c r="Y172" s="3"/>
      <c r="Z172" s="3"/>
      <c r="AA172" s="3"/>
      <c r="AB172" s="3"/>
      <c r="AC172" s="3"/>
    </row>
    <row r="173" ht="14.25" customHeight="1">
      <c r="W173" s="3"/>
      <c r="X173" s="3"/>
      <c r="Y173" s="3"/>
      <c r="Z173" s="3"/>
      <c r="AA173" s="3"/>
      <c r="AB173" s="3"/>
      <c r="AC173" s="3"/>
    </row>
    <row r="174" ht="14.25" customHeight="1">
      <c r="W174" s="3"/>
      <c r="X174" s="3"/>
      <c r="Y174" s="3"/>
      <c r="Z174" s="3"/>
      <c r="AA174" s="3"/>
      <c r="AB174" s="3"/>
      <c r="AC174" s="3"/>
    </row>
    <row r="175" ht="14.25" customHeight="1">
      <c r="W175" s="3"/>
      <c r="X175" s="3"/>
      <c r="Y175" s="3"/>
      <c r="Z175" s="3"/>
      <c r="AA175" s="3"/>
      <c r="AB175" s="3"/>
      <c r="AC175" s="3"/>
    </row>
    <row r="176" ht="14.25" customHeight="1">
      <c r="W176" s="3"/>
      <c r="X176" s="3"/>
      <c r="Y176" s="3"/>
      <c r="Z176" s="3"/>
      <c r="AA176" s="3"/>
      <c r="AB176" s="3"/>
      <c r="AC176" s="3"/>
    </row>
    <row r="177" ht="14.25" customHeight="1">
      <c r="W177" s="3"/>
      <c r="X177" s="3"/>
      <c r="Y177" s="3"/>
      <c r="Z177" s="3"/>
      <c r="AA177" s="3"/>
      <c r="AB177" s="3"/>
      <c r="AC177" s="3"/>
    </row>
    <row r="178" ht="14.25" customHeight="1">
      <c r="W178" s="3"/>
      <c r="X178" s="3"/>
      <c r="Y178" s="3"/>
      <c r="Z178" s="3"/>
      <c r="AA178" s="3"/>
      <c r="AB178" s="3"/>
      <c r="AC178" s="3"/>
    </row>
    <row r="179" ht="14.25" customHeight="1">
      <c r="W179" s="3"/>
      <c r="X179" s="3"/>
      <c r="Y179" s="3"/>
      <c r="Z179" s="3"/>
      <c r="AA179" s="3"/>
      <c r="AB179" s="3"/>
      <c r="AC179" s="3"/>
    </row>
    <row r="180" ht="14.25" customHeight="1">
      <c r="W180" s="3"/>
      <c r="X180" s="3"/>
      <c r="Y180" s="3"/>
      <c r="Z180" s="3"/>
      <c r="AA180" s="3"/>
      <c r="AB180" s="3"/>
      <c r="AC180" s="3"/>
    </row>
    <row r="181" ht="14.25" customHeight="1">
      <c r="W181" s="3"/>
      <c r="X181" s="3"/>
      <c r="Y181" s="3"/>
      <c r="Z181" s="3"/>
      <c r="AA181" s="3"/>
      <c r="AB181" s="3"/>
      <c r="AC181" s="3"/>
    </row>
    <row r="182" ht="14.25" customHeight="1">
      <c r="W182" s="3"/>
      <c r="X182" s="3"/>
      <c r="Y182" s="3"/>
      <c r="Z182" s="3"/>
      <c r="AA182" s="3"/>
      <c r="AB182" s="3"/>
      <c r="AC182" s="3"/>
    </row>
    <row r="183" ht="14.25" customHeight="1">
      <c r="W183" s="3"/>
      <c r="X183" s="3"/>
      <c r="Y183" s="3"/>
      <c r="Z183" s="3"/>
      <c r="AA183" s="3"/>
      <c r="AB183" s="3"/>
      <c r="AC183" s="3"/>
    </row>
    <row r="184" ht="14.25" customHeight="1">
      <c r="W184" s="3"/>
      <c r="X184" s="3"/>
      <c r="Y184" s="3"/>
      <c r="Z184" s="3"/>
      <c r="AA184" s="3"/>
      <c r="AB184" s="3"/>
      <c r="AC184" s="3"/>
    </row>
    <row r="185" ht="14.25" customHeight="1">
      <c r="W185" s="3"/>
      <c r="X185" s="3"/>
      <c r="Y185" s="3"/>
      <c r="Z185" s="3"/>
      <c r="AA185" s="3"/>
      <c r="AB185" s="3"/>
      <c r="AC185" s="3"/>
    </row>
    <row r="186" ht="14.25" customHeight="1">
      <c r="W186" s="3"/>
      <c r="X186" s="3"/>
      <c r="Y186" s="3"/>
      <c r="Z186" s="3"/>
      <c r="AA186" s="3"/>
      <c r="AB186" s="3"/>
      <c r="AC186" s="3"/>
    </row>
    <row r="187" ht="14.25" customHeight="1">
      <c r="W187" s="3"/>
      <c r="X187" s="3"/>
      <c r="Y187" s="3"/>
      <c r="Z187" s="3"/>
      <c r="AA187" s="3"/>
      <c r="AB187" s="3"/>
      <c r="AC187" s="3"/>
    </row>
    <row r="188" ht="14.25" customHeight="1">
      <c r="W188" s="3"/>
      <c r="X188" s="3"/>
      <c r="Y188" s="3"/>
      <c r="Z188" s="3"/>
      <c r="AA188" s="3"/>
      <c r="AB188" s="3"/>
      <c r="AC188" s="3"/>
    </row>
    <row r="189" ht="14.25" customHeight="1">
      <c r="W189" s="3"/>
      <c r="X189" s="3"/>
      <c r="Y189" s="3"/>
      <c r="Z189" s="3"/>
      <c r="AA189" s="3"/>
      <c r="AB189" s="3"/>
      <c r="AC189" s="3"/>
    </row>
    <row r="190" ht="14.25" customHeight="1">
      <c r="W190" s="3"/>
      <c r="X190" s="3"/>
      <c r="Y190" s="3"/>
      <c r="Z190" s="3"/>
      <c r="AA190" s="3"/>
      <c r="AB190" s="3"/>
      <c r="AC190" s="3"/>
    </row>
    <row r="191" ht="14.25" customHeight="1">
      <c r="W191" s="3"/>
      <c r="X191" s="3"/>
      <c r="Y191" s="3"/>
      <c r="Z191" s="3"/>
      <c r="AA191" s="3"/>
      <c r="AB191" s="3"/>
      <c r="AC191" s="3"/>
    </row>
    <row r="192" ht="14.25" customHeight="1">
      <c r="W192" s="3"/>
      <c r="X192" s="3"/>
      <c r="Y192" s="3"/>
      <c r="Z192" s="3"/>
      <c r="AA192" s="3"/>
      <c r="AB192" s="3"/>
      <c r="AC192" s="3"/>
    </row>
    <row r="193" ht="14.25" customHeight="1">
      <c r="W193" s="3"/>
      <c r="X193" s="3"/>
      <c r="Y193" s="3"/>
      <c r="Z193" s="3"/>
      <c r="AA193" s="3"/>
      <c r="AB193" s="3"/>
      <c r="AC193" s="3"/>
    </row>
    <row r="194" ht="14.25" customHeight="1">
      <c r="W194" s="3"/>
      <c r="X194" s="3"/>
      <c r="Y194" s="3"/>
      <c r="Z194" s="3"/>
      <c r="AA194" s="3"/>
      <c r="AB194" s="3"/>
      <c r="AC194" s="3"/>
    </row>
    <row r="195" ht="14.25" customHeight="1">
      <c r="W195" s="3"/>
      <c r="X195" s="3"/>
      <c r="Y195" s="3"/>
      <c r="Z195" s="3"/>
      <c r="AA195" s="3"/>
      <c r="AB195" s="3"/>
      <c r="AC195" s="3"/>
    </row>
    <row r="196" ht="14.25" customHeight="1">
      <c r="W196" s="3"/>
      <c r="X196" s="3"/>
      <c r="Y196" s="3"/>
      <c r="Z196" s="3"/>
      <c r="AA196" s="3"/>
      <c r="AB196" s="3"/>
      <c r="AC196" s="3"/>
    </row>
    <row r="197" ht="14.25" customHeight="1">
      <c r="W197" s="3"/>
      <c r="X197" s="3"/>
      <c r="Y197" s="3"/>
      <c r="Z197" s="3"/>
      <c r="AA197" s="3"/>
      <c r="AB197" s="3"/>
      <c r="AC197" s="3"/>
    </row>
    <row r="198" ht="14.25" customHeight="1">
      <c r="W198" s="3"/>
      <c r="X198" s="3"/>
      <c r="Y198" s="3"/>
      <c r="Z198" s="3"/>
      <c r="AA198" s="3"/>
      <c r="AB198" s="3"/>
      <c r="AC198" s="3"/>
    </row>
    <row r="199" ht="14.25" customHeight="1">
      <c r="W199" s="3"/>
      <c r="X199" s="3"/>
      <c r="Y199" s="3"/>
      <c r="Z199" s="3"/>
      <c r="AA199" s="3"/>
      <c r="AB199" s="3"/>
      <c r="AC199" s="3"/>
    </row>
    <row r="200" ht="14.25" customHeight="1">
      <c r="W200" s="3"/>
      <c r="X200" s="3"/>
      <c r="Y200" s="3"/>
      <c r="Z200" s="3"/>
      <c r="AA200" s="3"/>
      <c r="AB200" s="3"/>
      <c r="AC200" s="3"/>
    </row>
    <row r="201" ht="14.25" customHeight="1">
      <c r="W201" s="3"/>
      <c r="X201" s="3"/>
      <c r="Y201" s="3"/>
      <c r="Z201" s="3"/>
      <c r="AA201" s="3"/>
      <c r="AB201" s="3"/>
      <c r="AC201" s="3"/>
    </row>
    <row r="202" ht="14.25" customHeight="1">
      <c r="W202" s="3"/>
      <c r="X202" s="3"/>
      <c r="Y202" s="3"/>
      <c r="Z202" s="3"/>
      <c r="AA202" s="3"/>
      <c r="AB202" s="3"/>
      <c r="AC202" s="3"/>
    </row>
    <row r="203" ht="14.25" customHeight="1">
      <c r="W203" s="3"/>
      <c r="X203" s="3"/>
      <c r="Y203" s="3"/>
      <c r="Z203" s="3"/>
      <c r="AA203" s="3"/>
      <c r="AB203" s="3"/>
      <c r="AC203" s="3"/>
    </row>
    <row r="204" ht="14.25" customHeight="1">
      <c r="W204" s="3"/>
      <c r="X204" s="3"/>
      <c r="Y204" s="3"/>
      <c r="Z204" s="3"/>
      <c r="AA204" s="3"/>
      <c r="AB204" s="3"/>
      <c r="AC204" s="3"/>
    </row>
    <row r="205" ht="14.25" customHeight="1">
      <c r="W205" s="3"/>
      <c r="X205" s="3"/>
      <c r="Y205" s="3"/>
      <c r="Z205" s="3"/>
      <c r="AA205" s="3"/>
      <c r="AB205" s="3"/>
      <c r="AC205" s="3"/>
    </row>
    <row r="206" ht="14.25" customHeight="1">
      <c r="W206" s="3"/>
      <c r="X206" s="3"/>
      <c r="Y206" s="3"/>
      <c r="Z206" s="3"/>
      <c r="AA206" s="3"/>
      <c r="AB206" s="3"/>
      <c r="AC206" s="3"/>
    </row>
    <row r="207" ht="14.25" customHeight="1">
      <c r="W207" s="3"/>
      <c r="X207" s="3"/>
      <c r="Y207" s="3"/>
      <c r="Z207" s="3"/>
      <c r="AA207" s="3"/>
      <c r="AB207" s="3"/>
      <c r="AC207" s="3"/>
    </row>
    <row r="208" ht="14.25" customHeight="1">
      <c r="W208" s="3"/>
      <c r="X208" s="3"/>
      <c r="Y208" s="3"/>
      <c r="Z208" s="3"/>
      <c r="AA208" s="3"/>
      <c r="AB208" s="3"/>
      <c r="AC208" s="3"/>
    </row>
    <row r="209" ht="14.25" customHeight="1">
      <c r="W209" s="3"/>
      <c r="X209" s="3"/>
      <c r="Y209" s="3"/>
      <c r="Z209" s="3"/>
      <c r="AA209" s="3"/>
      <c r="AB209" s="3"/>
      <c r="AC209" s="3"/>
    </row>
    <row r="210" ht="14.25" customHeight="1">
      <c r="W210" s="3"/>
      <c r="X210" s="3"/>
      <c r="Y210" s="3"/>
      <c r="Z210" s="3"/>
      <c r="AA210" s="3"/>
      <c r="AB210" s="3"/>
      <c r="AC210" s="3"/>
    </row>
    <row r="211" ht="14.25" customHeight="1">
      <c r="W211" s="3"/>
      <c r="X211" s="3"/>
      <c r="Y211" s="3"/>
      <c r="Z211" s="3"/>
      <c r="AA211" s="3"/>
      <c r="AB211" s="3"/>
      <c r="AC211" s="3"/>
    </row>
    <row r="212" ht="14.25" customHeight="1">
      <c r="W212" s="3"/>
      <c r="X212" s="3"/>
      <c r="Y212" s="3"/>
      <c r="Z212" s="3"/>
      <c r="AA212" s="3"/>
      <c r="AB212" s="3"/>
      <c r="AC212" s="3"/>
    </row>
    <row r="213" ht="14.25" customHeight="1">
      <c r="W213" s="3"/>
      <c r="X213" s="3"/>
      <c r="Y213" s="3"/>
      <c r="Z213" s="3"/>
      <c r="AA213" s="3"/>
      <c r="AB213" s="3"/>
      <c r="AC213" s="3"/>
    </row>
    <row r="214" ht="14.25" customHeight="1">
      <c r="W214" s="3"/>
      <c r="X214" s="3"/>
      <c r="Y214" s="3"/>
      <c r="Z214" s="3"/>
      <c r="AA214" s="3"/>
      <c r="AB214" s="3"/>
      <c r="AC214" s="3"/>
    </row>
    <row r="215" ht="14.25" customHeight="1">
      <c r="W215" s="3"/>
      <c r="X215" s="3"/>
      <c r="Y215" s="3"/>
      <c r="Z215" s="3"/>
      <c r="AA215" s="3"/>
      <c r="AB215" s="3"/>
      <c r="AC215" s="3"/>
    </row>
    <row r="216" ht="14.25" customHeight="1">
      <c r="W216" s="3"/>
      <c r="X216" s="3"/>
      <c r="Y216" s="3"/>
      <c r="Z216" s="3"/>
      <c r="AA216" s="3"/>
      <c r="AB216" s="3"/>
      <c r="AC216" s="3"/>
    </row>
    <row r="217" ht="14.25" customHeight="1">
      <c r="W217" s="3"/>
      <c r="X217" s="3"/>
      <c r="Y217" s="3"/>
      <c r="Z217" s="3"/>
      <c r="AA217" s="3"/>
      <c r="AB217" s="3"/>
      <c r="AC217" s="3"/>
    </row>
    <row r="218" ht="14.25" customHeight="1">
      <c r="W218" s="3"/>
      <c r="X218" s="3"/>
      <c r="Y218" s="3"/>
      <c r="Z218" s="3"/>
      <c r="AA218" s="3"/>
      <c r="AB218" s="3"/>
      <c r="AC218" s="3"/>
    </row>
    <row r="219" ht="14.25" customHeight="1">
      <c r="W219" s="3"/>
      <c r="X219" s="3"/>
      <c r="Y219" s="3"/>
      <c r="Z219" s="3"/>
      <c r="AA219" s="3"/>
      <c r="AB219" s="3"/>
      <c r="AC219" s="3"/>
    </row>
    <row r="220" ht="14.25" customHeight="1">
      <c r="W220" s="3"/>
      <c r="X220" s="3"/>
      <c r="Y220" s="3"/>
      <c r="Z220" s="3"/>
      <c r="AA220" s="3"/>
      <c r="AB220" s="3"/>
      <c r="AC220" s="3"/>
    </row>
    <row r="221" ht="14.25" customHeight="1">
      <c r="W221" s="3"/>
      <c r="X221" s="3"/>
      <c r="Y221" s="3"/>
      <c r="Z221" s="3"/>
      <c r="AA221" s="3"/>
      <c r="AB221" s="3"/>
      <c r="AC221" s="3"/>
    </row>
    <row r="222" ht="14.25" customHeight="1">
      <c r="W222" s="3"/>
      <c r="X222" s="3"/>
      <c r="Y222" s="3"/>
      <c r="Z222" s="3"/>
      <c r="AA222" s="3"/>
      <c r="AB222" s="3"/>
      <c r="AC222" s="3"/>
    </row>
    <row r="223" ht="14.25" customHeight="1">
      <c r="W223" s="3"/>
      <c r="X223" s="3"/>
      <c r="Y223" s="3"/>
      <c r="Z223" s="3"/>
      <c r="AA223" s="3"/>
      <c r="AB223" s="3"/>
      <c r="AC223" s="3"/>
    </row>
    <row r="224" ht="14.25" customHeight="1">
      <c r="W224" s="3"/>
      <c r="X224" s="3"/>
      <c r="Y224" s="3"/>
      <c r="Z224" s="3"/>
      <c r="AA224" s="3"/>
      <c r="AB224" s="3"/>
      <c r="AC224" s="3"/>
    </row>
    <row r="225" ht="14.25" customHeight="1">
      <c r="W225" s="3"/>
      <c r="X225" s="3"/>
      <c r="Y225" s="3"/>
      <c r="Z225" s="3"/>
      <c r="AA225" s="3"/>
      <c r="AB225" s="3"/>
      <c r="AC225" s="3"/>
    </row>
    <row r="226" ht="14.25" customHeight="1">
      <c r="W226" s="3"/>
      <c r="X226" s="3"/>
      <c r="Y226" s="3"/>
      <c r="Z226" s="3"/>
      <c r="AA226" s="3"/>
      <c r="AB226" s="3"/>
      <c r="AC226" s="3"/>
    </row>
    <row r="227" ht="14.25" customHeight="1">
      <c r="W227" s="3"/>
      <c r="X227" s="3"/>
      <c r="Y227" s="3"/>
      <c r="Z227" s="3"/>
      <c r="AA227" s="3"/>
      <c r="AB227" s="3"/>
      <c r="AC227" s="3"/>
    </row>
    <row r="228" ht="14.25" customHeight="1">
      <c r="W228" s="3"/>
      <c r="X228" s="3"/>
      <c r="Y228" s="3"/>
      <c r="Z228" s="3"/>
      <c r="AA228" s="3"/>
      <c r="AB228" s="3"/>
      <c r="AC228" s="3"/>
    </row>
    <row r="229" ht="14.25" customHeight="1">
      <c r="W229" s="3"/>
      <c r="X229" s="3"/>
      <c r="Y229" s="3"/>
      <c r="Z229" s="3"/>
      <c r="AA229" s="3"/>
      <c r="AB229" s="3"/>
      <c r="AC229" s="3"/>
    </row>
    <row r="230" ht="14.25" customHeight="1">
      <c r="W230" s="3"/>
      <c r="X230" s="3"/>
      <c r="Y230" s="3"/>
      <c r="Z230" s="3"/>
      <c r="AA230" s="3"/>
      <c r="AB230" s="3"/>
      <c r="AC230" s="3"/>
    </row>
    <row r="231" ht="14.25" customHeight="1">
      <c r="W231" s="3"/>
      <c r="X231" s="3"/>
      <c r="Y231" s="3"/>
      <c r="Z231" s="3"/>
      <c r="AA231" s="3"/>
      <c r="AB231" s="3"/>
      <c r="AC231" s="3"/>
    </row>
    <row r="232" ht="14.25" customHeight="1">
      <c r="W232" s="3"/>
      <c r="X232" s="3"/>
      <c r="Y232" s="3"/>
      <c r="Z232" s="3"/>
      <c r="AA232" s="3"/>
      <c r="AB232" s="3"/>
      <c r="AC232" s="3"/>
    </row>
    <row r="233" ht="14.25" customHeight="1">
      <c r="W233" s="3"/>
      <c r="X233" s="3"/>
      <c r="Y233" s="3"/>
      <c r="Z233" s="3"/>
      <c r="AA233" s="3"/>
      <c r="AB233" s="3"/>
      <c r="AC233" s="3"/>
    </row>
    <row r="234" ht="14.25" customHeight="1">
      <c r="W234" s="3"/>
      <c r="X234" s="3"/>
      <c r="Y234" s="3"/>
      <c r="Z234" s="3"/>
      <c r="AA234" s="3"/>
      <c r="AB234" s="3"/>
      <c r="AC234" s="3"/>
    </row>
    <row r="235" ht="14.25" customHeight="1">
      <c r="W235" s="3"/>
      <c r="X235" s="3"/>
      <c r="Y235" s="3"/>
      <c r="Z235" s="3"/>
      <c r="AA235" s="3"/>
      <c r="AB235" s="3"/>
      <c r="AC235" s="3"/>
    </row>
    <row r="236" ht="14.25" customHeight="1">
      <c r="W236" s="3"/>
      <c r="X236" s="3"/>
      <c r="Y236" s="3"/>
      <c r="Z236" s="3"/>
      <c r="AA236" s="3"/>
      <c r="AB236" s="3"/>
      <c r="AC236" s="3"/>
    </row>
    <row r="237" ht="14.25" customHeight="1">
      <c r="W237" s="3"/>
      <c r="X237" s="3"/>
      <c r="Y237" s="3"/>
      <c r="Z237" s="3"/>
      <c r="AA237" s="3"/>
      <c r="AB237" s="3"/>
      <c r="AC237" s="3"/>
    </row>
    <row r="238" ht="14.25" customHeight="1">
      <c r="W238" s="3"/>
      <c r="X238" s="3"/>
      <c r="Y238" s="3"/>
      <c r="Z238" s="3"/>
      <c r="AA238" s="3"/>
      <c r="AB238" s="3"/>
      <c r="AC238" s="3"/>
    </row>
    <row r="239" ht="14.25" customHeight="1">
      <c r="W239" s="3"/>
      <c r="X239" s="3"/>
      <c r="Y239" s="3"/>
      <c r="Z239" s="3"/>
      <c r="AA239" s="3"/>
      <c r="AB239" s="3"/>
      <c r="AC239" s="3"/>
    </row>
    <row r="240" ht="14.25" customHeight="1">
      <c r="W240" s="3"/>
      <c r="X240" s="3"/>
      <c r="Y240" s="3"/>
      <c r="Z240" s="3"/>
      <c r="AA240" s="3"/>
      <c r="AB240" s="3"/>
      <c r="AC240" s="3"/>
    </row>
    <row r="241" ht="14.25" customHeight="1">
      <c r="W241" s="3"/>
      <c r="X241" s="3"/>
      <c r="Y241" s="3"/>
      <c r="Z241" s="3"/>
      <c r="AA241" s="3"/>
      <c r="AB241" s="3"/>
      <c r="AC241" s="3"/>
    </row>
    <row r="242" ht="14.25" customHeight="1">
      <c r="W242" s="3"/>
      <c r="X242" s="3"/>
      <c r="Y242" s="3"/>
      <c r="Z242" s="3"/>
      <c r="AA242" s="3"/>
      <c r="AB242" s="3"/>
      <c r="AC242" s="3"/>
    </row>
    <row r="243" ht="14.25" customHeight="1">
      <c r="W243" s="3"/>
      <c r="X243" s="3"/>
      <c r="Y243" s="3"/>
      <c r="Z243" s="3"/>
      <c r="AA243" s="3"/>
      <c r="AB243" s="3"/>
      <c r="AC243" s="3"/>
    </row>
    <row r="244" ht="14.25" customHeight="1">
      <c r="W244" s="3"/>
      <c r="X244" s="3"/>
      <c r="Y244" s="3"/>
      <c r="Z244" s="3"/>
      <c r="AA244" s="3"/>
      <c r="AB244" s="3"/>
      <c r="AC244" s="3"/>
    </row>
    <row r="245" ht="14.25" customHeight="1">
      <c r="W245" s="3"/>
      <c r="X245" s="3"/>
      <c r="Y245" s="3"/>
      <c r="Z245" s="3"/>
      <c r="AA245" s="3"/>
      <c r="AB245" s="3"/>
      <c r="AC245" s="3"/>
    </row>
    <row r="246" ht="14.25" customHeight="1">
      <c r="W246" s="3"/>
      <c r="X246" s="3"/>
      <c r="Y246" s="3"/>
      <c r="Z246" s="3"/>
      <c r="AA246" s="3"/>
      <c r="AB246" s="3"/>
      <c r="AC246" s="3"/>
    </row>
    <row r="247" ht="14.25" customHeight="1">
      <c r="W247" s="3"/>
      <c r="X247" s="3"/>
      <c r="Y247" s="3"/>
      <c r="Z247" s="3"/>
      <c r="AA247" s="3"/>
      <c r="AB247" s="3"/>
      <c r="AC247" s="3"/>
    </row>
    <row r="248" ht="14.25" customHeight="1">
      <c r="W248" s="3"/>
      <c r="X248" s="3"/>
      <c r="Y248" s="3"/>
      <c r="Z248" s="3"/>
      <c r="AA248" s="3"/>
      <c r="AB248" s="3"/>
      <c r="AC248" s="3"/>
    </row>
    <row r="249" ht="14.25" customHeight="1">
      <c r="W249" s="3"/>
      <c r="X249" s="3"/>
      <c r="Y249" s="3"/>
      <c r="Z249" s="3"/>
      <c r="AA249" s="3"/>
      <c r="AB249" s="3"/>
      <c r="AC249" s="3"/>
    </row>
    <row r="250" ht="14.25" customHeight="1">
      <c r="W250" s="3"/>
      <c r="X250" s="3"/>
      <c r="Y250" s="3"/>
      <c r="Z250" s="3"/>
      <c r="AA250" s="3"/>
      <c r="AB250" s="3"/>
      <c r="AC250" s="3"/>
    </row>
    <row r="251" ht="14.25" customHeight="1">
      <c r="W251" s="3"/>
      <c r="X251" s="3"/>
      <c r="Y251" s="3"/>
      <c r="Z251" s="3"/>
      <c r="AA251" s="3"/>
      <c r="AB251" s="3"/>
      <c r="AC251" s="3"/>
    </row>
    <row r="252" ht="14.25" customHeight="1">
      <c r="W252" s="3"/>
      <c r="X252" s="3"/>
      <c r="Y252" s="3"/>
      <c r="Z252" s="3"/>
      <c r="AA252" s="3"/>
      <c r="AB252" s="3"/>
      <c r="AC252" s="3"/>
    </row>
    <row r="253" ht="14.25" customHeight="1">
      <c r="W253" s="3"/>
      <c r="X253" s="3"/>
      <c r="Y253" s="3"/>
      <c r="Z253" s="3"/>
      <c r="AA253" s="3"/>
      <c r="AB253" s="3"/>
      <c r="AC253" s="3"/>
    </row>
    <row r="254" ht="14.25" customHeight="1">
      <c r="W254" s="3"/>
      <c r="X254" s="3"/>
      <c r="Y254" s="3"/>
      <c r="Z254" s="3"/>
      <c r="AA254" s="3"/>
      <c r="AB254" s="3"/>
      <c r="AC254" s="3"/>
    </row>
    <row r="255" ht="14.25" customHeight="1">
      <c r="W255" s="3"/>
      <c r="X255" s="3"/>
      <c r="Y255" s="3"/>
      <c r="Z255" s="3"/>
      <c r="AA255" s="3"/>
      <c r="AB255" s="3"/>
      <c r="AC255" s="3"/>
    </row>
    <row r="256" ht="14.25" customHeight="1">
      <c r="W256" s="3"/>
      <c r="X256" s="3"/>
      <c r="Y256" s="3"/>
      <c r="Z256" s="3"/>
      <c r="AA256" s="3"/>
      <c r="AB256" s="3"/>
      <c r="AC256" s="3"/>
    </row>
    <row r="257" ht="14.25" customHeight="1">
      <c r="W257" s="3"/>
      <c r="X257" s="3"/>
      <c r="Y257" s="3"/>
      <c r="Z257" s="3"/>
      <c r="AA257" s="3"/>
      <c r="AB257" s="3"/>
      <c r="AC257" s="3"/>
    </row>
    <row r="258" ht="14.25" customHeight="1">
      <c r="W258" s="3"/>
      <c r="X258" s="3"/>
      <c r="Y258" s="3"/>
      <c r="Z258" s="3"/>
      <c r="AA258" s="3"/>
      <c r="AB258" s="3"/>
      <c r="AC258" s="3"/>
    </row>
    <row r="259" ht="14.25" customHeight="1">
      <c r="W259" s="3"/>
      <c r="X259" s="3"/>
      <c r="Y259" s="3"/>
      <c r="Z259" s="3"/>
      <c r="AA259" s="3"/>
      <c r="AB259" s="3"/>
      <c r="AC259" s="3"/>
    </row>
    <row r="260" ht="14.25" customHeight="1">
      <c r="W260" s="3"/>
      <c r="X260" s="3"/>
      <c r="Y260" s="3"/>
      <c r="Z260" s="3"/>
      <c r="AA260" s="3"/>
      <c r="AB260" s="3"/>
      <c r="AC260" s="3"/>
    </row>
    <row r="261" ht="14.25" customHeight="1">
      <c r="W261" s="3"/>
      <c r="X261" s="3"/>
      <c r="Y261" s="3"/>
      <c r="Z261" s="3"/>
      <c r="AA261" s="3"/>
      <c r="AB261" s="3"/>
      <c r="AC261" s="3"/>
    </row>
    <row r="262" ht="14.25" customHeight="1">
      <c r="W262" s="3"/>
      <c r="X262" s="3"/>
      <c r="Y262" s="3"/>
      <c r="Z262" s="3"/>
      <c r="AA262" s="3"/>
      <c r="AB262" s="3"/>
      <c r="AC262" s="3"/>
    </row>
    <row r="263" ht="14.25" customHeight="1">
      <c r="W263" s="3"/>
      <c r="X263" s="3"/>
      <c r="Y263" s="3"/>
      <c r="Z263" s="3"/>
      <c r="AA263" s="3"/>
      <c r="AB263" s="3"/>
      <c r="AC263" s="3"/>
    </row>
    <row r="264" ht="14.25" customHeight="1">
      <c r="W264" s="3"/>
      <c r="X264" s="3"/>
      <c r="Y264" s="3"/>
      <c r="Z264" s="3"/>
      <c r="AA264" s="3"/>
      <c r="AB264" s="3"/>
      <c r="AC264" s="3"/>
    </row>
    <row r="265" ht="14.25" customHeight="1">
      <c r="W265" s="3"/>
      <c r="X265" s="3"/>
      <c r="Y265" s="3"/>
      <c r="Z265" s="3"/>
      <c r="AA265" s="3"/>
      <c r="AB265" s="3"/>
      <c r="AC265" s="3"/>
    </row>
    <row r="266" ht="14.25" customHeight="1">
      <c r="W266" s="3"/>
      <c r="X266" s="3"/>
      <c r="Y266" s="3"/>
      <c r="Z266" s="3"/>
      <c r="AA266" s="3"/>
      <c r="AB266" s="3"/>
      <c r="AC266" s="3"/>
    </row>
    <row r="267" ht="14.25" customHeight="1">
      <c r="W267" s="3"/>
      <c r="X267" s="3"/>
      <c r="Y267" s="3"/>
      <c r="Z267" s="3"/>
      <c r="AA267" s="3"/>
      <c r="AB267" s="3"/>
      <c r="AC267" s="3"/>
    </row>
    <row r="268" ht="14.25" customHeight="1">
      <c r="W268" s="3"/>
      <c r="X268" s="3"/>
      <c r="Y268" s="3"/>
      <c r="Z268" s="3"/>
      <c r="AA268" s="3"/>
      <c r="AB268" s="3"/>
      <c r="AC268" s="3"/>
    </row>
    <row r="269" ht="14.25" customHeight="1">
      <c r="W269" s="3"/>
      <c r="X269" s="3"/>
      <c r="Y269" s="3"/>
      <c r="Z269" s="3"/>
      <c r="AA269" s="3"/>
      <c r="AB269" s="3"/>
      <c r="AC269" s="3"/>
    </row>
    <row r="270" ht="14.25" customHeight="1">
      <c r="W270" s="3"/>
      <c r="X270" s="3"/>
      <c r="Y270" s="3"/>
      <c r="Z270" s="3"/>
      <c r="AA270" s="3"/>
      <c r="AB270" s="3"/>
      <c r="AC270" s="3"/>
    </row>
    <row r="271" ht="14.25" customHeight="1">
      <c r="W271" s="3"/>
      <c r="X271" s="3"/>
      <c r="Y271" s="3"/>
      <c r="Z271" s="3"/>
      <c r="AA271" s="3"/>
      <c r="AB271" s="3"/>
      <c r="AC271" s="3"/>
    </row>
    <row r="272" ht="14.25" customHeight="1">
      <c r="W272" s="3"/>
      <c r="X272" s="3"/>
      <c r="Y272" s="3"/>
      <c r="Z272" s="3"/>
      <c r="AA272" s="3"/>
      <c r="AB272" s="3"/>
      <c r="AC272" s="3"/>
    </row>
    <row r="273" ht="14.25" customHeight="1">
      <c r="W273" s="3"/>
      <c r="X273" s="3"/>
      <c r="Y273" s="3"/>
      <c r="Z273" s="3"/>
      <c r="AA273" s="3"/>
      <c r="AB273" s="3"/>
      <c r="AC273" s="3"/>
    </row>
    <row r="274" ht="14.25" customHeight="1">
      <c r="W274" s="3"/>
      <c r="X274" s="3"/>
      <c r="Y274" s="3"/>
      <c r="Z274" s="3"/>
      <c r="AA274" s="3"/>
      <c r="AB274" s="3"/>
      <c r="AC274" s="3"/>
    </row>
    <row r="275" ht="14.25" customHeight="1">
      <c r="W275" s="3"/>
      <c r="X275" s="3"/>
      <c r="Y275" s="3"/>
      <c r="Z275" s="3"/>
      <c r="AA275" s="3"/>
      <c r="AB275" s="3"/>
      <c r="AC275" s="3"/>
    </row>
    <row r="276" ht="14.25" customHeight="1">
      <c r="W276" s="3"/>
      <c r="X276" s="3"/>
      <c r="Y276" s="3"/>
      <c r="Z276" s="3"/>
      <c r="AA276" s="3"/>
      <c r="AB276" s="3"/>
      <c r="AC276" s="3"/>
    </row>
    <row r="277" ht="14.25" customHeight="1">
      <c r="W277" s="3"/>
      <c r="X277" s="3"/>
      <c r="Y277" s="3"/>
      <c r="Z277" s="3"/>
      <c r="AA277" s="3"/>
      <c r="AB277" s="3"/>
      <c r="AC277" s="3"/>
    </row>
    <row r="278" ht="14.25" customHeight="1">
      <c r="W278" s="3"/>
      <c r="X278" s="3"/>
      <c r="Y278" s="3"/>
      <c r="Z278" s="3"/>
      <c r="AA278" s="3"/>
      <c r="AB278" s="3"/>
      <c r="AC278" s="3"/>
    </row>
    <row r="279" ht="14.25" customHeight="1">
      <c r="W279" s="3"/>
      <c r="X279" s="3"/>
      <c r="Y279" s="3"/>
      <c r="Z279" s="3"/>
      <c r="AA279" s="3"/>
      <c r="AB279" s="3"/>
      <c r="AC279" s="3"/>
    </row>
    <row r="280" ht="14.25" customHeight="1">
      <c r="W280" s="3"/>
      <c r="X280" s="3"/>
      <c r="Y280" s="3"/>
      <c r="Z280" s="3"/>
      <c r="AA280" s="3"/>
      <c r="AB280" s="3"/>
      <c r="AC280" s="3"/>
    </row>
    <row r="281" ht="14.25" customHeight="1">
      <c r="W281" s="3"/>
      <c r="X281" s="3"/>
      <c r="Y281" s="3"/>
      <c r="Z281" s="3"/>
      <c r="AA281" s="3"/>
      <c r="AB281" s="3"/>
      <c r="AC281" s="3"/>
    </row>
    <row r="282" ht="14.25" customHeight="1">
      <c r="W282" s="3"/>
      <c r="X282" s="3"/>
      <c r="Y282" s="3"/>
      <c r="Z282" s="3"/>
      <c r="AA282" s="3"/>
      <c r="AB282" s="3"/>
      <c r="AC282" s="3"/>
    </row>
    <row r="283" ht="14.25" customHeight="1">
      <c r="W283" s="3"/>
      <c r="X283" s="3"/>
      <c r="Y283" s="3"/>
      <c r="Z283" s="3"/>
      <c r="AA283" s="3"/>
      <c r="AB283" s="3"/>
      <c r="AC283" s="3"/>
    </row>
    <row r="284" ht="14.25" customHeight="1">
      <c r="W284" s="3"/>
      <c r="X284" s="3"/>
      <c r="Y284" s="3"/>
      <c r="Z284" s="3"/>
      <c r="AA284" s="3"/>
      <c r="AB284" s="3"/>
      <c r="AC284" s="3"/>
    </row>
    <row r="285" ht="14.25" customHeight="1">
      <c r="W285" s="3"/>
      <c r="X285" s="3"/>
      <c r="Y285" s="3"/>
      <c r="Z285" s="3"/>
      <c r="AA285" s="3"/>
      <c r="AB285" s="3"/>
      <c r="AC285" s="3"/>
    </row>
    <row r="286" ht="14.25" customHeight="1">
      <c r="W286" s="3"/>
      <c r="X286" s="3"/>
      <c r="Y286" s="3"/>
      <c r="Z286" s="3"/>
      <c r="AA286" s="3"/>
      <c r="AB286" s="3"/>
      <c r="AC286" s="3"/>
    </row>
    <row r="287" ht="14.25" customHeight="1">
      <c r="W287" s="3"/>
      <c r="X287" s="3"/>
      <c r="Y287" s="3"/>
      <c r="Z287" s="3"/>
      <c r="AA287" s="3"/>
      <c r="AB287" s="3"/>
      <c r="AC287" s="3"/>
    </row>
    <row r="288" ht="14.25" customHeight="1">
      <c r="W288" s="3"/>
      <c r="X288" s="3"/>
      <c r="Y288" s="3"/>
      <c r="Z288" s="3"/>
      <c r="AA288" s="3"/>
      <c r="AB288" s="3"/>
      <c r="AC288" s="3"/>
    </row>
    <row r="289" ht="14.25" customHeight="1">
      <c r="W289" s="3"/>
      <c r="X289" s="3"/>
      <c r="Y289" s="3"/>
      <c r="Z289" s="3"/>
      <c r="AA289" s="3"/>
      <c r="AB289" s="3"/>
      <c r="AC289" s="3"/>
    </row>
    <row r="290" ht="14.25" customHeight="1">
      <c r="W290" s="3"/>
      <c r="X290" s="3"/>
      <c r="Y290" s="3"/>
      <c r="Z290" s="3"/>
      <c r="AA290" s="3"/>
      <c r="AB290" s="3"/>
      <c r="AC290" s="3"/>
    </row>
    <row r="291" ht="14.25" customHeight="1">
      <c r="W291" s="3"/>
      <c r="X291" s="3"/>
      <c r="Y291" s="3"/>
      <c r="Z291" s="3"/>
      <c r="AA291" s="3"/>
      <c r="AB291" s="3"/>
      <c r="AC291" s="3"/>
    </row>
    <row r="292" ht="14.25" customHeight="1">
      <c r="W292" s="3"/>
      <c r="X292" s="3"/>
      <c r="Y292" s="3"/>
      <c r="Z292" s="3"/>
      <c r="AA292" s="3"/>
      <c r="AB292" s="3"/>
      <c r="AC292" s="3"/>
    </row>
    <row r="293" ht="14.25" customHeight="1">
      <c r="W293" s="3"/>
      <c r="X293" s="3"/>
      <c r="Y293" s="3"/>
      <c r="Z293" s="3"/>
      <c r="AA293" s="3"/>
      <c r="AB293" s="3"/>
      <c r="AC293" s="3"/>
    </row>
    <row r="294" ht="14.25" customHeight="1">
      <c r="W294" s="3"/>
      <c r="X294" s="3"/>
      <c r="Y294" s="3"/>
      <c r="Z294" s="3"/>
      <c r="AA294" s="3"/>
      <c r="AB294" s="3"/>
      <c r="AC294" s="3"/>
    </row>
    <row r="295" ht="14.25" customHeight="1">
      <c r="W295" s="3"/>
      <c r="X295" s="3"/>
      <c r="Y295" s="3"/>
      <c r="Z295" s="3"/>
      <c r="AA295" s="3"/>
      <c r="AB295" s="3"/>
      <c r="AC295" s="3"/>
    </row>
    <row r="296" ht="14.25" customHeight="1">
      <c r="W296" s="3"/>
      <c r="X296" s="3"/>
      <c r="Y296" s="3"/>
      <c r="Z296" s="3"/>
      <c r="AA296" s="3"/>
      <c r="AB296" s="3"/>
      <c r="AC296" s="3"/>
    </row>
    <row r="297" ht="14.25" customHeight="1">
      <c r="W297" s="3"/>
      <c r="X297" s="3"/>
      <c r="Y297" s="3"/>
      <c r="Z297" s="3"/>
      <c r="AA297" s="3"/>
      <c r="AB297" s="3"/>
      <c r="AC297" s="3"/>
    </row>
    <row r="298" ht="14.25" customHeight="1">
      <c r="W298" s="3"/>
      <c r="X298" s="3"/>
      <c r="Y298" s="3"/>
      <c r="Z298" s="3"/>
      <c r="AA298" s="3"/>
      <c r="AB298" s="3"/>
      <c r="AC298" s="3"/>
    </row>
    <row r="299" ht="14.25" customHeight="1">
      <c r="W299" s="3"/>
      <c r="X299" s="3"/>
      <c r="Y299" s="3"/>
      <c r="Z299" s="3"/>
      <c r="AA299" s="3"/>
      <c r="AB299" s="3"/>
      <c r="AC299" s="3"/>
    </row>
    <row r="300" ht="14.25" customHeight="1">
      <c r="W300" s="3"/>
      <c r="X300" s="3"/>
      <c r="Y300" s="3"/>
      <c r="Z300" s="3"/>
      <c r="AA300" s="3"/>
      <c r="AB300" s="3"/>
      <c r="AC300" s="3"/>
    </row>
    <row r="301" ht="14.25" customHeight="1">
      <c r="W301" s="3"/>
      <c r="X301" s="3"/>
      <c r="Y301" s="3"/>
      <c r="Z301" s="3"/>
      <c r="AA301" s="3"/>
      <c r="AB301" s="3"/>
      <c r="AC301" s="3"/>
    </row>
    <row r="302" ht="14.25" customHeight="1">
      <c r="W302" s="3"/>
      <c r="X302" s="3"/>
      <c r="Y302" s="3"/>
      <c r="Z302" s="3"/>
      <c r="AA302" s="3"/>
      <c r="AB302" s="3"/>
      <c r="AC302" s="3"/>
    </row>
    <row r="303" ht="14.25" customHeight="1">
      <c r="W303" s="3"/>
      <c r="X303" s="3"/>
      <c r="Y303" s="3"/>
      <c r="Z303" s="3"/>
      <c r="AA303" s="3"/>
      <c r="AB303" s="3"/>
      <c r="AC303" s="3"/>
    </row>
    <row r="304" ht="14.25" customHeight="1">
      <c r="W304" s="3"/>
      <c r="X304" s="3"/>
      <c r="Y304" s="3"/>
      <c r="Z304" s="3"/>
      <c r="AA304" s="3"/>
      <c r="AB304" s="3"/>
      <c r="AC304" s="3"/>
    </row>
    <row r="305" ht="14.25" customHeight="1">
      <c r="W305" s="3"/>
      <c r="X305" s="3"/>
      <c r="Y305" s="3"/>
      <c r="Z305" s="3"/>
      <c r="AA305" s="3"/>
      <c r="AB305" s="3"/>
      <c r="AC305" s="3"/>
    </row>
    <row r="306" ht="14.25" customHeight="1">
      <c r="W306" s="3"/>
      <c r="X306" s="3"/>
      <c r="Y306" s="3"/>
      <c r="Z306" s="3"/>
      <c r="AA306" s="3"/>
      <c r="AB306" s="3"/>
      <c r="AC306" s="3"/>
    </row>
    <row r="307" ht="14.25" customHeight="1">
      <c r="W307" s="3"/>
      <c r="X307" s="3"/>
      <c r="Y307" s="3"/>
      <c r="Z307" s="3"/>
      <c r="AA307" s="3"/>
      <c r="AB307" s="3"/>
      <c r="AC307" s="3"/>
    </row>
    <row r="308" ht="14.25" customHeight="1">
      <c r="W308" s="3"/>
      <c r="X308" s="3"/>
      <c r="Y308" s="3"/>
      <c r="Z308" s="3"/>
      <c r="AA308" s="3"/>
      <c r="AB308" s="3"/>
      <c r="AC308" s="3"/>
    </row>
    <row r="309" ht="14.25" customHeight="1">
      <c r="W309" s="3"/>
      <c r="X309" s="3"/>
      <c r="Y309" s="3"/>
      <c r="Z309" s="3"/>
      <c r="AA309" s="3"/>
      <c r="AB309" s="3"/>
      <c r="AC309" s="3"/>
    </row>
    <row r="310" ht="14.25" customHeight="1">
      <c r="W310" s="3"/>
      <c r="X310" s="3"/>
      <c r="Y310" s="3"/>
      <c r="Z310" s="3"/>
      <c r="AA310" s="3"/>
      <c r="AB310" s="3"/>
      <c r="AC310" s="3"/>
    </row>
    <row r="311" ht="14.25" customHeight="1">
      <c r="W311" s="3"/>
      <c r="X311" s="3"/>
      <c r="Y311" s="3"/>
      <c r="Z311" s="3"/>
      <c r="AA311" s="3"/>
      <c r="AB311" s="3"/>
      <c r="AC311" s="3"/>
    </row>
    <row r="312" ht="14.25" customHeight="1">
      <c r="W312" s="3"/>
      <c r="X312" s="3"/>
      <c r="Y312" s="3"/>
      <c r="Z312" s="3"/>
      <c r="AA312" s="3"/>
      <c r="AB312" s="3"/>
      <c r="AC312" s="3"/>
    </row>
    <row r="313" ht="14.25" customHeight="1">
      <c r="W313" s="3"/>
      <c r="X313" s="3"/>
      <c r="Y313" s="3"/>
      <c r="Z313" s="3"/>
      <c r="AA313" s="3"/>
      <c r="AB313" s="3"/>
      <c r="AC313" s="3"/>
    </row>
    <row r="314" ht="14.25" customHeight="1">
      <c r="W314" s="3"/>
      <c r="X314" s="3"/>
      <c r="Y314" s="3"/>
      <c r="Z314" s="3"/>
      <c r="AA314" s="3"/>
      <c r="AB314" s="3"/>
      <c r="AC314" s="3"/>
    </row>
    <row r="315" ht="14.25" customHeight="1">
      <c r="W315" s="3"/>
      <c r="X315" s="3"/>
      <c r="Y315" s="3"/>
      <c r="Z315" s="3"/>
      <c r="AA315" s="3"/>
      <c r="AB315" s="3"/>
      <c r="AC315" s="3"/>
    </row>
    <row r="316" ht="14.25" customHeight="1">
      <c r="W316" s="3"/>
      <c r="X316" s="3"/>
      <c r="Y316" s="3"/>
      <c r="Z316" s="3"/>
      <c r="AA316" s="3"/>
      <c r="AB316" s="3"/>
      <c r="AC316" s="3"/>
    </row>
    <row r="317" ht="14.25" customHeight="1">
      <c r="W317" s="3"/>
      <c r="X317" s="3"/>
      <c r="Y317" s="3"/>
      <c r="Z317" s="3"/>
      <c r="AA317" s="3"/>
      <c r="AB317" s="3"/>
      <c r="AC317" s="3"/>
    </row>
    <row r="318" ht="14.25" customHeight="1">
      <c r="W318" s="3"/>
      <c r="X318" s="3"/>
      <c r="Y318" s="3"/>
      <c r="Z318" s="3"/>
      <c r="AA318" s="3"/>
      <c r="AB318" s="3"/>
      <c r="AC318" s="3"/>
    </row>
    <row r="319" ht="14.25" customHeight="1">
      <c r="W319" s="3"/>
      <c r="X319" s="3"/>
      <c r="Y319" s="3"/>
      <c r="Z319" s="3"/>
      <c r="AA319" s="3"/>
      <c r="AB319" s="3"/>
      <c r="AC319" s="3"/>
    </row>
    <row r="320" ht="14.25" customHeight="1">
      <c r="W320" s="3"/>
      <c r="X320" s="3"/>
      <c r="Y320" s="3"/>
      <c r="Z320" s="3"/>
      <c r="AA320" s="3"/>
      <c r="AB320" s="3"/>
      <c r="AC320" s="3"/>
    </row>
    <row r="321" ht="14.25" customHeight="1">
      <c r="W321" s="3"/>
      <c r="X321" s="3"/>
      <c r="Y321" s="3"/>
      <c r="Z321" s="3"/>
      <c r="AA321" s="3"/>
      <c r="AB321" s="3"/>
      <c r="AC321" s="3"/>
    </row>
    <row r="322" ht="14.25" customHeight="1">
      <c r="W322" s="3"/>
      <c r="X322" s="3"/>
      <c r="Y322" s="3"/>
      <c r="Z322" s="3"/>
      <c r="AA322" s="3"/>
      <c r="AB322" s="3"/>
      <c r="AC322" s="3"/>
    </row>
    <row r="323" ht="14.25" customHeight="1">
      <c r="W323" s="3"/>
      <c r="X323" s="3"/>
      <c r="Y323" s="3"/>
      <c r="Z323" s="3"/>
      <c r="AA323" s="3"/>
      <c r="AB323" s="3"/>
      <c r="AC323" s="3"/>
    </row>
    <row r="324" ht="14.25" customHeight="1">
      <c r="W324" s="3"/>
      <c r="X324" s="3"/>
      <c r="Y324" s="3"/>
      <c r="Z324" s="3"/>
      <c r="AA324" s="3"/>
      <c r="AB324" s="3"/>
      <c r="AC324" s="3"/>
    </row>
    <row r="325" ht="14.25" customHeight="1">
      <c r="W325" s="3"/>
      <c r="X325" s="3"/>
      <c r="Y325" s="3"/>
      <c r="Z325" s="3"/>
      <c r="AA325" s="3"/>
      <c r="AB325" s="3"/>
      <c r="AC325" s="3"/>
    </row>
    <row r="326" ht="14.25" customHeight="1">
      <c r="W326" s="3"/>
      <c r="X326" s="3"/>
      <c r="Y326" s="3"/>
      <c r="Z326" s="3"/>
      <c r="AA326" s="3"/>
      <c r="AB326" s="3"/>
      <c r="AC326" s="3"/>
    </row>
    <row r="327" ht="14.25" customHeight="1">
      <c r="W327" s="3"/>
      <c r="X327" s="3"/>
      <c r="Y327" s="3"/>
      <c r="Z327" s="3"/>
      <c r="AA327" s="3"/>
      <c r="AB327" s="3"/>
      <c r="AC327" s="3"/>
    </row>
    <row r="328" ht="14.25" customHeight="1">
      <c r="W328" s="3"/>
      <c r="X328" s="3"/>
      <c r="Y328" s="3"/>
      <c r="Z328" s="3"/>
      <c r="AA328" s="3"/>
      <c r="AB328" s="3"/>
      <c r="AC328" s="3"/>
    </row>
    <row r="329" ht="14.25" customHeight="1">
      <c r="W329" s="3"/>
      <c r="X329" s="3"/>
      <c r="Y329" s="3"/>
      <c r="Z329" s="3"/>
      <c r="AA329" s="3"/>
      <c r="AB329" s="3"/>
      <c r="AC329" s="3"/>
    </row>
    <row r="330" ht="14.25" customHeight="1">
      <c r="W330" s="3"/>
      <c r="X330" s="3"/>
      <c r="Y330" s="3"/>
      <c r="Z330" s="3"/>
      <c r="AA330" s="3"/>
      <c r="AB330" s="3"/>
      <c r="AC330" s="3"/>
    </row>
    <row r="331" ht="14.25" customHeight="1">
      <c r="W331" s="3"/>
      <c r="X331" s="3"/>
      <c r="Y331" s="3"/>
      <c r="Z331" s="3"/>
      <c r="AA331" s="3"/>
      <c r="AB331" s="3"/>
      <c r="AC331" s="3"/>
    </row>
    <row r="332" ht="14.25" customHeight="1">
      <c r="W332" s="3"/>
      <c r="X332" s="3"/>
      <c r="Y332" s="3"/>
      <c r="Z332" s="3"/>
      <c r="AA332" s="3"/>
      <c r="AB332" s="3"/>
      <c r="AC332" s="3"/>
    </row>
    <row r="333" ht="14.25" customHeight="1">
      <c r="W333" s="3"/>
      <c r="X333" s="3"/>
      <c r="Y333" s="3"/>
      <c r="Z333" s="3"/>
      <c r="AA333" s="3"/>
      <c r="AB333" s="3"/>
      <c r="AC333" s="3"/>
    </row>
    <row r="334" ht="14.25" customHeight="1">
      <c r="W334" s="3"/>
      <c r="X334" s="3"/>
      <c r="Y334" s="3"/>
      <c r="Z334" s="3"/>
      <c r="AA334" s="3"/>
      <c r="AB334" s="3"/>
      <c r="AC334" s="3"/>
    </row>
    <row r="335" ht="14.25" customHeight="1">
      <c r="W335" s="3"/>
      <c r="X335" s="3"/>
      <c r="Y335" s="3"/>
      <c r="Z335" s="3"/>
      <c r="AA335" s="3"/>
      <c r="AB335" s="3"/>
      <c r="AC335" s="3"/>
    </row>
    <row r="336" ht="14.25" customHeight="1">
      <c r="W336" s="3"/>
      <c r="X336" s="3"/>
      <c r="Y336" s="3"/>
      <c r="Z336" s="3"/>
      <c r="AA336" s="3"/>
      <c r="AB336" s="3"/>
      <c r="AC336" s="3"/>
    </row>
    <row r="337" ht="14.25" customHeight="1">
      <c r="W337" s="3"/>
      <c r="X337" s="3"/>
      <c r="Y337" s="3"/>
      <c r="Z337" s="3"/>
      <c r="AA337" s="3"/>
      <c r="AB337" s="3"/>
      <c r="AC337" s="3"/>
    </row>
    <row r="338" ht="14.25" customHeight="1">
      <c r="W338" s="3"/>
      <c r="X338" s="3"/>
      <c r="Y338" s="3"/>
      <c r="Z338" s="3"/>
      <c r="AA338" s="3"/>
      <c r="AB338" s="3"/>
      <c r="AC338" s="3"/>
    </row>
    <row r="339" ht="14.25" customHeight="1">
      <c r="W339" s="3"/>
      <c r="X339" s="3"/>
      <c r="Y339" s="3"/>
      <c r="Z339" s="3"/>
      <c r="AA339" s="3"/>
      <c r="AB339" s="3"/>
      <c r="AC339" s="3"/>
    </row>
    <row r="340" ht="14.25" customHeight="1">
      <c r="W340" s="3"/>
      <c r="X340" s="3"/>
      <c r="Y340" s="3"/>
      <c r="Z340" s="3"/>
      <c r="AA340" s="3"/>
      <c r="AB340" s="3"/>
      <c r="AC340" s="3"/>
    </row>
    <row r="341" ht="14.25" customHeight="1">
      <c r="W341" s="3"/>
      <c r="X341" s="3"/>
      <c r="Y341" s="3"/>
      <c r="Z341" s="3"/>
      <c r="AA341" s="3"/>
      <c r="AB341" s="3"/>
      <c r="AC341" s="3"/>
    </row>
    <row r="342" ht="14.25" customHeight="1">
      <c r="W342" s="3"/>
      <c r="X342" s="3"/>
      <c r="Y342" s="3"/>
      <c r="Z342" s="3"/>
      <c r="AA342" s="3"/>
      <c r="AB342" s="3"/>
      <c r="AC342" s="3"/>
    </row>
    <row r="343" ht="14.25" customHeight="1">
      <c r="W343" s="3"/>
      <c r="X343" s="3"/>
      <c r="Y343" s="3"/>
      <c r="Z343" s="3"/>
      <c r="AA343" s="3"/>
      <c r="AB343" s="3"/>
      <c r="AC343" s="3"/>
    </row>
    <row r="344" ht="14.25" customHeight="1">
      <c r="W344" s="3"/>
      <c r="X344" s="3"/>
      <c r="Y344" s="3"/>
      <c r="Z344" s="3"/>
      <c r="AA344" s="3"/>
      <c r="AB344" s="3"/>
      <c r="AC344" s="3"/>
    </row>
    <row r="345" ht="14.25" customHeight="1">
      <c r="W345" s="3"/>
      <c r="X345" s="3"/>
      <c r="Y345" s="3"/>
      <c r="Z345" s="3"/>
      <c r="AA345" s="3"/>
      <c r="AB345" s="3"/>
      <c r="AC345" s="3"/>
    </row>
    <row r="346" ht="14.25" customHeight="1">
      <c r="W346" s="3"/>
      <c r="X346" s="3"/>
      <c r="Y346" s="3"/>
      <c r="Z346" s="3"/>
      <c r="AA346" s="3"/>
      <c r="AB346" s="3"/>
      <c r="AC346" s="3"/>
    </row>
    <row r="347" ht="14.25" customHeight="1">
      <c r="W347" s="3"/>
      <c r="X347" s="3"/>
      <c r="Y347" s="3"/>
      <c r="Z347" s="3"/>
      <c r="AA347" s="3"/>
      <c r="AB347" s="3"/>
      <c r="AC347" s="3"/>
    </row>
    <row r="348" ht="14.25" customHeight="1">
      <c r="W348" s="3"/>
      <c r="X348" s="3"/>
      <c r="Y348" s="3"/>
      <c r="Z348" s="3"/>
      <c r="AA348" s="3"/>
      <c r="AB348" s="3"/>
      <c r="AC348" s="3"/>
    </row>
    <row r="349" ht="14.25" customHeight="1">
      <c r="W349" s="3"/>
      <c r="X349" s="3"/>
      <c r="Y349" s="3"/>
      <c r="Z349" s="3"/>
      <c r="AA349" s="3"/>
      <c r="AB349" s="3"/>
      <c r="AC349" s="3"/>
    </row>
    <row r="350" ht="14.25" customHeight="1">
      <c r="W350" s="3"/>
      <c r="X350" s="3"/>
      <c r="Y350" s="3"/>
      <c r="Z350" s="3"/>
      <c r="AA350" s="3"/>
      <c r="AB350" s="3"/>
      <c r="AC350" s="3"/>
    </row>
    <row r="351" ht="14.25" customHeight="1">
      <c r="W351" s="3"/>
      <c r="X351" s="3"/>
      <c r="Y351" s="3"/>
      <c r="Z351" s="3"/>
      <c r="AA351" s="3"/>
      <c r="AB351" s="3"/>
      <c r="AC351" s="3"/>
    </row>
    <row r="352" ht="14.25" customHeight="1">
      <c r="W352" s="3"/>
      <c r="X352" s="3"/>
      <c r="Y352" s="3"/>
      <c r="Z352" s="3"/>
      <c r="AA352" s="3"/>
      <c r="AB352" s="3"/>
      <c r="AC352" s="3"/>
    </row>
    <row r="353" ht="14.25" customHeight="1">
      <c r="W353" s="3"/>
      <c r="X353" s="3"/>
      <c r="Y353" s="3"/>
      <c r="Z353" s="3"/>
      <c r="AA353" s="3"/>
      <c r="AB353" s="3"/>
      <c r="AC353" s="3"/>
    </row>
    <row r="354" ht="14.25" customHeight="1">
      <c r="W354" s="3"/>
      <c r="X354" s="3"/>
      <c r="Y354" s="3"/>
      <c r="Z354" s="3"/>
      <c r="AA354" s="3"/>
      <c r="AB354" s="3"/>
      <c r="AC354" s="3"/>
    </row>
    <row r="355" ht="14.25" customHeight="1">
      <c r="W355" s="3"/>
      <c r="X355" s="3"/>
      <c r="Y355" s="3"/>
      <c r="Z355" s="3"/>
      <c r="AA355" s="3"/>
      <c r="AB355" s="3"/>
      <c r="AC355" s="3"/>
    </row>
    <row r="356" ht="14.25" customHeight="1">
      <c r="W356" s="3"/>
      <c r="X356" s="3"/>
      <c r="Y356" s="3"/>
      <c r="Z356" s="3"/>
      <c r="AA356" s="3"/>
      <c r="AB356" s="3"/>
      <c r="AC356" s="3"/>
    </row>
    <row r="357" ht="14.25" customHeight="1">
      <c r="W357" s="3"/>
      <c r="X357" s="3"/>
      <c r="Y357" s="3"/>
      <c r="Z357" s="3"/>
      <c r="AA357" s="3"/>
      <c r="AB357" s="3"/>
      <c r="AC357" s="3"/>
    </row>
    <row r="358" ht="14.25" customHeight="1">
      <c r="W358" s="3"/>
      <c r="X358" s="3"/>
      <c r="Y358" s="3"/>
      <c r="Z358" s="3"/>
      <c r="AA358" s="3"/>
      <c r="AB358" s="3"/>
      <c r="AC358" s="3"/>
    </row>
    <row r="359" ht="14.25" customHeight="1">
      <c r="W359" s="3"/>
      <c r="X359" s="3"/>
      <c r="Y359" s="3"/>
      <c r="Z359" s="3"/>
      <c r="AA359" s="3"/>
      <c r="AB359" s="3"/>
      <c r="AC359" s="3"/>
    </row>
    <row r="360" ht="14.25" customHeight="1">
      <c r="W360" s="3"/>
      <c r="X360" s="3"/>
      <c r="Y360" s="3"/>
      <c r="Z360" s="3"/>
      <c r="AA360" s="3"/>
      <c r="AB360" s="3"/>
      <c r="AC360" s="3"/>
    </row>
    <row r="361" ht="14.25" customHeight="1">
      <c r="W361" s="3"/>
      <c r="X361" s="3"/>
      <c r="Y361" s="3"/>
      <c r="Z361" s="3"/>
      <c r="AA361" s="3"/>
      <c r="AB361" s="3"/>
      <c r="AC361" s="3"/>
    </row>
    <row r="362" ht="14.25" customHeight="1">
      <c r="W362" s="3"/>
      <c r="X362" s="3"/>
      <c r="Y362" s="3"/>
      <c r="Z362" s="3"/>
      <c r="AA362" s="3"/>
      <c r="AB362" s="3"/>
      <c r="AC362" s="3"/>
    </row>
    <row r="363" ht="14.25" customHeight="1">
      <c r="W363" s="3"/>
      <c r="X363" s="3"/>
      <c r="Y363" s="3"/>
      <c r="Z363" s="3"/>
      <c r="AA363" s="3"/>
      <c r="AB363" s="3"/>
      <c r="AC363" s="3"/>
    </row>
    <row r="364" ht="14.25" customHeight="1">
      <c r="W364" s="3"/>
      <c r="X364" s="3"/>
      <c r="Y364" s="3"/>
      <c r="Z364" s="3"/>
      <c r="AA364" s="3"/>
      <c r="AB364" s="3"/>
      <c r="AC364" s="3"/>
    </row>
    <row r="365" ht="14.25" customHeight="1">
      <c r="W365" s="3"/>
      <c r="X365" s="3"/>
      <c r="Y365" s="3"/>
      <c r="Z365" s="3"/>
      <c r="AA365" s="3"/>
      <c r="AB365" s="3"/>
      <c r="AC365" s="3"/>
    </row>
    <row r="366" ht="14.25" customHeight="1">
      <c r="W366" s="3"/>
      <c r="X366" s="3"/>
      <c r="Y366" s="3"/>
      <c r="Z366" s="3"/>
      <c r="AA366" s="3"/>
      <c r="AB366" s="3"/>
      <c r="AC366" s="3"/>
    </row>
    <row r="367" ht="14.25" customHeight="1">
      <c r="W367" s="3"/>
      <c r="X367" s="3"/>
      <c r="Y367" s="3"/>
      <c r="Z367" s="3"/>
      <c r="AA367" s="3"/>
      <c r="AB367" s="3"/>
      <c r="AC367" s="3"/>
    </row>
    <row r="368" ht="14.25" customHeight="1">
      <c r="W368" s="3"/>
      <c r="X368" s="3"/>
      <c r="Y368" s="3"/>
      <c r="Z368" s="3"/>
      <c r="AA368" s="3"/>
      <c r="AB368" s="3"/>
      <c r="AC368" s="3"/>
    </row>
    <row r="369" ht="14.25" customHeight="1">
      <c r="W369" s="3"/>
      <c r="X369" s="3"/>
      <c r="Y369" s="3"/>
      <c r="Z369" s="3"/>
      <c r="AA369" s="3"/>
      <c r="AB369" s="3"/>
      <c r="AC369" s="3"/>
    </row>
    <row r="370" ht="14.25" customHeight="1">
      <c r="W370" s="3"/>
      <c r="X370" s="3"/>
      <c r="Y370" s="3"/>
      <c r="Z370" s="3"/>
      <c r="AA370" s="3"/>
      <c r="AB370" s="3"/>
      <c r="AC370" s="3"/>
    </row>
    <row r="371" ht="14.25" customHeight="1">
      <c r="W371" s="3"/>
      <c r="X371" s="3"/>
      <c r="Y371" s="3"/>
      <c r="Z371" s="3"/>
      <c r="AA371" s="3"/>
      <c r="AB371" s="3"/>
      <c r="AC371" s="3"/>
    </row>
    <row r="372" ht="14.25" customHeight="1">
      <c r="W372" s="3"/>
      <c r="X372" s="3"/>
      <c r="Y372" s="3"/>
      <c r="Z372" s="3"/>
      <c r="AA372" s="3"/>
      <c r="AB372" s="3"/>
      <c r="AC372" s="3"/>
    </row>
    <row r="373" ht="14.25" customHeight="1">
      <c r="W373" s="3"/>
      <c r="X373" s="3"/>
      <c r="Y373" s="3"/>
      <c r="Z373" s="3"/>
      <c r="AA373" s="3"/>
      <c r="AB373" s="3"/>
      <c r="AC373" s="3"/>
    </row>
    <row r="374" ht="14.25" customHeight="1">
      <c r="W374" s="3"/>
      <c r="X374" s="3"/>
      <c r="Y374" s="3"/>
      <c r="Z374" s="3"/>
      <c r="AA374" s="3"/>
      <c r="AB374" s="3"/>
      <c r="AC374" s="3"/>
    </row>
    <row r="375" ht="14.25" customHeight="1">
      <c r="W375" s="3"/>
      <c r="X375" s="3"/>
      <c r="Y375" s="3"/>
      <c r="Z375" s="3"/>
      <c r="AA375" s="3"/>
      <c r="AB375" s="3"/>
      <c r="AC375" s="3"/>
    </row>
    <row r="376" ht="14.25" customHeight="1">
      <c r="W376" s="3"/>
      <c r="X376" s="3"/>
      <c r="Y376" s="3"/>
      <c r="Z376" s="3"/>
      <c r="AA376" s="3"/>
      <c r="AB376" s="3"/>
      <c r="AC376" s="3"/>
    </row>
    <row r="377" ht="14.25" customHeight="1">
      <c r="W377" s="3"/>
      <c r="X377" s="3"/>
      <c r="Y377" s="3"/>
      <c r="Z377" s="3"/>
      <c r="AA377" s="3"/>
      <c r="AB377" s="3"/>
      <c r="AC377" s="3"/>
    </row>
    <row r="378" ht="14.25" customHeight="1">
      <c r="W378" s="3"/>
      <c r="X378" s="3"/>
      <c r="Y378" s="3"/>
      <c r="Z378" s="3"/>
      <c r="AA378" s="3"/>
      <c r="AB378" s="3"/>
      <c r="AC378" s="3"/>
    </row>
    <row r="379" ht="14.25" customHeight="1">
      <c r="W379" s="3"/>
      <c r="X379" s="3"/>
      <c r="Y379" s="3"/>
      <c r="Z379" s="3"/>
      <c r="AA379" s="3"/>
      <c r="AB379" s="3"/>
      <c r="AC379" s="3"/>
    </row>
    <row r="380" ht="14.25" customHeight="1">
      <c r="W380" s="3"/>
      <c r="X380" s="3"/>
      <c r="Y380" s="3"/>
      <c r="Z380" s="3"/>
      <c r="AA380" s="3"/>
      <c r="AB380" s="3"/>
      <c r="AC380" s="3"/>
    </row>
    <row r="381" ht="14.25" customHeight="1">
      <c r="W381" s="3"/>
      <c r="X381" s="3"/>
      <c r="Y381" s="3"/>
      <c r="Z381" s="3"/>
      <c r="AA381" s="3"/>
      <c r="AB381" s="3"/>
      <c r="AC381" s="3"/>
    </row>
    <row r="382" ht="14.25" customHeight="1">
      <c r="W382" s="3"/>
      <c r="X382" s="3"/>
      <c r="Y382" s="3"/>
      <c r="Z382" s="3"/>
      <c r="AA382" s="3"/>
      <c r="AB382" s="3"/>
      <c r="AC382" s="3"/>
    </row>
    <row r="383" ht="14.25" customHeight="1">
      <c r="W383" s="3"/>
      <c r="X383" s="3"/>
      <c r="Y383" s="3"/>
      <c r="Z383" s="3"/>
      <c r="AA383" s="3"/>
      <c r="AB383" s="3"/>
      <c r="AC383" s="3"/>
    </row>
    <row r="384" ht="14.25" customHeight="1">
      <c r="W384" s="3"/>
      <c r="X384" s="3"/>
      <c r="Y384" s="3"/>
      <c r="Z384" s="3"/>
      <c r="AA384" s="3"/>
      <c r="AB384" s="3"/>
      <c r="AC384" s="3"/>
    </row>
    <row r="385" ht="14.25" customHeight="1">
      <c r="W385" s="3"/>
      <c r="X385" s="3"/>
      <c r="Y385" s="3"/>
      <c r="Z385" s="3"/>
      <c r="AA385" s="3"/>
      <c r="AB385" s="3"/>
      <c r="AC385" s="3"/>
    </row>
    <row r="386" ht="14.25" customHeight="1">
      <c r="W386" s="3"/>
      <c r="X386" s="3"/>
      <c r="Y386" s="3"/>
      <c r="Z386" s="3"/>
      <c r="AA386" s="3"/>
      <c r="AB386" s="3"/>
      <c r="AC386" s="3"/>
    </row>
    <row r="387" ht="14.25" customHeight="1">
      <c r="W387" s="3"/>
      <c r="X387" s="3"/>
      <c r="Y387" s="3"/>
      <c r="Z387" s="3"/>
      <c r="AA387" s="3"/>
      <c r="AB387" s="3"/>
      <c r="AC387" s="3"/>
    </row>
    <row r="388" ht="14.25" customHeight="1">
      <c r="W388" s="3"/>
      <c r="X388" s="3"/>
      <c r="Y388" s="3"/>
      <c r="Z388" s="3"/>
      <c r="AA388" s="3"/>
      <c r="AB388" s="3"/>
      <c r="AC388" s="3"/>
    </row>
    <row r="389" ht="14.25" customHeight="1">
      <c r="W389" s="3"/>
      <c r="X389" s="3"/>
      <c r="Y389" s="3"/>
      <c r="Z389" s="3"/>
      <c r="AA389" s="3"/>
      <c r="AB389" s="3"/>
      <c r="AC389" s="3"/>
    </row>
    <row r="390" ht="14.25" customHeight="1">
      <c r="W390" s="3"/>
      <c r="X390" s="3"/>
      <c r="Y390" s="3"/>
      <c r="Z390" s="3"/>
      <c r="AA390" s="3"/>
      <c r="AB390" s="3"/>
      <c r="AC390" s="3"/>
    </row>
    <row r="391" ht="14.25" customHeight="1">
      <c r="W391" s="3"/>
      <c r="X391" s="3"/>
      <c r="Y391" s="3"/>
      <c r="Z391" s="3"/>
      <c r="AA391" s="3"/>
      <c r="AB391" s="3"/>
      <c r="AC391" s="3"/>
    </row>
    <row r="392" ht="14.25" customHeight="1">
      <c r="W392" s="3"/>
      <c r="X392" s="3"/>
      <c r="Y392" s="3"/>
      <c r="Z392" s="3"/>
      <c r="AA392" s="3"/>
      <c r="AB392" s="3"/>
      <c r="AC392" s="3"/>
    </row>
    <row r="393" ht="14.25" customHeight="1">
      <c r="W393" s="3"/>
      <c r="X393" s="3"/>
      <c r="Y393" s="3"/>
      <c r="Z393" s="3"/>
      <c r="AA393" s="3"/>
      <c r="AB393" s="3"/>
      <c r="AC393" s="3"/>
    </row>
    <row r="394" ht="14.25" customHeight="1">
      <c r="W394" s="3"/>
      <c r="X394" s="3"/>
      <c r="Y394" s="3"/>
      <c r="Z394" s="3"/>
      <c r="AA394" s="3"/>
      <c r="AB394" s="3"/>
      <c r="AC394" s="3"/>
    </row>
    <row r="395" ht="14.25" customHeight="1">
      <c r="W395" s="3"/>
      <c r="X395" s="3"/>
      <c r="Y395" s="3"/>
      <c r="Z395" s="3"/>
      <c r="AA395" s="3"/>
      <c r="AB395" s="3"/>
      <c r="AC395" s="3"/>
    </row>
    <row r="396" ht="14.25" customHeight="1">
      <c r="W396" s="3"/>
      <c r="X396" s="3"/>
      <c r="Y396" s="3"/>
      <c r="Z396" s="3"/>
      <c r="AA396" s="3"/>
      <c r="AB396" s="3"/>
      <c r="AC396" s="3"/>
    </row>
    <row r="397" ht="14.25" customHeight="1">
      <c r="W397" s="3"/>
      <c r="X397" s="3"/>
      <c r="Y397" s="3"/>
      <c r="Z397" s="3"/>
      <c r="AA397" s="3"/>
      <c r="AB397" s="3"/>
      <c r="AC397" s="3"/>
    </row>
    <row r="398" ht="14.25" customHeight="1">
      <c r="W398" s="3"/>
      <c r="X398" s="3"/>
      <c r="Y398" s="3"/>
      <c r="Z398" s="3"/>
      <c r="AA398" s="3"/>
      <c r="AB398" s="3"/>
      <c r="AC398" s="3"/>
    </row>
    <row r="399" ht="14.25" customHeight="1">
      <c r="W399" s="3"/>
      <c r="X399" s="3"/>
      <c r="Y399" s="3"/>
      <c r="Z399" s="3"/>
      <c r="AA399" s="3"/>
      <c r="AB399" s="3"/>
      <c r="AC399" s="3"/>
    </row>
    <row r="400" ht="14.25" customHeight="1">
      <c r="W400" s="3"/>
      <c r="X400" s="3"/>
      <c r="Y400" s="3"/>
      <c r="Z400" s="3"/>
      <c r="AA400" s="3"/>
      <c r="AB400" s="3"/>
      <c r="AC400" s="3"/>
    </row>
    <row r="401" ht="14.25" customHeight="1">
      <c r="W401" s="3"/>
      <c r="X401" s="3"/>
      <c r="Y401" s="3"/>
      <c r="Z401" s="3"/>
      <c r="AA401" s="3"/>
      <c r="AB401" s="3"/>
      <c r="AC401" s="3"/>
    </row>
    <row r="402" ht="14.25" customHeight="1">
      <c r="W402" s="3"/>
      <c r="X402" s="3"/>
      <c r="Y402" s="3"/>
      <c r="Z402" s="3"/>
      <c r="AA402" s="3"/>
      <c r="AB402" s="3"/>
      <c r="AC402" s="3"/>
    </row>
    <row r="403" ht="14.25" customHeight="1">
      <c r="W403" s="3"/>
      <c r="X403" s="3"/>
      <c r="Y403" s="3"/>
      <c r="Z403" s="3"/>
      <c r="AA403" s="3"/>
      <c r="AB403" s="3"/>
      <c r="AC403" s="3"/>
    </row>
    <row r="404" ht="14.25" customHeight="1">
      <c r="W404" s="3"/>
      <c r="X404" s="3"/>
      <c r="Y404" s="3"/>
      <c r="Z404" s="3"/>
      <c r="AA404" s="3"/>
      <c r="AB404" s="3"/>
      <c r="AC404" s="3"/>
    </row>
    <row r="405" ht="14.25" customHeight="1">
      <c r="W405" s="3"/>
      <c r="X405" s="3"/>
      <c r="Y405" s="3"/>
      <c r="Z405" s="3"/>
      <c r="AA405" s="3"/>
      <c r="AB405" s="3"/>
      <c r="AC405" s="3"/>
    </row>
    <row r="406" ht="14.25" customHeight="1">
      <c r="W406" s="3"/>
      <c r="X406" s="3"/>
      <c r="Y406" s="3"/>
      <c r="Z406" s="3"/>
      <c r="AA406" s="3"/>
      <c r="AB406" s="3"/>
      <c r="AC406" s="3"/>
    </row>
    <row r="407" ht="14.25" customHeight="1">
      <c r="W407" s="3"/>
      <c r="X407" s="3"/>
      <c r="Y407" s="3"/>
      <c r="Z407" s="3"/>
      <c r="AA407" s="3"/>
      <c r="AB407" s="3"/>
      <c r="AC407" s="3"/>
    </row>
    <row r="408" ht="14.25" customHeight="1">
      <c r="W408" s="3"/>
      <c r="X408" s="3"/>
      <c r="Y408" s="3"/>
      <c r="Z408" s="3"/>
      <c r="AA408" s="3"/>
      <c r="AB408" s="3"/>
      <c r="AC408" s="3"/>
    </row>
    <row r="409" ht="14.25" customHeight="1">
      <c r="W409" s="3"/>
      <c r="X409" s="3"/>
      <c r="Y409" s="3"/>
      <c r="Z409" s="3"/>
      <c r="AA409" s="3"/>
      <c r="AB409" s="3"/>
      <c r="AC409" s="3"/>
    </row>
    <row r="410" ht="14.25" customHeight="1">
      <c r="W410" s="3"/>
      <c r="X410" s="3"/>
      <c r="Y410" s="3"/>
      <c r="Z410" s="3"/>
      <c r="AA410" s="3"/>
      <c r="AB410" s="3"/>
      <c r="AC410" s="3"/>
    </row>
    <row r="411" ht="14.25" customHeight="1">
      <c r="W411" s="3"/>
      <c r="X411" s="3"/>
      <c r="Y411" s="3"/>
      <c r="Z411" s="3"/>
      <c r="AA411" s="3"/>
      <c r="AB411" s="3"/>
      <c r="AC411" s="3"/>
    </row>
    <row r="412" ht="14.25" customHeight="1">
      <c r="W412" s="3"/>
      <c r="X412" s="3"/>
      <c r="Y412" s="3"/>
      <c r="Z412" s="3"/>
      <c r="AA412" s="3"/>
      <c r="AB412" s="3"/>
      <c r="AC412" s="3"/>
    </row>
    <row r="413" ht="14.25" customHeight="1">
      <c r="W413" s="3"/>
      <c r="X413" s="3"/>
      <c r="Y413" s="3"/>
      <c r="Z413" s="3"/>
      <c r="AA413" s="3"/>
      <c r="AB413" s="3"/>
      <c r="AC413" s="3"/>
    </row>
    <row r="414" ht="14.25" customHeight="1">
      <c r="W414" s="3"/>
      <c r="X414" s="3"/>
      <c r="Y414" s="3"/>
      <c r="Z414" s="3"/>
      <c r="AA414" s="3"/>
      <c r="AB414" s="3"/>
      <c r="AC414" s="3"/>
    </row>
    <row r="415" ht="14.25" customHeight="1">
      <c r="W415" s="3"/>
      <c r="X415" s="3"/>
      <c r="Y415" s="3"/>
      <c r="Z415" s="3"/>
      <c r="AA415" s="3"/>
      <c r="AB415" s="3"/>
      <c r="AC415" s="3"/>
    </row>
    <row r="416" ht="14.25" customHeight="1">
      <c r="W416" s="3"/>
      <c r="X416" s="3"/>
      <c r="Y416" s="3"/>
      <c r="Z416" s="3"/>
      <c r="AA416" s="3"/>
      <c r="AB416" s="3"/>
      <c r="AC416" s="3"/>
    </row>
    <row r="417" ht="14.25" customHeight="1">
      <c r="W417" s="3"/>
      <c r="X417" s="3"/>
      <c r="Y417" s="3"/>
      <c r="Z417" s="3"/>
      <c r="AA417" s="3"/>
      <c r="AB417" s="3"/>
      <c r="AC417" s="3"/>
    </row>
    <row r="418" ht="14.25" customHeight="1">
      <c r="W418" s="3"/>
      <c r="X418" s="3"/>
      <c r="Y418" s="3"/>
      <c r="Z418" s="3"/>
      <c r="AA418" s="3"/>
      <c r="AB418" s="3"/>
      <c r="AC418" s="3"/>
    </row>
    <row r="419" ht="14.25" customHeight="1">
      <c r="W419" s="3"/>
      <c r="X419" s="3"/>
      <c r="Y419" s="3"/>
      <c r="Z419" s="3"/>
      <c r="AA419" s="3"/>
      <c r="AB419" s="3"/>
      <c r="AC419" s="3"/>
    </row>
    <row r="420" ht="14.25" customHeight="1">
      <c r="W420" s="3"/>
      <c r="X420" s="3"/>
      <c r="Y420" s="3"/>
      <c r="Z420" s="3"/>
      <c r="AA420" s="3"/>
      <c r="AB420" s="3"/>
      <c r="AC420" s="3"/>
    </row>
    <row r="421" ht="14.25" customHeight="1">
      <c r="W421" s="3"/>
      <c r="X421" s="3"/>
      <c r="Y421" s="3"/>
      <c r="Z421" s="3"/>
      <c r="AA421" s="3"/>
      <c r="AB421" s="3"/>
      <c r="AC421" s="3"/>
    </row>
    <row r="422" ht="14.25" customHeight="1">
      <c r="W422" s="3"/>
      <c r="X422" s="3"/>
      <c r="Y422" s="3"/>
      <c r="Z422" s="3"/>
      <c r="AA422" s="3"/>
      <c r="AB422" s="3"/>
      <c r="AC422" s="3"/>
    </row>
    <row r="423" ht="14.25" customHeight="1">
      <c r="W423" s="3"/>
      <c r="X423" s="3"/>
      <c r="Y423" s="3"/>
      <c r="Z423" s="3"/>
      <c r="AA423" s="3"/>
      <c r="AB423" s="3"/>
      <c r="AC423" s="3"/>
    </row>
    <row r="424" ht="14.25" customHeight="1">
      <c r="W424" s="3"/>
      <c r="X424" s="3"/>
      <c r="Y424" s="3"/>
      <c r="Z424" s="3"/>
      <c r="AA424" s="3"/>
      <c r="AB424" s="3"/>
      <c r="AC424" s="3"/>
    </row>
    <row r="425" ht="14.25" customHeight="1">
      <c r="W425" s="3"/>
      <c r="X425" s="3"/>
      <c r="Y425" s="3"/>
      <c r="Z425" s="3"/>
      <c r="AA425" s="3"/>
      <c r="AB425" s="3"/>
      <c r="AC425" s="3"/>
    </row>
    <row r="426" ht="14.25" customHeight="1">
      <c r="W426" s="3"/>
      <c r="X426" s="3"/>
      <c r="Y426" s="3"/>
      <c r="Z426" s="3"/>
      <c r="AA426" s="3"/>
      <c r="AB426" s="3"/>
      <c r="AC426" s="3"/>
    </row>
    <row r="427" ht="14.25" customHeight="1">
      <c r="W427" s="3"/>
      <c r="X427" s="3"/>
      <c r="Y427" s="3"/>
      <c r="Z427" s="3"/>
      <c r="AA427" s="3"/>
      <c r="AB427" s="3"/>
      <c r="AC427" s="3"/>
    </row>
    <row r="428" ht="14.25" customHeight="1">
      <c r="W428" s="3"/>
      <c r="X428" s="3"/>
      <c r="Y428" s="3"/>
      <c r="Z428" s="3"/>
      <c r="AA428" s="3"/>
      <c r="AB428" s="3"/>
      <c r="AC428" s="3"/>
    </row>
    <row r="429" ht="14.25" customHeight="1">
      <c r="W429" s="3"/>
      <c r="X429" s="3"/>
      <c r="Y429" s="3"/>
      <c r="Z429" s="3"/>
      <c r="AA429" s="3"/>
      <c r="AB429" s="3"/>
      <c r="AC429" s="3"/>
    </row>
    <row r="430" ht="14.25" customHeight="1">
      <c r="W430" s="3"/>
      <c r="X430" s="3"/>
      <c r="Y430" s="3"/>
      <c r="Z430" s="3"/>
      <c r="AA430" s="3"/>
      <c r="AB430" s="3"/>
      <c r="AC430" s="3"/>
    </row>
    <row r="431" ht="14.25" customHeight="1">
      <c r="W431" s="3"/>
      <c r="X431" s="3"/>
      <c r="Y431" s="3"/>
      <c r="Z431" s="3"/>
      <c r="AA431" s="3"/>
      <c r="AB431" s="3"/>
      <c r="AC431" s="3"/>
    </row>
    <row r="432" ht="14.25" customHeight="1">
      <c r="W432" s="3"/>
      <c r="X432" s="3"/>
      <c r="Y432" s="3"/>
      <c r="Z432" s="3"/>
      <c r="AA432" s="3"/>
      <c r="AB432" s="3"/>
      <c r="AC432" s="3"/>
    </row>
    <row r="433" ht="14.25" customHeight="1">
      <c r="W433" s="3"/>
      <c r="X433" s="3"/>
      <c r="Y433" s="3"/>
      <c r="Z433" s="3"/>
      <c r="AA433" s="3"/>
      <c r="AB433" s="3"/>
      <c r="AC433" s="3"/>
    </row>
    <row r="434" ht="14.25" customHeight="1">
      <c r="W434" s="3"/>
      <c r="X434" s="3"/>
      <c r="Y434" s="3"/>
      <c r="Z434" s="3"/>
      <c r="AA434" s="3"/>
      <c r="AB434" s="3"/>
      <c r="AC434" s="3"/>
    </row>
    <row r="435" ht="14.25" customHeight="1">
      <c r="W435" s="3"/>
      <c r="X435" s="3"/>
      <c r="Y435" s="3"/>
      <c r="Z435" s="3"/>
      <c r="AA435" s="3"/>
      <c r="AB435" s="3"/>
      <c r="AC435" s="3"/>
    </row>
    <row r="436" ht="14.25" customHeight="1">
      <c r="W436" s="3"/>
      <c r="X436" s="3"/>
      <c r="Y436" s="3"/>
      <c r="Z436" s="3"/>
      <c r="AA436" s="3"/>
      <c r="AB436" s="3"/>
      <c r="AC436" s="3"/>
    </row>
    <row r="437" ht="14.25" customHeight="1">
      <c r="W437" s="3"/>
      <c r="X437" s="3"/>
      <c r="Y437" s="3"/>
      <c r="Z437" s="3"/>
      <c r="AA437" s="3"/>
      <c r="AB437" s="3"/>
      <c r="AC437" s="3"/>
    </row>
    <row r="438" ht="14.25" customHeight="1">
      <c r="W438" s="3"/>
      <c r="X438" s="3"/>
      <c r="Y438" s="3"/>
      <c r="Z438" s="3"/>
      <c r="AA438" s="3"/>
      <c r="AB438" s="3"/>
      <c r="AC438" s="3"/>
    </row>
    <row r="439" ht="14.25" customHeight="1">
      <c r="W439" s="3"/>
      <c r="X439" s="3"/>
      <c r="Y439" s="3"/>
      <c r="Z439" s="3"/>
      <c r="AA439" s="3"/>
      <c r="AB439" s="3"/>
      <c r="AC439" s="3"/>
    </row>
    <row r="440" ht="14.25" customHeight="1">
      <c r="W440" s="3"/>
      <c r="X440" s="3"/>
      <c r="Y440" s="3"/>
      <c r="Z440" s="3"/>
      <c r="AA440" s="3"/>
      <c r="AB440" s="3"/>
      <c r="AC440" s="3"/>
    </row>
    <row r="441" ht="14.25" customHeight="1">
      <c r="W441" s="3"/>
      <c r="X441" s="3"/>
      <c r="Y441" s="3"/>
      <c r="Z441" s="3"/>
      <c r="AA441" s="3"/>
      <c r="AB441" s="3"/>
      <c r="AC441" s="3"/>
    </row>
    <row r="442" ht="14.25" customHeight="1">
      <c r="W442" s="3"/>
      <c r="X442" s="3"/>
      <c r="Y442" s="3"/>
      <c r="Z442" s="3"/>
      <c r="AA442" s="3"/>
      <c r="AB442" s="3"/>
      <c r="AC442" s="3"/>
    </row>
    <row r="443" ht="14.25" customHeight="1">
      <c r="W443" s="3"/>
      <c r="X443" s="3"/>
      <c r="Y443" s="3"/>
      <c r="Z443" s="3"/>
      <c r="AA443" s="3"/>
      <c r="AB443" s="3"/>
      <c r="AC443" s="3"/>
    </row>
    <row r="444" ht="14.25" customHeight="1">
      <c r="W444" s="3"/>
      <c r="X444" s="3"/>
      <c r="Y444" s="3"/>
      <c r="Z444" s="3"/>
      <c r="AA444" s="3"/>
      <c r="AB444" s="3"/>
      <c r="AC444" s="3"/>
    </row>
    <row r="445" ht="14.25" customHeight="1">
      <c r="W445" s="3"/>
      <c r="X445" s="3"/>
      <c r="Y445" s="3"/>
      <c r="Z445" s="3"/>
      <c r="AA445" s="3"/>
      <c r="AB445" s="3"/>
      <c r="AC445" s="3"/>
    </row>
    <row r="446" ht="14.25" customHeight="1">
      <c r="W446" s="3"/>
      <c r="X446" s="3"/>
      <c r="Y446" s="3"/>
      <c r="Z446" s="3"/>
      <c r="AA446" s="3"/>
      <c r="AB446" s="3"/>
      <c r="AC446" s="3"/>
    </row>
    <row r="447" ht="14.25" customHeight="1">
      <c r="W447" s="3"/>
      <c r="X447" s="3"/>
      <c r="Y447" s="3"/>
      <c r="Z447" s="3"/>
      <c r="AA447" s="3"/>
      <c r="AB447" s="3"/>
      <c r="AC447" s="3"/>
    </row>
    <row r="448" ht="14.25" customHeight="1">
      <c r="W448" s="3"/>
      <c r="X448" s="3"/>
      <c r="Y448" s="3"/>
      <c r="Z448" s="3"/>
      <c r="AA448" s="3"/>
      <c r="AB448" s="3"/>
      <c r="AC448" s="3"/>
    </row>
    <row r="449" ht="14.25" customHeight="1">
      <c r="W449" s="3"/>
      <c r="X449" s="3"/>
      <c r="Y449" s="3"/>
      <c r="Z449" s="3"/>
      <c r="AA449" s="3"/>
      <c r="AB449" s="3"/>
      <c r="AC449" s="3"/>
    </row>
    <row r="450" ht="14.25" customHeight="1">
      <c r="W450" s="3"/>
      <c r="X450" s="3"/>
      <c r="Y450" s="3"/>
      <c r="Z450" s="3"/>
      <c r="AA450" s="3"/>
      <c r="AB450" s="3"/>
      <c r="AC450" s="3"/>
    </row>
    <row r="451" ht="14.25" customHeight="1">
      <c r="W451" s="3"/>
      <c r="X451" s="3"/>
      <c r="Y451" s="3"/>
      <c r="Z451" s="3"/>
      <c r="AA451" s="3"/>
      <c r="AB451" s="3"/>
      <c r="AC451" s="3"/>
    </row>
    <row r="452" ht="14.25" customHeight="1">
      <c r="W452" s="3"/>
      <c r="X452" s="3"/>
      <c r="Y452" s="3"/>
      <c r="Z452" s="3"/>
      <c r="AA452" s="3"/>
      <c r="AB452" s="3"/>
      <c r="AC452" s="3"/>
    </row>
    <row r="453" ht="14.25" customHeight="1">
      <c r="W453" s="3"/>
      <c r="X453" s="3"/>
      <c r="Y453" s="3"/>
      <c r="Z453" s="3"/>
      <c r="AA453" s="3"/>
      <c r="AB453" s="3"/>
      <c r="AC453" s="3"/>
    </row>
    <row r="454" ht="14.25" customHeight="1">
      <c r="W454" s="3"/>
      <c r="X454" s="3"/>
      <c r="Y454" s="3"/>
      <c r="Z454" s="3"/>
      <c r="AA454" s="3"/>
      <c r="AB454" s="3"/>
      <c r="AC454" s="3"/>
    </row>
    <row r="455" ht="14.25" customHeight="1">
      <c r="W455" s="3"/>
      <c r="X455" s="3"/>
      <c r="Y455" s="3"/>
      <c r="Z455" s="3"/>
      <c r="AA455" s="3"/>
      <c r="AB455" s="3"/>
      <c r="AC455" s="3"/>
    </row>
    <row r="456" ht="14.25" customHeight="1">
      <c r="W456" s="3"/>
      <c r="X456" s="3"/>
      <c r="Y456" s="3"/>
      <c r="Z456" s="3"/>
      <c r="AA456" s="3"/>
      <c r="AB456" s="3"/>
      <c r="AC456" s="3"/>
    </row>
    <row r="457" ht="14.25" customHeight="1">
      <c r="W457" s="3"/>
      <c r="X457" s="3"/>
      <c r="Y457" s="3"/>
      <c r="Z457" s="3"/>
      <c r="AA457" s="3"/>
      <c r="AB457" s="3"/>
      <c r="AC457" s="3"/>
    </row>
    <row r="458" ht="14.25" customHeight="1">
      <c r="W458" s="3"/>
      <c r="X458" s="3"/>
      <c r="Y458" s="3"/>
      <c r="Z458" s="3"/>
      <c r="AA458" s="3"/>
      <c r="AB458" s="3"/>
      <c r="AC458" s="3"/>
    </row>
    <row r="459" ht="14.25" customHeight="1">
      <c r="W459" s="3"/>
      <c r="X459" s="3"/>
      <c r="Y459" s="3"/>
      <c r="Z459" s="3"/>
      <c r="AA459" s="3"/>
      <c r="AB459" s="3"/>
      <c r="AC459" s="3"/>
    </row>
    <row r="460" ht="14.25" customHeight="1">
      <c r="W460" s="3"/>
      <c r="X460" s="3"/>
      <c r="Y460" s="3"/>
      <c r="Z460" s="3"/>
      <c r="AA460" s="3"/>
      <c r="AB460" s="3"/>
      <c r="AC460" s="3"/>
    </row>
    <row r="461" ht="14.25" customHeight="1">
      <c r="W461" s="3"/>
      <c r="X461" s="3"/>
      <c r="Y461" s="3"/>
      <c r="Z461" s="3"/>
      <c r="AA461" s="3"/>
      <c r="AB461" s="3"/>
      <c r="AC461" s="3"/>
    </row>
    <row r="462" ht="14.25" customHeight="1">
      <c r="W462" s="3"/>
      <c r="X462" s="3"/>
      <c r="Y462" s="3"/>
      <c r="Z462" s="3"/>
      <c r="AA462" s="3"/>
      <c r="AB462" s="3"/>
      <c r="AC462" s="3"/>
    </row>
    <row r="463" ht="14.25" customHeight="1">
      <c r="W463" s="3"/>
      <c r="X463" s="3"/>
      <c r="Y463" s="3"/>
      <c r="Z463" s="3"/>
      <c r="AA463" s="3"/>
      <c r="AB463" s="3"/>
      <c r="AC463" s="3"/>
    </row>
    <row r="464" ht="14.25" customHeight="1">
      <c r="W464" s="3"/>
      <c r="X464" s="3"/>
      <c r="Y464" s="3"/>
      <c r="Z464" s="3"/>
      <c r="AA464" s="3"/>
      <c r="AB464" s="3"/>
      <c r="AC464" s="3"/>
    </row>
    <row r="465" ht="14.25" customHeight="1">
      <c r="W465" s="3"/>
      <c r="X465" s="3"/>
      <c r="Y465" s="3"/>
      <c r="Z465" s="3"/>
      <c r="AA465" s="3"/>
      <c r="AB465" s="3"/>
      <c r="AC465" s="3"/>
    </row>
    <row r="466" ht="14.25" customHeight="1">
      <c r="W466" s="3"/>
      <c r="X466" s="3"/>
      <c r="Y466" s="3"/>
      <c r="Z466" s="3"/>
      <c r="AA466" s="3"/>
      <c r="AB466" s="3"/>
      <c r="AC466" s="3"/>
    </row>
    <row r="467" ht="14.25" customHeight="1">
      <c r="W467" s="3"/>
      <c r="X467" s="3"/>
      <c r="Y467" s="3"/>
      <c r="Z467" s="3"/>
      <c r="AA467" s="3"/>
      <c r="AB467" s="3"/>
      <c r="AC467" s="3"/>
    </row>
    <row r="468" ht="14.25" customHeight="1">
      <c r="W468" s="3"/>
      <c r="X468" s="3"/>
      <c r="Y468" s="3"/>
      <c r="Z468" s="3"/>
      <c r="AA468" s="3"/>
      <c r="AB468" s="3"/>
      <c r="AC468" s="3"/>
    </row>
    <row r="469" ht="14.25" customHeight="1">
      <c r="W469" s="3"/>
      <c r="X469" s="3"/>
      <c r="Y469" s="3"/>
      <c r="Z469" s="3"/>
      <c r="AA469" s="3"/>
      <c r="AB469" s="3"/>
      <c r="AC469" s="3"/>
    </row>
    <row r="470" ht="14.25" customHeight="1">
      <c r="W470" s="3"/>
      <c r="X470" s="3"/>
      <c r="Y470" s="3"/>
      <c r="Z470" s="3"/>
      <c r="AA470" s="3"/>
      <c r="AB470" s="3"/>
      <c r="AC470" s="3"/>
    </row>
    <row r="471" ht="14.25" customHeight="1">
      <c r="W471" s="3"/>
      <c r="X471" s="3"/>
      <c r="Y471" s="3"/>
      <c r="Z471" s="3"/>
      <c r="AA471" s="3"/>
      <c r="AB471" s="3"/>
      <c r="AC471" s="3"/>
    </row>
    <row r="472" ht="14.25" customHeight="1">
      <c r="W472" s="3"/>
      <c r="X472" s="3"/>
      <c r="Y472" s="3"/>
      <c r="Z472" s="3"/>
      <c r="AA472" s="3"/>
      <c r="AB472" s="3"/>
      <c r="AC472" s="3"/>
    </row>
    <row r="473" ht="14.25" customHeight="1">
      <c r="W473" s="3"/>
      <c r="X473" s="3"/>
      <c r="Y473" s="3"/>
      <c r="Z473" s="3"/>
      <c r="AA473" s="3"/>
      <c r="AB473" s="3"/>
      <c r="AC473" s="3"/>
    </row>
    <row r="474" ht="14.25" customHeight="1">
      <c r="W474" s="3"/>
      <c r="X474" s="3"/>
      <c r="Y474" s="3"/>
      <c r="Z474" s="3"/>
      <c r="AA474" s="3"/>
      <c r="AB474" s="3"/>
      <c r="AC474" s="3"/>
    </row>
    <row r="475" ht="14.25" customHeight="1">
      <c r="W475" s="3"/>
      <c r="X475" s="3"/>
      <c r="Y475" s="3"/>
      <c r="Z475" s="3"/>
      <c r="AA475" s="3"/>
      <c r="AB475" s="3"/>
      <c r="AC475" s="3"/>
    </row>
    <row r="476" ht="14.25" customHeight="1">
      <c r="W476" s="3"/>
      <c r="X476" s="3"/>
      <c r="Y476" s="3"/>
      <c r="Z476" s="3"/>
      <c r="AA476" s="3"/>
      <c r="AB476" s="3"/>
      <c r="AC476" s="3"/>
    </row>
    <row r="477" ht="14.25" customHeight="1">
      <c r="W477" s="3"/>
      <c r="X477" s="3"/>
      <c r="Y477" s="3"/>
      <c r="Z477" s="3"/>
      <c r="AA477" s="3"/>
      <c r="AB477" s="3"/>
      <c r="AC477" s="3"/>
    </row>
    <row r="478" ht="14.25" customHeight="1">
      <c r="W478" s="3"/>
      <c r="X478" s="3"/>
      <c r="Y478" s="3"/>
      <c r="Z478" s="3"/>
      <c r="AA478" s="3"/>
      <c r="AB478" s="3"/>
      <c r="AC478" s="3"/>
    </row>
    <row r="479" ht="14.25" customHeight="1">
      <c r="W479" s="3"/>
      <c r="X479" s="3"/>
      <c r="Y479" s="3"/>
      <c r="Z479" s="3"/>
      <c r="AA479" s="3"/>
      <c r="AB479" s="3"/>
      <c r="AC479" s="3"/>
    </row>
    <row r="480" ht="14.25" customHeight="1">
      <c r="W480" s="3"/>
      <c r="X480" s="3"/>
      <c r="Y480" s="3"/>
      <c r="Z480" s="3"/>
      <c r="AA480" s="3"/>
      <c r="AB480" s="3"/>
      <c r="AC480" s="3"/>
    </row>
    <row r="481" ht="14.25" customHeight="1">
      <c r="W481" s="3"/>
      <c r="X481" s="3"/>
      <c r="Y481" s="3"/>
      <c r="Z481" s="3"/>
      <c r="AA481" s="3"/>
      <c r="AB481" s="3"/>
      <c r="AC481" s="3"/>
    </row>
    <row r="482" ht="14.25" customHeight="1">
      <c r="W482" s="3"/>
      <c r="X482" s="3"/>
      <c r="Y482" s="3"/>
      <c r="Z482" s="3"/>
      <c r="AA482" s="3"/>
      <c r="AB482" s="3"/>
      <c r="AC482" s="3"/>
    </row>
    <row r="483" ht="14.25" customHeight="1">
      <c r="W483" s="3"/>
      <c r="X483" s="3"/>
      <c r="Y483" s="3"/>
      <c r="Z483" s="3"/>
      <c r="AA483" s="3"/>
      <c r="AB483" s="3"/>
      <c r="AC483" s="3"/>
    </row>
    <row r="484" ht="14.25" customHeight="1">
      <c r="W484" s="3"/>
      <c r="X484" s="3"/>
      <c r="Y484" s="3"/>
      <c r="Z484" s="3"/>
      <c r="AA484" s="3"/>
      <c r="AB484" s="3"/>
      <c r="AC484" s="3"/>
    </row>
    <row r="485" ht="14.25" customHeight="1">
      <c r="W485" s="3"/>
      <c r="X485" s="3"/>
      <c r="Y485" s="3"/>
      <c r="Z485" s="3"/>
      <c r="AA485" s="3"/>
      <c r="AB485" s="3"/>
      <c r="AC485" s="3"/>
    </row>
    <row r="486" ht="14.25" customHeight="1">
      <c r="W486" s="3"/>
      <c r="X486" s="3"/>
      <c r="Y486" s="3"/>
      <c r="Z486" s="3"/>
      <c r="AA486" s="3"/>
      <c r="AB486" s="3"/>
      <c r="AC486" s="3"/>
    </row>
    <row r="487" ht="14.25" customHeight="1">
      <c r="W487" s="3"/>
      <c r="X487" s="3"/>
      <c r="Y487" s="3"/>
      <c r="Z487" s="3"/>
      <c r="AA487" s="3"/>
      <c r="AB487" s="3"/>
      <c r="AC487" s="3"/>
    </row>
    <row r="488" ht="14.25" customHeight="1">
      <c r="W488" s="3"/>
      <c r="X488" s="3"/>
      <c r="Y488" s="3"/>
      <c r="Z488" s="3"/>
      <c r="AA488" s="3"/>
      <c r="AB488" s="3"/>
      <c r="AC488" s="3"/>
    </row>
    <row r="489" ht="14.25" customHeight="1">
      <c r="W489" s="3"/>
      <c r="X489" s="3"/>
      <c r="Y489" s="3"/>
      <c r="Z489" s="3"/>
      <c r="AA489" s="3"/>
      <c r="AB489" s="3"/>
      <c r="AC489" s="3"/>
    </row>
    <row r="490" ht="14.25" customHeight="1">
      <c r="W490" s="3"/>
      <c r="X490" s="3"/>
      <c r="Y490" s="3"/>
      <c r="Z490" s="3"/>
      <c r="AA490" s="3"/>
      <c r="AB490" s="3"/>
      <c r="AC490" s="3"/>
    </row>
    <row r="491" ht="14.25" customHeight="1">
      <c r="W491" s="3"/>
      <c r="X491" s="3"/>
      <c r="Y491" s="3"/>
      <c r="Z491" s="3"/>
      <c r="AA491" s="3"/>
      <c r="AB491" s="3"/>
      <c r="AC491" s="3"/>
    </row>
    <row r="492" ht="14.25" customHeight="1">
      <c r="W492" s="3"/>
      <c r="X492" s="3"/>
      <c r="Y492" s="3"/>
      <c r="Z492" s="3"/>
      <c r="AA492" s="3"/>
      <c r="AB492" s="3"/>
      <c r="AC492" s="3"/>
    </row>
    <row r="493" ht="14.25" customHeight="1">
      <c r="W493" s="3"/>
      <c r="X493" s="3"/>
      <c r="Y493" s="3"/>
      <c r="Z493" s="3"/>
      <c r="AA493" s="3"/>
      <c r="AB493" s="3"/>
      <c r="AC493" s="3"/>
    </row>
    <row r="494" ht="14.25" customHeight="1">
      <c r="W494" s="3"/>
      <c r="X494" s="3"/>
      <c r="Y494" s="3"/>
      <c r="Z494" s="3"/>
      <c r="AA494" s="3"/>
      <c r="AB494" s="3"/>
      <c r="AC494" s="3"/>
    </row>
    <row r="495" ht="14.25" customHeight="1">
      <c r="W495" s="3"/>
      <c r="X495" s="3"/>
      <c r="Y495" s="3"/>
      <c r="Z495" s="3"/>
      <c r="AA495" s="3"/>
      <c r="AB495" s="3"/>
      <c r="AC495" s="3"/>
    </row>
    <row r="496" ht="14.25" customHeight="1">
      <c r="W496" s="3"/>
      <c r="X496" s="3"/>
      <c r="Y496" s="3"/>
      <c r="Z496" s="3"/>
      <c r="AA496" s="3"/>
      <c r="AB496" s="3"/>
      <c r="AC496" s="3"/>
    </row>
    <row r="497" ht="14.25" customHeight="1">
      <c r="W497" s="3"/>
      <c r="X497" s="3"/>
      <c r="Y497" s="3"/>
      <c r="Z497" s="3"/>
      <c r="AA497" s="3"/>
      <c r="AB497" s="3"/>
      <c r="AC497" s="3"/>
    </row>
    <row r="498" ht="14.25" customHeight="1">
      <c r="W498" s="3"/>
      <c r="X498" s="3"/>
      <c r="Y498" s="3"/>
      <c r="Z498" s="3"/>
      <c r="AA498" s="3"/>
      <c r="AB498" s="3"/>
      <c r="AC498" s="3"/>
    </row>
    <row r="499" ht="14.25" customHeight="1">
      <c r="W499" s="3"/>
      <c r="X499" s="3"/>
      <c r="Y499" s="3"/>
      <c r="Z499" s="3"/>
      <c r="AA499" s="3"/>
      <c r="AB499" s="3"/>
      <c r="AC499" s="3"/>
    </row>
    <row r="500" ht="14.25" customHeight="1">
      <c r="W500" s="3"/>
      <c r="X500" s="3"/>
      <c r="Y500" s="3"/>
      <c r="Z500" s="3"/>
      <c r="AA500" s="3"/>
      <c r="AB500" s="3"/>
      <c r="AC500" s="3"/>
    </row>
    <row r="501" ht="14.25" customHeight="1">
      <c r="W501" s="3"/>
      <c r="X501" s="3"/>
      <c r="Y501" s="3"/>
      <c r="Z501" s="3"/>
      <c r="AA501" s="3"/>
      <c r="AB501" s="3"/>
      <c r="AC501" s="3"/>
    </row>
    <row r="502" ht="14.25" customHeight="1">
      <c r="W502" s="3"/>
      <c r="X502" s="3"/>
      <c r="Y502" s="3"/>
      <c r="Z502" s="3"/>
      <c r="AA502" s="3"/>
      <c r="AB502" s="3"/>
      <c r="AC502" s="3"/>
    </row>
    <row r="503" ht="14.25" customHeight="1">
      <c r="W503" s="3"/>
      <c r="X503" s="3"/>
      <c r="Y503" s="3"/>
      <c r="Z503" s="3"/>
      <c r="AA503" s="3"/>
      <c r="AB503" s="3"/>
      <c r="AC503" s="3"/>
    </row>
    <row r="504" ht="14.25" customHeight="1">
      <c r="W504" s="3"/>
      <c r="X504" s="3"/>
      <c r="Y504" s="3"/>
      <c r="Z504" s="3"/>
      <c r="AA504" s="3"/>
      <c r="AB504" s="3"/>
      <c r="AC504" s="3"/>
    </row>
    <row r="505" ht="14.25" customHeight="1">
      <c r="W505" s="3"/>
      <c r="X505" s="3"/>
      <c r="Y505" s="3"/>
      <c r="Z505" s="3"/>
      <c r="AA505" s="3"/>
      <c r="AB505" s="3"/>
      <c r="AC505" s="3"/>
    </row>
    <row r="506" ht="14.25" customHeight="1">
      <c r="W506" s="3"/>
      <c r="X506" s="3"/>
      <c r="Y506" s="3"/>
      <c r="Z506" s="3"/>
      <c r="AA506" s="3"/>
      <c r="AB506" s="3"/>
      <c r="AC506" s="3"/>
    </row>
    <row r="507" ht="14.25" customHeight="1">
      <c r="W507" s="3"/>
      <c r="X507" s="3"/>
      <c r="Y507" s="3"/>
      <c r="Z507" s="3"/>
      <c r="AA507" s="3"/>
      <c r="AB507" s="3"/>
      <c r="AC507" s="3"/>
    </row>
    <row r="508" ht="14.25" customHeight="1">
      <c r="W508" s="3"/>
      <c r="X508" s="3"/>
      <c r="Y508" s="3"/>
      <c r="Z508" s="3"/>
      <c r="AA508" s="3"/>
      <c r="AB508" s="3"/>
      <c r="AC508" s="3"/>
    </row>
    <row r="509" ht="14.25" customHeight="1">
      <c r="W509" s="3"/>
      <c r="X509" s="3"/>
      <c r="Y509" s="3"/>
      <c r="Z509" s="3"/>
      <c r="AA509" s="3"/>
      <c r="AB509" s="3"/>
      <c r="AC509" s="3"/>
    </row>
    <row r="510" ht="14.25" customHeight="1">
      <c r="W510" s="3"/>
      <c r="X510" s="3"/>
      <c r="Y510" s="3"/>
      <c r="Z510" s="3"/>
      <c r="AA510" s="3"/>
      <c r="AB510" s="3"/>
      <c r="AC510" s="3"/>
    </row>
    <row r="511" ht="14.25" customHeight="1">
      <c r="W511" s="3"/>
      <c r="X511" s="3"/>
      <c r="Y511" s="3"/>
      <c r="Z511" s="3"/>
      <c r="AA511" s="3"/>
      <c r="AB511" s="3"/>
      <c r="AC511" s="3"/>
    </row>
    <row r="512" ht="14.25" customHeight="1">
      <c r="W512" s="3"/>
      <c r="X512" s="3"/>
      <c r="Y512" s="3"/>
      <c r="Z512" s="3"/>
      <c r="AA512" s="3"/>
      <c r="AB512" s="3"/>
      <c r="AC512" s="3"/>
    </row>
    <row r="513" ht="14.25" customHeight="1">
      <c r="W513" s="3"/>
      <c r="X513" s="3"/>
      <c r="Y513" s="3"/>
      <c r="Z513" s="3"/>
      <c r="AA513" s="3"/>
      <c r="AB513" s="3"/>
      <c r="AC513" s="3"/>
    </row>
    <row r="514" ht="14.25" customHeight="1">
      <c r="W514" s="3"/>
      <c r="X514" s="3"/>
      <c r="Y514" s="3"/>
      <c r="Z514" s="3"/>
      <c r="AA514" s="3"/>
      <c r="AB514" s="3"/>
      <c r="AC514" s="3"/>
    </row>
    <row r="515" ht="14.25" customHeight="1">
      <c r="W515" s="3"/>
      <c r="X515" s="3"/>
      <c r="Y515" s="3"/>
      <c r="Z515" s="3"/>
      <c r="AA515" s="3"/>
      <c r="AB515" s="3"/>
      <c r="AC515" s="3"/>
    </row>
    <row r="516" ht="14.25" customHeight="1">
      <c r="W516" s="3"/>
      <c r="X516" s="3"/>
      <c r="Y516" s="3"/>
      <c r="Z516" s="3"/>
      <c r="AA516" s="3"/>
      <c r="AB516" s="3"/>
      <c r="AC516" s="3"/>
    </row>
    <row r="517" ht="14.25" customHeight="1">
      <c r="W517" s="3"/>
      <c r="X517" s="3"/>
      <c r="Y517" s="3"/>
      <c r="Z517" s="3"/>
      <c r="AA517" s="3"/>
      <c r="AB517" s="3"/>
      <c r="AC517" s="3"/>
    </row>
    <row r="518" ht="14.25" customHeight="1">
      <c r="W518" s="3"/>
      <c r="X518" s="3"/>
      <c r="Y518" s="3"/>
      <c r="Z518" s="3"/>
      <c r="AA518" s="3"/>
      <c r="AB518" s="3"/>
      <c r="AC518" s="3"/>
    </row>
    <row r="519" ht="14.25" customHeight="1">
      <c r="W519" s="3"/>
      <c r="X519" s="3"/>
      <c r="Y519" s="3"/>
      <c r="Z519" s="3"/>
      <c r="AA519" s="3"/>
      <c r="AB519" s="3"/>
      <c r="AC519" s="3"/>
    </row>
    <row r="520" ht="14.25" customHeight="1">
      <c r="W520" s="3"/>
      <c r="X520" s="3"/>
      <c r="Y520" s="3"/>
      <c r="Z520" s="3"/>
      <c r="AA520" s="3"/>
      <c r="AB520" s="3"/>
      <c r="AC520" s="3"/>
    </row>
    <row r="521" ht="14.25" customHeight="1">
      <c r="W521" s="3"/>
      <c r="X521" s="3"/>
      <c r="Y521" s="3"/>
      <c r="Z521" s="3"/>
      <c r="AA521" s="3"/>
      <c r="AB521" s="3"/>
      <c r="AC521" s="3"/>
    </row>
    <row r="522" ht="14.25" customHeight="1">
      <c r="W522" s="3"/>
      <c r="X522" s="3"/>
      <c r="Y522" s="3"/>
      <c r="Z522" s="3"/>
      <c r="AA522" s="3"/>
      <c r="AB522" s="3"/>
      <c r="AC522" s="3"/>
    </row>
    <row r="523" ht="14.25" customHeight="1">
      <c r="W523" s="3"/>
      <c r="X523" s="3"/>
      <c r="Y523" s="3"/>
      <c r="Z523" s="3"/>
      <c r="AA523" s="3"/>
      <c r="AB523" s="3"/>
      <c r="AC523" s="3"/>
    </row>
    <row r="524" ht="14.25" customHeight="1">
      <c r="W524" s="3"/>
      <c r="X524" s="3"/>
      <c r="Y524" s="3"/>
      <c r="Z524" s="3"/>
      <c r="AA524" s="3"/>
      <c r="AB524" s="3"/>
      <c r="AC524" s="3"/>
    </row>
    <row r="525" ht="14.25" customHeight="1">
      <c r="W525" s="3"/>
      <c r="X525" s="3"/>
      <c r="Y525" s="3"/>
      <c r="Z525" s="3"/>
      <c r="AA525" s="3"/>
      <c r="AB525" s="3"/>
      <c r="AC525" s="3"/>
    </row>
    <row r="526" ht="14.25" customHeight="1">
      <c r="W526" s="3"/>
      <c r="X526" s="3"/>
      <c r="Y526" s="3"/>
      <c r="Z526" s="3"/>
      <c r="AA526" s="3"/>
      <c r="AB526" s="3"/>
      <c r="AC526" s="3"/>
    </row>
    <row r="527" ht="14.25" customHeight="1">
      <c r="W527" s="3"/>
      <c r="X527" s="3"/>
      <c r="Y527" s="3"/>
      <c r="Z527" s="3"/>
      <c r="AA527" s="3"/>
      <c r="AB527" s="3"/>
      <c r="AC527" s="3"/>
    </row>
    <row r="528" ht="14.25" customHeight="1">
      <c r="W528" s="3"/>
      <c r="X528" s="3"/>
      <c r="Y528" s="3"/>
      <c r="Z528" s="3"/>
      <c r="AA528" s="3"/>
      <c r="AB528" s="3"/>
      <c r="AC528" s="3"/>
    </row>
    <row r="529" ht="14.25" customHeight="1">
      <c r="W529" s="3"/>
      <c r="X529" s="3"/>
      <c r="Y529" s="3"/>
      <c r="Z529" s="3"/>
      <c r="AA529" s="3"/>
      <c r="AB529" s="3"/>
      <c r="AC529" s="3"/>
    </row>
    <row r="530" ht="14.25" customHeight="1">
      <c r="W530" s="3"/>
      <c r="X530" s="3"/>
      <c r="Y530" s="3"/>
      <c r="Z530" s="3"/>
      <c r="AA530" s="3"/>
      <c r="AB530" s="3"/>
      <c r="AC530" s="3"/>
    </row>
    <row r="531" ht="14.25" customHeight="1">
      <c r="W531" s="3"/>
      <c r="X531" s="3"/>
      <c r="Y531" s="3"/>
      <c r="Z531" s="3"/>
      <c r="AA531" s="3"/>
      <c r="AB531" s="3"/>
      <c r="AC531" s="3"/>
    </row>
    <row r="532" ht="14.25" customHeight="1">
      <c r="W532" s="3"/>
      <c r="X532" s="3"/>
      <c r="Y532" s="3"/>
      <c r="Z532" s="3"/>
      <c r="AA532" s="3"/>
      <c r="AB532" s="3"/>
      <c r="AC532" s="3"/>
    </row>
    <row r="533" ht="14.25" customHeight="1">
      <c r="W533" s="3"/>
      <c r="X533" s="3"/>
      <c r="Y533" s="3"/>
      <c r="Z533" s="3"/>
      <c r="AA533" s="3"/>
      <c r="AB533" s="3"/>
      <c r="AC533" s="3"/>
    </row>
    <row r="534" ht="14.25" customHeight="1">
      <c r="W534" s="3"/>
      <c r="X534" s="3"/>
      <c r="Y534" s="3"/>
      <c r="Z534" s="3"/>
      <c r="AA534" s="3"/>
      <c r="AB534" s="3"/>
      <c r="AC534" s="3"/>
    </row>
    <row r="535" ht="14.25" customHeight="1">
      <c r="W535" s="3"/>
      <c r="X535" s="3"/>
      <c r="Y535" s="3"/>
      <c r="Z535" s="3"/>
      <c r="AA535" s="3"/>
      <c r="AB535" s="3"/>
      <c r="AC535" s="3"/>
    </row>
    <row r="536" ht="14.25" customHeight="1">
      <c r="W536" s="3"/>
      <c r="X536" s="3"/>
      <c r="Y536" s="3"/>
      <c r="Z536" s="3"/>
      <c r="AA536" s="3"/>
      <c r="AB536" s="3"/>
      <c r="AC536" s="3"/>
    </row>
    <row r="537" ht="14.25" customHeight="1">
      <c r="W537" s="3"/>
      <c r="X537" s="3"/>
      <c r="Y537" s="3"/>
      <c r="Z537" s="3"/>
      <c r="AA537" s="3"/>
      <c r="AB537" s="3"/>
      <c r="AC537" s="3"/>
    </row>
    <row r="538" ht="14.25" customHeight="1">
      <c r="W538" s="3"/>
      <c r="X538" s="3"/>
      <c r="Y538" s="3"/>
      <c r="Z538" s="3"/>
      <c r="AA538" s="3"/>
      <c r="AB538" s="3"/>
      <c r="AC538" s="3"/>
    </row>
    <row r="539" ht="14.25" customHeight="1">
      <c r="W539" s="3"/>
      <c r="X539" s="3"/>
      <c r="Y539" s="3"/>
      <c r="Z539" s="3"/>
      <c r="AA539" s="3"/>
      <c r="AB539" s="3"/>
      <c r="AC539" s="3"/>
    </row>
    <row r="540" ht="14.25" customHeight="1">
      <c r="W540" s="3"/>
      <c r="X540" s="3"/>
      <c r="Y540" s="3"/>
      <c r="Z540" s="3"/>
      <c r="AA540" s="3"/>
      <c r="AB540" s="3"/>
      <c r="AC540" s="3"/>
    </row>
    <row r="541" ht="14.25" customHeight="1">
      <c r="W541" s="3"/>
      <c r="X541" s="3"/>
      <c r="Y541" s="3"/>
      <c r="Z541" s="3"/>
      <c r="AA541" s="3"/>
      <c r="AB541" s="3"/>
      <c r="AC541" s="3"/>
    </row>
    <row r="542" ht="14.25" customHeight="1">
      <c r="W542" s="3"/>
      <c r="X542" s="3"/>
      <c r="Y542" s="3"/>
      <c r="Z542" s="3"/>
      <c r="AA542" s="3"/>
      <c r="AB542" s="3"/>
      <c r="AC542" s="3"/>
    </row>
    <row r="543" ht="14.25" customHeight="1">
      <c r="W543" s="3"/>
      <c r="X543" s="3"/>
      <c r="Y543" s="3"/>
      <c r="Z543" s="3"/>
      <c r="AA543" s="3"/>
      <c r="AB543" s="3"/>
      <c r="AC543" s="3"/>
    </row>
    <row r="544" ht="14.25" customHeight="1">
      <c r="W544" s="3"/>
      <c r="X544" s="3"/>
      <c r="Y544" s="3"/>
      <c r="Z544" s="3"/>
      <c r="AA544" s="3"/>
      <c r="AB544" s="3"/>
      <c r="AC544" s="3"/>
    </row>
    <row r="545" ht="14.25" customHeight="1">
      <c r="W545" s="3"/>
      <c r="X545" s="3"/>
      <c r="Y545" s="3"/>
      <c r="Z545" s="3"/>
      <c r="AA545" s="3"/>
      <c r="AB545" s="3"/>
      <c r="AC545" s="3"/>
    </row>
    <row r="546" ht="14.25" customHeight="1">
      <c r="W546" s="3"/>
      <c r="X546" s="3"/>
      <c r="Y546" s="3"/>
      <c r="Z546" s="3"/>
      <c r="AA546" s="3"/>
      <c r="AB546" s="3"/>
      <c r="AC546" s="3"/>
    </row>
    <row r="547" ht="14.25" customHeight="1">
      <c r="W547" s="3"/>
      <c r="X547" s="3"/>
      <c r="Y547" s="3"/>
      <c r="Z547" s="3"/>
      <c r="AA547" s="3"/>
      <c r="AB547" s="3"/>
      <c r="AC547" s="3"/>
    </row>
    <row r="548" ht="14.25" customHeight="1">
      <c r="W548" s="3"/>
      <c r="X548" s="3"/>
      <c r="Y548" s="3"/>
      <c r="Z548" s="3"/>
      <c r="AA548" s="3"/>
      <c r="AB548" s="3"/>
      <c r="AC548" s="3"/>
    </row>
    <row r="549" ht="14.25" customHeight="1">
      <c r="W549" s="3"/>
      <c r="X549" s="3"/>
      <c r="Y549" s="3"/>
      <c r="Z549" s="3"/>
      <c r="AA549" s="3"/>
      <c r="AB549" s="3"/>
      <c r="AC549" s="3"/>
    </row>
    <row r="550" ht="14.25" customHeight="1">
      <c r="W550" s="3"/>
      <c r="X550" s="3"/>
      <c r="Y550" s="3"/>
      <c r="Z550" s="3"/>
      <c r="AA550" s="3"/>
      <c r="AB550" s="3"/>
      <c r="AC550" s="3"/>
    </row>
    <row r="551" ht="14.25" customHeight="1">
      <c r="W551" s="3"/>
      <c r="X551" s="3"/>
      <c r="Y551" s="3"/>
      <c r="Z551" s="3"/>
      <c r="AA551" s="3"/>
      <c r="AB551" s="3"/>
      <c r="AC551" s="3"/>
    </row>
    <row r="552" ht="14.25" customHeight="1">
      <c r="W552" s="3"/>
      <c r="X552" s="3"/>
      <c r="Y552" s="3"/>
      <c r="Z552" s="3"/>
      <c r="AA552" s="3"/>
      <c r="AB552" s="3"/>
      <c r="AC552" s="3"/>
    </row>
    <row r="553" ht="14.25" customHeight="1">
      <c r="W553" s="3"/>
      <c r="X553" s="3"/>
      <c r="Y553" s="3"/>
      <c r="Z553" s="3"/>
      <c r="AA553" s="3"/>
      <c r="AB553" s="3"/>
      <c r="AC553" s="3"/>
    </row>
    <row r="554" ht="14.25" customHeight="1">
      <c r="W554" s="3"/>
      <c r="X554" s="3"/>
      <c r="Y554" s="3"/>
      <c r="Z554" s="3"/>
      <c r="AA554" s="3"/>
      <c r="AB554" s="3"/>
      <c r="AC554" s="3"/>
    </row>
    <row r="555" ht="14.25" customHeight="1">
      <c r="W555" s="3"/>
      <c r="X555" s="3"/>
      <c r="Y555" s="3"/>
      <c r="Z555" s="3"/>
      <c r="AA555" s="3"/>
      <c r="AB555" s="3"/>
      <c r="AC555" s="3"/>
    </row>
    <row r="556" ht="14.25" customHeight="1">
      <c r="W556" s="3"/>
      <c r="X556" s="3"/>
      <c r="Y556" s="3"/>
      <c r="Z556" s="3"/>
      <c r="AA556" s="3"/>
      <c r="AB556" s="3"/>
      <c r="AC556" s="3"/>
    </row>
    <row r="557" ht="14.25" customHeight="1">
      <c r="W557" s="3"/>
      <c r="X557" s="3"/>
      <c r="Y557" s="3"/>
      <c r="Z557" s="3"/>
      <c r="AA557" s="3"/>
      <c r="AB557" s="3"/>
      <c r="AC557" s="3"/>
    </row>
    <row r="558" ht="14.25" customHeight="1">
      <c r="W558" s="3"/>
      <c r="X558" s="3"/>
      <c r="Y558" s="3"/>
      <c r="Z558" s="3"/>
      <c r="AA558" s="3"/>
      <c r="AB558" s="3"/>
      <c r="AC558" s="3"/>
    </row>
    <row r="559" ht="14.25" customHeight="1">
      <c r="W559" s="3"/>
      <c r="X559" s="3"/>
      <c r="Y559" s="3"/>
      <c r="Z559" s="3"/>
      <c r="AA559" s="3"/>
      <c r="AB559" s="3"/>
      <c r="AC559" s="3"/>
    </row>
    <row r="560" ht="14.25" customHeight="1">
      <c r="W560" s="3"/>
      <c r="X560" s="3"/>
      <c r="Y560" s="3"/>
      <c r="Z560" s="3"/>
      <c r="AA560" s="3"/>
      <c r="AB560" s="3"/>
      <c r="AC560" s="3"/>
    </row>
    <row r="561" ht="14.25" customHeight="1">
      <c r="W561" s="3"/>
      <c r="X561" s="3"/>
      <c r="Y561" s="3"/>
      <c r="Z561" s="3"/>
      <c r="AA561" s="3"/>
      <c r="AB561" s="3"/>
      <c r="AC561" s="3"/>
    </row>
    <row r="562" ht="14.25" customHeight="1">
      <c r="W562" s="3"/>
      <c r="X562" s="3"/>
      <c r="Y562" s="3"/>
      <c r="Z562" s="3"/>
      <c r="AA562" s="3"/>
      <c r="AB562" s="3"/>
      <c r="AC562" s="3"/>
    </row>
    <row r="563" ht="14.25" customHeight="1">
      <c r="W563" s="3"/>
      <c r="X563" s="3"/>
      <c r="Y563" s="3"/>
      <c r="Z563" s="3"/>
      <c r="AA563" s="3"/>
      <c r="AB563" s="3"/>
      <c r="AC563" s="3"/>
    </row>
    <row r="564" ht="14.25" customHeight="1">
      <c r="W564" s="3"/>
      <c r="X564" s="3"/>
      <c r="Y564" s="3"/>
      <c r="Z564" s="3"/>
      <c r="AA564" s="3"/>
      <c r="AB564" s="3"/>
      <c r="AC564" s="3"/>
    </row>
    <row r="565" ht="14.25" customHeight="1">
      <c r="W565" s="3"/>
      <c r="X565" s="3"/>
      <c r="Y565" s="3"/>
      <c r="Z565" s="3"/>
      <c r="AA565" s="3"/>
      <c r="AB565" s="3"/>
      <c r="AC565" s="3"/>
    </row>
    <row r="566" ht="14.25" customHeight="1">
      <c r="W566" s="3"/>
      <c r="X566" s="3"/>
      <c r="Y566" s="3"/>
      <c r="Z566" s="3"/>
      <c r="AA566" s="3"/>
      <c r="AB566" s="3"/>
      <c r="AC566" s="3"/>
    </row>
    <row r="567" ht="14.25" customHeight="1">
      <c r="W567" s="3"/>
      <c r="X567" s="3"/>
      <c r="Y567" s="3"/>
      <c r="Z567" s="3"/>
      <c r="AA567" s="3"/>
      <c r="AB567" s="3"/>
      <c r="AC567" s="3"/>
    </row>
    <row r="568" ht="14.25" customHeight="1">
      <c r="W568" s="3"/>
      <c r="X568" s="3"/>
      <c r="Y568" s="3"/>
      <c r="Z568" s="3"/>
      <c r="AA568" s="3"/>
      <c r="AB568" s="3"/>
      <c r="AC568" s="3"/>
    </row>
    <row r="569" ht="14.25" customHeight="1">
      <c r="W569" s="3"/>
      <c r="X569" s="3"/>
      <c r="Y569" s="3"/>
      <c r="Z569" s="3"/>
      <c r="AA569" s="3"/>
      <c r="AB569" s="3"/>
      <c r="AC569" s="3"/>
    </row>
    <row r="570" ht="14.25" customHeight="1">
      <c r="W570" s="3"/>
      <c r="X570" s="3"/>
      <c r="Y570" s="3"/>
      <c r="Z570" s="3"/>
      <c r="AA570" s="3"/>
      <c r="AB570" s="3"/>
      <c r="AC570" s="3"/>
    </row>
    <row r="571" ht="14.25" customHeight="1">
      <c r="W571" s="3"/>
      <c r="X571" s="3"/>
      <c r="Y571" s="3"/>
      <c r="Z571" s="3"/>
      <c r="AA571" s="3"/>
      <c r="AB571" s="3"/>
      <c r="AC571" s="3"/>
    </row>
    <row r="572" ht="14.25" customHeight="1">
      <c r="W572" s="3"/>
      <c r="X572" s="3"/>
      <c r="Y572" s="3"/>
      <c r="Z572" s="3"/>
      <c r="AA572" s="3"/>
      <c r="AB572" s="3"/>
      <c r="AC572" s="3"/>
    </row>
    <row r="573" ht="14.25" customHeight="1">
      <c r="W573" s="3"/>
      <c r="X573" s="3"/>
      <c r="Y573" s="3"/>
      <c r="Z573" s="3"/>
      <c r="AA573" s="3"/>
      <c r="AB573" s="3"/>
      <c r="AC573" s="3"/>
    </row>
    <row r="574" ht="14.25" customHeight="1">
      <c r="W574" s="3"/>
      <c r="X574" s="3"/>
      <c r="Y574" s="3"/>
      <c r="Z574" s="3"/>
      <c r="AA574" s="3"/>
      <c r="AB574" s="3"/>
      <c r="AC574" s="3"/>
    </row>
    <row r="575" ht="14.25" customHeight="1">
      <c r="W575" s="3"/>
      <c r="X575" s="3"/>
      <c r="Y575" s="3"/>
      <c r="Z575" s="3"/>
      <c r="AA575" s="3"/>
      <c r="AB575" s="3"/>
      <c r="AC575" s="3"/>
    </row>
    <row r="576" ht="14.25" customHeight="1">
      <c r="W576" s="3"/>
      <c r="X576" s="3"/>
      <c r="Y576" s="3"/>
      <c r="Z576" s="3"/>
      <c r="AA576" s="3"/>
      <c r="AB576" s="3"/>
      <c r="AC576" s="3"/>
    </row>
    <row r="577" ht="14.25" customHeight="1">
      <c r="W577" s="3"/>
      <c r="X577" s="3"/>
      <c r="Y577" s="3"/>
      <c r="Z577" s="3"/>
      <c r="AA577" s="3"/>
      <c r="AB577" s="3"/>
      <c r="AC577" s="3"/>
    </row>
    <row r="578" ht="14.25" customHeight="1">
      <c r="W578" s="3"/>
      <c r="X578" s="3"/>
      <c r="Y578" s="3"/>
      <c r="Z578" s="3"/>
      <c r="AA578" s="3"/>
      <c r="AB578" s="3"/>
      <c r="AC578" s="3"/>
    </row>
    <row r="579" ht="14.25" customHeight="1">
      <c r="W579" s="3"/>
      <c r="X579" s="3"/>
      <c r="Y579" s="3"/>
      <c r="Z579" s="3"/>
      <c r="AA579" s="3"/>
      <c r="AB579" s="3"/>
      <c r="AC579" s="3"/>
    </row>
    <row r="580" ht="14.25" customHeight="1">
      <c r="W580" s="3"/>
      <c r="X580" s="3"/>
      <c r="Y580" s="3"/>
      <c r="Z580" s="3"/>
      <c r="AA580" s="3"/>
      <c r="AB580" s="3"/>
      <c r="AC580" s="3"/>
    </row>
    <row r="581" ht="14.25" customHeight="1">
      <c r="W581" s="3"/>
      <c r="X581" s="3"/>
      <c r="Y581" s="3"/>
      <c r="Z581" s="3"/>
      <c r="AA581" s="3"/>
      <c r="AB581" s="3"/>
      <c r="AC581" s="3"/>
    </row>
    <row r="582" ht="14.25" customHeight="1">
      <c r="W582" s="3"/>
      <c r="X582" s="3"/>
      <c r="Y582" s="3"/>
      <c r="Z582" s="3"/>
      <c r="AA582" s="3"/>
      <c r="AB582" s="3"/>
      <c r="AC582" s="3"/>
    </row>
    <row r="583" ht="14.25" customHeight="1">
      <c r="W583" s="3"/>
      <c r="X583" s="3"/>
      <c r="Y583" s="3"/>
      <c r="Z583" s="3"/>
      <c r="AA583" s="3"/>
      <c r="AB583" s="3"/>
      <c r="AC583" s="3"/>
    </row>
    <row r="584" ht="14.25" customHeight="1">
      <c r="W584" s="3"/>
      <c r="X584" s="3"/>
      <c r="Y584" s="3"/>
      <c r="Z584" s="3"/>
      <c r="AA584" s="3"/>
      <c r="AB584" s="3"/>
      <c r="AC584" s="3"/>
    </row>
    <row r="585" ht="14.25" customHeight="1">
      <c r="W585" s="3"/>
      <c r="X585" s="3"/>
      <c r="Y585" s="3"/>
      <c r="Z585" s="3"/>
      <c r="AA585" s="3"/>
      <c r="AB585" s="3"/>
      <c r="AC585" s="3"/>
    </row>
    <row r="586" ht="14.25" customHeight="1">
      <c r="W586" s="3"/>
      <c r="X586" s="3"/>
      <c r="Y586" s="3"/>
      <c r="Z586" s="3"/>
      <c r="AA586" s="3"/>
      <c r="AB586" s="3"/>
      <c r="AC586" s="3"/>
    </row>
    <row r="587" ht="14.25" customHeight="1">
      <c r="W587" s="3"/>
      <c r="X587" s="3"/>
      <c r="Y587" s="3"/>
      <c r="Z587" s="3"/>
      <c r="AA587" s="3"/>
      <c r="AB587" s="3"/>
      <c r="AC587" s="3"/>
    </row>
    <row r="588" ht="14.25" customHeight="1">
      <c r="W588" s="3"/>
      <c r="X588" s="3"/>
      <c r="Y588" s="3"/>
      <c r="Z588" s="3"/>
      <c r="AA588" s="3"/>
      <c r="AB588" s="3"/>
      <c r="AC588" s="3"/>
    </row>
    <row r="589" ht="14.25" customHeight="1">
      <c r="W589" s="3"/>
      <c r="X589" s="3"/>
      <c r="Y589" s="3"/>
      <c r="Z589" s="3"/>
      <c r="AA589" s="3"/>
      <c r="AB589" s="3"/>
      <c r="AC589" s="3"/>
    </row>
    <row r="590" ht="14.25" customHeight="1">
      <c r="W590" s="3"/>
      <c r="X590" s="3"/>
      <c r="Y590" s="3"/>
      <c r="Z590" s="3"/>
      <c r="AA590" s="3"/>
      <c r="AB590" s="3"/>
      <c r="AC590" s="3"/>
    </row>
    <row r="591" ht="14.25" customHeight="1">
      <c r="W591" s="3"/>
      <c r="X591" s="3"/>
      <c r="Y591" s="3"/>
      <c r="Z591" s="3"/>
      <c r="AA591" s="3"/>
      <c r="AB591" s="3"/>
      <c r="AC591" s="3"/>
    </row>
    <row r="592" ht="14.25" customHeight="1">
      <c r="W592" s="3"/>
      <c r="X592" s="3"/>
      <c r="Y592" s="3"/>
      <c r="Z592" s="3"/>
      <c r="AA592" s="3"/>
      <c r="AB592" s="3"/>
      <c r="AC592" s="3"/>
    </row>
    <row r="593" ht="14.25" customHeight="1">
      <c r="W593" s="3"/>
      <c r="X593" s="3"/>
      <c r="Y593" s="3"/>
      <c r="Z593" s="3"/>
      <c r="AA593" s="3"/>
      <c r="AB593" s="3"/>
      <c r="AC593" s="3"/>
    </row>
    <row r="594" ht="14.25" customHeight="1">
      <c r="W594" s="3"/>
      <c r="X594" s="3"/>
      <c r="Y594" s="3"/>
      <c r="Z594" s="3"/>
      <c r="AA594" s="3"/>
      <c r="AB594" s="3"/>
      <c r="AC594" s="3"/>
    </row>
    <row r="595" ht="14.25" customHeight="1">
      <c r="W595" s="3"/>
      <c r="X595" s="3"/>
      <c r="Y595" s="3"/>
      <c r="Z595" s="3"/>
      <c r="AA595" s="3"/>
      <c r="AB595" s="3"/>
      <c r="AC595" s="3"/>
    </row>
    <row r="596" ht="14.25" customHeight="1">
      <c r="W596" s="3"/>
      <c r="X596" s="3"/>
      <c r="Y596" s="3"/>
      <c r="Z596" s="3"/>
      <c r="AA596" s="3"/>
      <c r="AB596" s="3"/>
      <c r="AC596" s="3"/>
    </row>
    <row r="597" ht="14.25" customHeight="1">
      <c r="W597" s="3"/>
      <c r="X597" s="3"/>
      <c r="Y597" s="3"/>
      <c r="Z597" s="3"/>
      <c r="AA597" s="3"/>
      <c r="AB597" s="3"/>
      <c r="AC597" s="3"/>
    </row>
    <row r="598" ht="14.25" customHeight="1">
      <c r="W598" s="3"/>
      <c r="X598" s="3"/>
      <c r="Y598" s="3"/>
      <c r="Z598" s="3"/>
      <c r="AA598" s="3"/>
      <c r="AB598" s="3"/>
      <c r="AC598" s="3"/>
    </row>
    <row r="599" ht="14.25" customHeight="1">
      <c r="W599" s="3"/>
      <c r="X599" s="3"/>
      <c r="Y599" s="3"/>
      <c r="Z599" s="3"/>
      <c r="AA599" s="3"/>
      <c r="AB599" s="3"/>
      <c r="AC599" s="3"/>
    </row>
    <row r="600" ht="14.25" customHeight="1">
      <c r="W600" s="3"/>
      <c r="X600" s="3"/>
      <c r="Y600" s="3"/>
      <c r="Z600" s="3"/>
      <c r="AA600" s="3"/>
      <c r="AB600" s="3"/>
      <c r="AC600" s="3"/>
    </row>
    <row r="601" ht="14.25" customHeight="1">
      <c r="W601" s="3"/>
      <c r="X601" s="3"/>
      <c r="Y601" s="3"/>
      <c r="Z601" s="3"/>
      <c r="AA601" s="3"/>
      <c r="AB601" s="3"/>
      <c r="AC601" s="3"/>
    </row>
    <row r="602" ht="14.25" customHeight="1">
      <c r="W602" s="3"/>
      <c r="X602" s="3"/>
      <c r="Y602" s="3"/>
      <c r="Z602" s="3"/>
      <c r="AA602" s="3"/>
      <c r="AB602" s="3"/>
      <c r="AC602" s="3"/>
    </row>
    <row r="603" ht="14.25" customHeight="1">
      <c r="W603" s="3"/>
      <c r="X603" s="3"/>
      <c r="Y603" s="3"/>
      <c r="Z603" s="3"/>
      <c r="AA603" s="3"/>
      <c r="AB603" s="3"/>
      <c r="AC603" s="3"/>
    </row>
    <row r="604" ht="14.25" customHeight="1">
      <c r="W604" s="3"/>
      <c r="X604" s="3"/>
      <c r="Y604" s="3"/>
      <c r="Z604" s="3"/>
      <c r="AA604" s="3"/>
      <c r="AB604" s="3"/>
      <c r="AC604" s="3"/>
    </row>
    <row r="605" ht="14.25" customHeight="1">
      <c r="W605" s="3"/>
      <c r="X605" s="3"/>
      <c r="Y605" s="3"/>
      <c r="Z605" s="3"/>
      <c r="AA605" s="3"/>
      <c r="AB605" s="3"/>
      <c r="AC605" s="3"/>
    </row>
    <row r="606" ht="14.25" customHeight="1">
      <c r="W606" s="3"/>
      <c r="X606" s="3"/>
      <c r="Y606" s="3"/>
      <c r="Z606" s="3"/>
      <c r="AA606" s="3"/>
      <c r="AB606" s="3"/>
      <c r="AC606" s="3"/>
    </row>
    <row r="607" ht="14.25" customHeight="1">
      <c r="W607" s="3"/>
      <c r="X607" s="3"/>
      <c r="Y607" s="3"/>
      <c r="Z607" s="3"/>
      <c r="AA607" s="3"/>
      <c r="AB607" s="3"/>
      <c r="AC607" s="3"/>
    </row>
    <row r="608" ht="14.25" customHeight="1">
      <c r="W608" s="3"/>
      <c r="X608" s="3"/>
      <c r="Y608" s="3"/>
      <c r="Z608" s="3"/>
      <c r="AA608" s="3"/>
      <c r="AB608" s="3"/>
      <c r="AC608" s="3"/>
    </row>
    <row r="609" ht="14.25" customHeight="1">
      <c r="W609" s="3"/>
      <c r="X609" s="3"/>
      <c r="Y609" s="3"/>
      <c r="Z609" s="3"/>
      <c r="AA609" s="3"/>
      <c r="AB609" s="3"/>
      <c r="AC609" s="3"/>
    </row>
    <row r="610" ht="14.25" customHeight="1">
      <c r="W610" s="3"/>
      <c r="X610" s="3"/>
      <c r="Y610" s="3"/>
      <c r="Z610" s="3"/>
      <c r="AA610" s="3"/>
      <c r="AB610" s="3"/>
      <c r="AC610" s="3"/>
    </row>
    <row r="611" ht="14.25" customHeight="1">
      <c r="W611" s="3"/>
      <c r="X611" s="3"/>
      <c r="Y611" s="3"/>
      <c r="Z611" s="3"/>
      <c r="AA611" s="3"/>
      <c r="AB611" s="3"/>
      <c r="AC611" s="3"/>
    </row>
    <row r="612" ht="14.25" customHeight="1">
      <c r="W612" s="3"/>
      <c r="X612" s="3"/>
      <c r="Y612" s="3"/>
      <c r="Z612" s="3"/>
      <c r="AA612" s="3"/>
      <c r="AB612" s="3"/>
      <c r="AC612" s="3"/>
    </row>
    <row r="613" ht="14.25" customHeight="1">
      <c r="W613" s="3"/>
      <c r="X613" s="3"/>
      <c r="Y613" s="3"/>
      <c r="Z613" s="3"/>
      <c r="AA613" s="3"/>
      <c r="AB613" s="3"/>
      <c r="AC613" s="3"/>
    </row>
    <row r="614" ht="14.25" customHeight="1">
      <c r="W614" s="3"/>
      <c r="X614" s="3"/>
      <c r="Y614" s="3"/>
      <c r="Z614" s="3"/>
      <c r="AA614" s="3"/>
      <c r="AB614" s="3"/>
      <c r="AC614" s="3"/>
    </row>
    <row r="615" ht="14.25" customHeight="1">
      <c r="W615" s="3"/>
      <c r="X615" s="3"/>
      <c r="Y615" s="3"/>
      <c r="Z615" s="3"/>
      <c r="AA615" s="3"/>
      <c r="AB615" s="3"/>
      <c r="AC615" s="3"/>
    </row>
    <row r="616" ht="14.25" customHeight="1">
      <c r="W616" s="3"/>
      <c r="X616" s="3"/>
      <c r="Y616" s="3"/>
      <c r="Z616" s="3"/>
      <c r="AA616" s="3"/>
      <c r="AB616" s="3"/>
      <c r="AC616" s="3"/>
    </row>
    <row r="617" ht="14.25" customHeight="1">
      <c r="W617" s="3"/>
      <c r="X617" s="3"/>
      <c r="Y617" s="3"/>
      <c r="Z617" s="3"/>
      <c r="AA617" s="3"/>
      <c r="AB617" s="3"/>
      <c r="AC617" s="3"/>
    </row>
    <row r="618" ht="14.25" customHeight="1">
      <c r="W618" s="3"/>
      <c r="X618" s="3"/>
      <c r="Y618" s="3"/>
      <c r="Z618" s="3"/>
      <c r="AA618" s="3"/>
      <c r="AB618" s="3"/>
      <c r="AC618" s="3"/>
    </row>
    <row r="619" ht="14.25" customHeight="1">
      <c r="W619" s="3"/>
      <c r="X619" s="3"/>
      <c r="Y619" s="3"/>
      <c r="Z619" s="3"/>
      <c r="AA619" s="3"/>
      <c r="AB619" s="3"/>
      <c r="AC619" s="3"/>
    </row>
    <row r="620" ht="14.25" customHeight="1">
      <c r="W620" s="3"/>
      <c r="X620" s="3"/>
      <c r="Y620" s="3"/>
      <c r="Z620" s="3"/>
      <c r="AA620" s="3"/>
      <c r="AB620" s="3"/>
      <c r="AC620" s="3"/>
    </row>
    <row r="621" ht="14.25" customHeight="1">
      <c r="W621" s="3"/>
      <c r="X621" s="3"/>
      <c r="Y621" s="3"/>
      <c r="Z621" s="3"/>
      <c r="AA621" s="3"/>
      <c r="AB621" s="3"/>
      <c r="AC621" s="3"/>
    </row>
    <row r="622" ht="14.25" customHeight="1">
      <c r="W622" s="3"/>
      <c r="X622" s="3"/>
      <c r="Y622" s="3"/>
      <c r="Z622" s="3"/>
      <c r="AA622" s="3"/>
      <c r="AB622" s="3"/>
      <c r="AC622" s="3"/>
    </row>
    <row r="623" ht="14.25" customHeight="1">
      <c r="W623" s="3"/>
      <c r="X623" s="3"/>
      <c r="Y623" s="3"/>
      <c r="Z623" s="3"/>
      <c r="AA623" s="3"/>
      <c r="AB623" s="3"/>
      <c r="AC623" s="3"/>
    </row>
    <row r="624" ht="14.25" customHeight="1">
      <c r="W624" s="3"/>
      <c r="X624" s="3"/>
      <c r="Y624" s="3"/>
      <c r="Z624" s="3"/>
      <c r="AA624" s="3"/>
      <c r="AB624" s="3"/>
      <c r="AC624" s="3"/>
    </row>
    <row r="625" ht="14.25" customHeight="1">
      <c r="W625" s="3"/>
      <c r="X625" s="3"/>
      <c r="Y625" s="3"/>
      <c r="Z625" s="3"/>
      <c r="AA625" s="3"/>
      <c r="AB625" s="3"/>
      <c r="AC625" s="3"/>
    </row>
    <row r="626" ht="14.25" customHeight="1">
      <c r="W626" s="3"/>
      <c r="X626" s="3"/>
      <c r="Y626" s="3"/>
      <c r="Z626" s="3"/>
      <c r="AA626" s="3"/>
      <c r="AB626" s="3"/>
      <c r="AC626" s="3"/>
    </row>
    <row r="627" ht="14.25" customHeight="1">
      <c r="W627" s="3"/>
      <c r="X627" s="3"/>
      <c r="Y627" s="3"/>
      <c r="Z627" s="3"/>
      <c r="AA627" s="3"/>
      <c r="AB627" s="3"/>
      <c r="AC627" s="3"/>
    </row>
    <row r="628" ht="14.25" customHeight="1">
      <c r="W628" s="3"/>
      <c r="X628" s="3"/>
      <c r="Y628" s="3"/>
      <c r="Z628" s="3"/>
      <c r="AA628" s="3"/>
      <c r="AB628" s="3"/>
      <c r="AC628" s="3"/>
    </row>
    <row r="629" ht="14.25" customHeight="1">
      <c r="W629" s="3"/>
      <c r="X629" s="3"/>
      <c r="Y629" s="3"/>
      <c r="Z629" s="3"/>
      <c r="AA629" s="3"/>
      <c r="AB629" s="3"/>
      <c r="AC629" s="3"/>
    </row>
    <row r="630" ht="14.25" customHeight="1">
      <c r="W630" s="3"/>
      <c r="X630" s="3"/>
      <c r="Y630" s="3"/>
      <c r="Z630" s="3"/>
      <c r="AA630" s="3"/>
      <c r="AB630" s="3"/>
      <c r="AC630" s="3"/>
    </row>
    <row r="631" ht="14.25" customHeight="1">
      <c r="W631" s="3"/>
      <c r="X631" s="3"/>
      <c r="Y631" s="3"/>
      <c r="Z631" s="3"/>
      <c r="AA631" s="3"/>
      <c r="AB631" s="3"/>
      <c r="AC631" s="3"/>
    </row>
    <row r="632" ht="14.25" customHeight="1">
      <c r="W632" s="3"/>
      <c r="X632" s="3"/>
      <c r="Y632" s="3"/>
      <c r="Z632" s="3"/>
      <c r="AA632" s="3"/>
      <c r="AB632" s="3"/>
      <c r="AC632" s="3"/>
    </row>
    <row r="633" ht="14.25" customHeight="1">
      <c r="W633" s="3"/>
      <c r="X633" s="3"/>
      <c r="Y633" s="3"/>
      <c r="Z633" s="3"/>
      <c r="AA633" s="3"/>
      <c r="AB633" s="3"/>
      <c r="AC633" s="3"/>
    </row>
    <row r="634" ht="14.25" customHeight="1">
      <c r="W634" s="3"/>
      <c r="X634" s="3"/>
      <c r="Y634" s="3"/>
      <c r="Z634" s="3"/>
      <c r="AA634" s="3"/>
      <c r="AB634" s="3"/>
      <c r="AC634" s="3"/>
    </row>
    <row r="635" ht="14.25" customHeight="1">
      <c r="W635" s="3"/>
      <c r="X635" s="3"/>
      <c r="Y635" s="3"/>
      <c r="Z635" s="3"/>
      <c r="AA635" s="3"/>
      <c r="AB635" s="3"/>
      <c r="AC635" s="3"/>
    </row>
    <row r="636" ht="14.25" customHeight="1">
      <c r="W636" s="3"/>
      <c r="X636" s="3"/>
      <c r="Y636" s="3"/>
      <c r="Z636" s="3"/>
      <c r="AA636" s="3"/>
      <c r="AB636" s="3"/>
      <c r="AC636" s="3"/>
    </row>
    <row r="637" ht="14.25" customHeight="1">
      <c r="W637" s="3"/>
      <c r="X637" s="3"/>
      <c r="Y637" s="3"/>
      <c r="Z637" s="3"/>
      <c r="AA637" s="3"/>
      <c r="AB637" s="3"/>
      <c r="AC637" s="3"/>
    </row>
    <row r="638" ht="14.25" customHeight="1">
      <c r="W638" s="3"/>
      <c r="X638" s="3"/>
      <c r="Y638" s="3"/>
      <c r="Z638" s="3"/>
      <c r="AA638" s="3"/>
      <c r="AB638" s="3"/>
      <c r="AC638" s="3"/>
    </row>
    <row r="639" ht="14.25" customHeight="1">
      <c r="W639" s="3"/>
      <c r="X639" s="3"/>
      <c r="Y639" s="3"/>
      <c r="Z639" s="3"/>
      <c r="AA639" s="3"/>
      <c r="AB639" s="3"/>
      <c r="AC639" s="3"/>
    </row>
    <row r="640" ht="14.25" customHeight="1">
      <c r="W640" s="3"/>
      <c r="X640" s="3"/>
      <c r="Y640" s="3"/>
      <c r="Z640" s="3"/>
      <c r="AA640" s="3"/>
      <c r="AB640" s="3"/>
      <c r="AC640" s="3"/>
    </row>
    <row r="641" ht="14.25" customHeight="1">
      <c r="W641" s="3"/>
      <c r="X641" s="3"/>
      <c r="Y641" s="3"/>
      <c r="Z641" s="3"/>
      <c r="AA641" s="3"/>
      <c r="AB641" s="3"/>
      <c r="AC641" s="3"/>
    </row>
    <row r="642" ht="14.25" customHeight="1">
      <c r="W642" s="3"/>
      <c r="X642" s="3"/>
      <c r="Y642" s="3"/>
      <c r="Z642" s="3"/>
      <c r="AA642" s="3"/>
      <c r="AB642" s="3"/>
      <c r="AC642" s="3"/>
    </row>
    <row r="643" ht="14.25" customHeight="1">
      <c r="W643" s="3"/>
      <c r="X643" s="3"/>
      <c r="Y643" s="3"/>
      <c r="Z643" s="3"/>
      <c r="AA643" s="3"/>
      <c r="AB643" s="3"/>
      <c r="AC643" s="3"/>
    </row>
    <row r="644" ht="14.25" customHeight="1">
      <c r="W644" s="3"/>
      <c r="X644" s="3"/>
      <c r="Y644" s="3"/>
      <c r="Z644" s="3"/>
      <c r="AA644" s="3"/>
      <c r="AB644" s="3"/>
      <c r="AC644" s="3"/>
    </row>
    <row r="645" ht="14.25" customHeight="1">
      <c r="W645" s="3"/>
      <c r="X645" s="3"/>
      <c r="Y645" s="3"/>
      <c r="Z645" s="3"/>
      <c r="AA645" s="3"/>
      <c r="AB645" s="3"/>
      <c r="AC645" s="3"/>
    </row>
    <row r="646" ht="14.25" customHeight="1">
      <c r="W646" s="3"/>
      <c r="X646" s="3"/>
      <c r="Y646" s="3"/>
      <c r="Z646" s="3"/>
      <c r="AA646" s="3"/>
      <c r="AB646" s="3"/>
      <c r="AC646" s="3"/>
    </row>
    <row r="647" ht="14.25" customHeight="1">
      <c r="W647" s="3"/>
      <c r="X647" s="3"/>
      <c r="Y647" s="3"/>
      <c r="Z647" s="3"/>
      <c r="AA647" s="3"/>
      <c r="AB647" s="3"/>
      <c r="AC647" s="3"/>
    </row>
    <row r="648" ht="14.25" customHeight="1">
      <c r="W648" s="3"/>
      <c r="X648" s="3"/>
      <c r="Y648" s="3"/>
      <c r="Z648" s="3"/>
      <c r="AA648" s="3"/>
      <c r="AB648" s="3"/>
      <c r="AC648" s="3"/>
    </row>
    <row r="649" ht="14.25" customHeight="1">
      <c r="W649" s="3"/>
      <c r="X649" s="3"/>
      <c r="Y649" s="3"/>
      <c r="Z649" s="3"/>
      <c r="AA649" s="3"/>
      <c r="AB649" s="3"/>
      <c r="AC649" s="3"/>
    </row>
    <row r="650" ht="14.25" customHeight="1">
      <c r="W650" s="3"/>
      <c r="X650" s="3"/>
      <c r="Y650" s="3"/>
      <c r="Z650" s="3"/>
      <c r="AA650" s="3"/>
      <c r="AB650" s="3"/>
      <c r="AC650" s="3"/>
    </row>
    <row r="651" ht="14.25" customHeight="1">
      <c r="W651" s="3"/>
      <c r="X651" s="3"/>
      <c r="Y651" s="3"/>
      <c r="Z651" s="3"/>
      <c r="AA651" s="3"/>
      <c r="AB651" s="3"/>
      <c r="AC651" s="3"/>
    </row>
    <row r="652" ht="14.25" customHeight="1">
      <c r="W652" s="3"/>
      <c r="X652" s="3"/>
      <c r="Y652" s="3"/>
      <c r="Z652" s="3"/>
      <c r="AA652" s="3"/>
      <c r="AB652" s="3"/>
      <c r="AC652" s="3"/>
    </row>
    <row r="653" ht="14.25" customHeight="1">
      <c r="W653" s="3"/>
      <c r="X653" s="3"/>
      <c r="Y653" s="3"/>
      <c r="Z653" s="3"/>
      <c r="AA653" s="3"/>
      <c r="AB653" s="3"/>
      <c r="AC653" s="3"/>
    </row>
    <row r="654" ht="14.25" customHeight="1">
      <c r="W654" s="3"/>
      <c r="X654" s="3"/>
      <c r="Y654" s="3"/>
      <c r="Z654" s="3"/>
      <c r="AA654" s="3"/>
      <c r="AB654" s="3"/>
      <c r="AC654" s="3"/>
    </row>
    <row r="655" ht="14.25" customHeight="1">
      <c r="W655" s="3"/>
      <c r="X655" s="3"/>
      <c r="Y655" s="3"/>
      <c r="Z655" s="3"/>
      <c r="AA655" s="3"/>
      <c r="AB655" s="3"/>
      <c r="AC655" s="3"/>
    </row>
    <row r="656" ht="14.25" customHeight="1">
      <c r="W656" s="3"/>
      <c r="X656" s="3"/>
      <c r="Y656" s="3"/>
      <c r="Z656" s="3"/>
      <c r="AA656" s="3"/>
      <c r="AB656" s="3"/>
      <c r="AC656" s="3"/>
    </row>
    <row r="657" ht="14.25" customHeight="1">
      <c r="W657" s="3"/>
      <c r="X657" s="3"/>
      <c r="Y657" s="3"/>
      <c r="Z657" s="3"/>
      <c r="AA657" s="3"/>
      <c r="AB657" s="3"/>
      <c r="AC657" s="3"/>
    </row>
    <row r="658" ht="14.25" customHeight="1">
      <c r="W658" s="3"/>
      <c r="X658" s="3"/>
      <c r="Y658" s="3"/>
      <c r="Z658" s="3"/>
      <c r="AA658" s="3"/>
      <c r="AB658" s="3"/>
      <c r="AC658" s="3"/>
    </row>
    <row r="659" ht="14.25" customHeight="1">
      <c r="W659" s="3"/>
      <c r="X659" s="3"/>
      <c r="Y659" s="3"/>
      <c r="Z659" s="3"/>
      <c r="AA659" s="3"/>
      <c r="AB659" s="3"/>
      <c r="AC659" s="3"/>
    </row>
    <row r="660" ht="14.25" customHeight="1">
      <c r="W660" s="3"/>
      <c r="X660" s="3"/>
      <c r="Y660" s="3"/>
      <c r="Z660" s="3"/>
      <c r="AA660" s="3"/>
      <c r="AB660" s="3"/>
      <c r="AC660" s="3"/>
    </row>
    <row r="661" ht="14.25" customHeight="1">
      <c r="W661" s="3"/>
      <c r="X661" s="3"/>
      <c r="Y661" s="3"/>
      <c r="Z661" s="3"/>
      <c r="AA661" s="3"/>
      <c r="AB661" s="3"/>
      <c r="AC661" s="3"/>
    </row>
    <row r="662" ht="14.25" customHeight="1">
      <c r="W662" s="3"/>
      <c r="X662" s="3"/>
      <c r="Y662" s="3"/>
      <c r="Z662" s="3"/>
      <c r="AA662" s="3"/>
      <c r="AB662" s="3"/>
      <c r="AC662" s="3"/>
    </row>
    <row r="663" ht="14.25" customHeight="1">
      <c r="W663" s="3"/>
      <c r="X663" s="3"/>
      <c r="Y663" s="3"/>
      <c r="Z663" s="3"/>
      <c r="AA663" s="3"/>
      <c r="AB663" s="3"/>
      <c r="AC663" s="3"/>
    </row>
    <row r="664" ht="14.25" customHeight="1">
      <c r="W664" s="3"/>
      <c r="X664" s="3"/>
      <c r="Y664" s="3"/>
      <c r="Z664" s="3"/>
      <c r="AA664" s="3"/>
      <c r="AB664" s="3"/>
      <c r="AC664" s="3"/>
    </row>
    <row r="665" ht="14.25" customHeight="1">
      <c r="W665" s="3"/>
      <c r="X665" s="3"/>
      <c r="Y665" s="3"/>
      <c r="Z665" s="3"/>
      <c r="AA665" s="3"/>
      <c r="AB665" s="3"/>
      <c r="AC665" s="3"/>
    </row>
    <row r="666" ht="14.25" customHeight="1">
      <c r="W666" s="3"/>
      <c r="X666" s="3"/>
      <c r="Y666" s="3"/>
      <c r="Z666" s="3"/>
      <c r="AA666" s="3"/>
      <c r="AB666" s="3"/>
      <c r="AC666" s="3"/>
    </row>
    <row r="667" ht="14.25" customHeight="1">
      <c r="W667" s="3"/>
      <c r="X667" s="3"/>
      <c r="Y667" s="3"/>
      <c r="Z667" s="3"/>
      <c r="AA667" s="3"/>
      <c r="AB667" s="3"/>
      <c r="AC667" s="3"/>
    </row>
    <row r="668" ht="14.25" customHeight="1">
      <c r="W668" s="3"/>
      <c r="X668" s="3"/>
      <c r="Y668" s="3"/>
      <c r="Z668" s="3"/>
      <c r="AA668" s="3"/>
      <c r="AB668" s="3"/>
      <c r="AC668" s="3"/>
    </row>
    <row r="669" ht="14.25" customHeight="1">
      <c r="W669" s="3"/>
      <c r="X669" s="3"/>
      <c r="Y669" s="3"/>
      <c r="Z669" s="3"/>
      <c r="AA669" s="3"/>
      <c r="AB669" s="3"/>
      <c r="AC669" s="3"/>
    </row>
    <row r="670" ht="14.25" customHeight="1">
      <c r="W670" s="3"/>
      <c r="X670" s="3"/>
      <c r="Y670" s="3"/>
      <c r="Z670" s="3"/>
      <c r="AA670" s="3"/>
      <c r="AB670" s="3"/>
      <c r="AC670" s="3"/>
    </row>
    <row r="671" ht="14.25" customHeight="1">
      <c r="W671" s="3"/>
      <c r="X671" s="3"/>
      <c r="Y671" s="3"/>
      <c r="Z671" s="3"/>
      <c r="AA671" s="3"/>
      <c r="AB671" s="3"/>
      <c r="AC671" s="3"/>
    </row>
    <row r="672" ht="14.25" customHeight="1">
      <c r="W672" s="3"/>
      <c r="X672" s="3"/>
      <c r="Y672" s="3"/>
      <c r="Z672" s="3"/>
      <c r="AA672" s="3"/>
      <c r="AB672" s="3"/>
      <c r="AC672" s="3"/>
    </row>
    <row r="673" ht="14.25" customHeight="1">
      <c r="W673" s="3"/>
      <c r="X673" s="3"/>
      <c r="Y673" s="3"/>
      <c r="Z673" s="3"/>
      <c r="AA673" s="3"/>
      <c r="AB673" s="3"/>
      <c r="AC673" s="3"/>
    </row>
    <row r="674" ht="14.25" customHeight="1">
      <c r="W674" s="3"/>
      <c r="X674" s="3"/>
      <c r="Y674" s="3"/>
      <c r="Z674" s="3"/>
      <c r="AA674" s="3"/>
      <c r="AB674" s="3"/>
      <c r="AC674" s="3"/>
    </row>
    <row r="675" ht="14.25" customHeight="1">
      <c r="W675" s="3"/>
      <c r="X675" s="3"/>
      <c r="Y675" s="3"/>
      <c r="Z675" s="3"/>
      <c r="AA675" s="3"/>
      <c r="AB675" s="3"/>
      <c r="AC675" s="3"/>
    </row>
    <row r="676" ht="14.25" customHeight="1">
      <c r="W676" s="3"/>
      <c r="X676" s="3"/>
      <c r="Y676" s="3"/>
      <c r="Z676" s="3"/>
      <c r="AA676" s="3"/>
      <c r="AB676" s="3"/>
      <c r="AC676" s="3"/>
    </row>
    <row r="677" ht="14.25" customHeight="1">
      <c r="W677" s="3"/>
      <c r="X677" s="3"/>
      <c r="Y677" s="3"/>
      <c r="Z677" s="3"/>
      <c r="AA677" s="3"/>
      <c r="AB677" s="3"/>
      <c r="AC677" s="3"/>
    </row>
    <row r="678" ht="14.25" customHeight="1">
      <c r="W678" s="3"/>
      <c r="X678" s="3"/>
      <c r="Y678" s="3"/>
      <c r="Z678" s="3"/>
      <c r="AA678" s="3"/>
      <c r="AB678" s="3"/>
      <c r="AC678" s="3"/>
    </row>
    <row r="679" ht="14.25" customHeight="1">
      <c r="W679" s="3"/>
      <c r="X679" s="3"/>
      <c r="Y679" s="3"/>
      <c r="Z679" s="3"/>
      <c r="AA679" s="3"/>
      <c r="AB679" s="3"/>
      <c r="AC679" s="3"/>
    </row>
    <row r="680" ht="14.25" customHeight="1">
      <c r="W680" s="3"/>
      <c r="X680" s="3"/>
      <c r="Y680" s="3"/>
      <c r="Z680" s="3"/>
      <c r="AA680" s="3"/>
      <c r="AB680" s="3"/>
      <c r="AC680" s="3"/>
    </row>
    <row r="681" ht="14.25" customHeight="1">
      <c r="W681" s="3"/>
      <c r="X681" s="3"/>
      <c r="Y681" s="3"/>
      <c r="Z681" s="3"/>
      <c r="AA681" s="3"/>
      <c r="AB681" s="3"/>
      <c r="AC681" s="3"/>
    </row>
    <row r="682" ht="14.25" customHeight="1">
      <c r="W682" s="3"/>
      <c r="X682" s="3"/>
      <c r="Y682" s="3"/>
      <c r="Z682" s="3"/>
      <c r="AA682" s="3"/>
      <c r="AB682" s="3"/>
      <c r="AC682" s="3"/>
    </row>
    <row r="683" ht="14.25" customHeight="1">
      <c r="W683" s="3"/>
      <c r="X683" s="3"/>
      <c r="Y683" s="3"/>
      <c r="Z683" s="3"/>
      <c r="AA683" s="3"/>
      <c r="AB683" s="3"/>
      <c r="AC683" s="3"/>
    </row>
    <row r="684" ht="14.25" customHeight="1">
      <c r="W684" s="3"/>
      <c r="X684" s="3"/>
      <c r="Y684" s="3"/>
      <c r="Z684" s="3"/>
      <c r="AA684" s="3"/>
      <c r="AB684" s="3"/>
      <c r="AC684" s="3"/>
    </row>
    <row r="685" ht="14.25" customHeight="1">
      <c r="W685" s="3"/>
      <c r="X685" s="3"/>
      <c r="Y685" s="3"/>
      <c r="Z685" s="3"/>
      <c r="AA685" s="3"/>
      <c r="AB685" s="3"/>
      <c r="AC685" s="3"/>
    </row>
    <row r="686" ht="14.25" customHeight="1">
      <c r="W686" s="3"/>
      <c r="X686" s="3"/>
      <c r="Y686" s="3"/>
      <c r="Z686" s="3"/>
      <c r="AA686" s="3"/>
      <c r="AB686" s="3"/>
      <c r="AC686" s="3"/>
    </row>
    <row r="687" ht="14.25" customHeight="1">
      <c r="W687" s="3"/>
      <c r="X687" s="3"/>
      <c r="Y687" s="3"/>
      <c r="Z687" s="3"/>
      <c r="AA687" s="3"/>
      <c r="AB687" s="3"/>
      <c r="AC687" s="3"/>
    </row>
    <row r="688" ht="14.25" customHeight="1">
      <c r="W688" s="3"/>
      <c r="X688" s="3"/>
      <c r="Y688" s="3"/>
      <c r="Z688" s="3"/>
      <c r="AA688" s="3"/>
      <c r="AB688" s="3"/>
      <c r="AC688" s="3"/>
    </row>
    <row r="689" ht="14.25" customHeight="1">
      <c r="W689" s="3"/>
      <c r="X689" s="3"/>
      <c r="Y689" s="3"/>
      <c r="Z689" s="3"/>
      <c r="AA689" s="3"/>
      <c r="AB689" s="3"/>
      <c r="AC689" s="3"/>
    </row>
    <row r="690" ht="14.25" customHeight="1">
      <c r="W690" s="3"/>
      <c r="X690" s="3"/>
      <c r="Y690" s="3"/>
      <c r="Z690" s="3"/>
      <c r="AA690" s="3"/>
      <c r="AB690" s="3"/>
      <c r="AC690" s="3"/>
    </row>
    <row r="691" ht="14.25" customHeight="1">
      <c r="W691" s="3"/>
      <c r="X691" s="3"/>
      <c r="Y691" s="3"/>
      <c r="Z691" s="3"/>
      <c r="AA691" s="3"/>
      <c r="AB691" s="3"/>
      <c r="AC691" s="3"/>
    </row>
    <row r="692" ht="14.25" customHeight="1">
      <c r="W692" s="3"/>
      <c r="X692" s="3"/>
      <c r="Y692" s="3"/>
      <c r="Z692" s="3"/>
      <c r="AA692" s="3"/>
      <c r="AB692" s="3"/>
      <c r="AC692" s="3"/>
    </row>
    <row r="693" ht="14.25" customHeight="1">
      <c r="W693" s="3"/>
      <c r="X693" s="3"/>
      <c r="Y693" s="3"/>
      <c r="Z693" s="3"/>
      <c r="AA693" s="3"/>
      <c r="AB693" s="3"/>
      <c r="AC693" s="3"/>
    </row>
    <row r="694" ht="14.25" customHeight="1">
      <c r="W694" s="3"/>
      <c r="X694" s="3"/>
      <c r="Y694" s="3"/>
      <c r="Z694" s="3"/>
      <c r="AA694" s="3"/>
      <c r="AB694" s="3"/>
      <c r="AC694" s="3"/>
    </row>
    <row r="695" ht="14.25" customHeight="1">
      <c r="W695" s="3"/>
      <c r="X695" s="3"/>
      <c r="Y695" s="3"/>
      <c r="Z695" s="3"/>
      <c r="AA695" s="3"/>
      <c r="AB695" s="3"/>
      <c r="AC695" s="3"/>
    </row>
    <row r="696" ht="14.25" customHeight="1">
      <c r="W696" s="3"/>
      <c r="X696" s="3"/>
      <c r="Y696" s="3"/>
      <c r="Z696" s="3"/>
      <c r="AA696" s="3"/>
      <c r="AB696" s="3"/>
      <c r="AC696" s="3"/>
    </row>
    <row r="697" ht="14.25" customHeight="1">
      <c r="W697" s="3"/>
      <c r="X697" s="3"/>
      <c r="Y697" s="3"/>
      <c r="Z697" s="3"/>
      <c r="AA697" s="3"/>
      <c r="AB697" s="3"/>
      <c r="AC697" s="3"/>
    </row>
    <row r="698" ht="14.25" customHeight="1">
      <c r="W698" s="3"/>
      <c r="X698" s="3"/>
      <c r="Y698" s="3"/>
      <c r="Z698" s="3"/>
      <c r="AA698" s="3"/>
      <c r="AB698" s="3"/>
      <c r="AC698" s="3"/>
    </row>
    <row r="699" ht="14.25" customHeight="1">
      <c r="W699" s="3"/>
      <c r="X699" s="3"/>
      <c r="Y699" s="3"/>
      <c r="Z699" s="3"/>
      <c r="AA699" s="3"/>
      <c r="AB699" s="3"/>
      <c r="AC699" s="3"/>
    </row>
    <row r="700" ht="14.25" customHeight="1">
      <c r="W700" s="3"/>
      <c r="X700" s="3"/>
      <c r="Y700" s="3"/>
      <c r="Z700" s="3"/>
      <c r="AA700" s="3"/>
      <c r="AB700" s="3"/>
      <c r="AC700" s="3"/>
    </row>
    <row r="701" ht="14.25" customHeight="1">
      <c r="W701" s="3"/>
      <c r="X701" s="3"/>
      <c r="Y701" s="3"/>
      <c r="Z701" s="3"/>
      <c r="AA701" s="3"/>
      <c r="AB701" s="3"/>
      <c r="AC701" s="3"/>
    </row>
    <row r="702" ht="14.25" customHeight="1">
      <c r="W702" s="3"/>
      <c r="X702" s="3"/>
      <c r="Y702" s="3"/>
      <c r="Z702" s="3"/>
      <c r="AA702" s="3"/>
      <c r="AB702" s="3"/>
      <c r="AC702" s="3"/>
    </row>
    <row r="703" ht="14.25" customHeight="1">
      <c r="W703" s="3"/>
      <c r="X703" s="3"/>
      <c r="Y703" s="3"/>
      <c r="Z703" s="3"/>
      <c r="AA703" s="3"/>
      <c r="AB703" s="3"/>
      <c r="AC703" s="3"/>
    </row>
    <row r="704" ht="14.25" customHeight="1">
      <c r="W704" s="3"/>
      <c r="X704" s="3"/>
      <c r="Y704" s="3"/>
      <c r="Z704" s="3"/>
      <c r="AA704" s="3"/>
      <c r="AB704" s="3"/>
      <c r="AC704" s="3"/>
    </row>
    <row r="705" ht="14.25" customHeight="1">
      <c r="W705" s="3"/>
      <c r="X705" s="3"/>
      <c r="Y705" s="3"/>
      <c r="Z705" s="3"/>
      <c r="AA705" s="3"/>
      <c r="AB705" s="3"/>
      <c r="AC705" s="3"/>
    </row>
    <row r="706" ht="14.25" customHeight="1">
      <c r="W706" s="3"/>
      <c r="X706" s="3"/>
      <c r="Y706" s="3"/>
      <c r="Z706" s="3"/>
      <c r="AA706" s="3"/>
      <c r="AB706" s="3"/>
      <c r="AC706" s="3"/>
    </row>
    <row r="707" ht="14.25" customHeight="1">
      <c r="W707" s="3"/>
      <c r="X707" s="3"/>
      <c r="Y707" s="3"/>
      <c r="Z707" s="3"/>
      <c r="AA707" s="3"/>
      <c r="AB707" s="3"/>
      <c r="AC707" s="3"/>
    </row>
    <row r="708" ht="14.25" customHeight="1">
      <c r="W708" s="3"/>
      <c r="X708" s="3"/>
      <c r="Y708" s="3"/>
      <c r="Z708" s="3"/>
      <c r="AA708" s="3"/>
      <c r="AB708" s="3"/>
      <c r="AC708" s="3"/>
    </row>
    <row r="709" ht="14.25" customHeight="1">
      <c r="W709" s="3"/>
      <c r="X709" s="3"/>
      <c r="Y709" s="3"/>
      <c r="Z709" s="3"/>
      <c r="AA709" s="3"/>
      <c r="AB709" s="3"/>
      <c r="AC709" s="3"/>
    </row>
    <row r="710" ht="14.25" customHeight="1">
      <c r="W710" s="3"/>
      <c r="X710" s="3"/>
      <c r="Y710" s="3"/>
      <c r="Z710" s="3"/>
      <c r="AA710" s="3"/>
      <c r="AB710" s="3"/>
      <c r="AC710" s="3"/>
    </row>
    <row r="711" ht="14.25" customHeight="1">
      <c r="W711" s="3"/>
      <c r="X711" s="3"/>
      <c r="Y711" s="3"/>
      <c r="Z711" s="3"/>
      <c r="AA711" s="3"/>
      <c r="AB711" s="3"/>
      <c r="AC711" s="3"/>
    </row>
    <row r="712" ht="14.25" customHeight="1">
      <c r="W712" s="3"/>
      <c r="X712" s="3"/>
      <c r="Y712" s="3"/>
      <c r="Z712" s="3"/>
      <c r="AA712" s="3"/>
      <c r="AB712" s="3"/>
      <c r="AC712" s="3"/>
    </row>
    <row r="713" ht="14.25" customHeight="1">
      <c r="W713" s="3"/>
      <c r="X713" s="3"/>
      <c r="Y713" s="3"/>
      <c r="Z713" s="3"/>
      <c r="AA713" s="3"/>
      <c r="AB713" s="3"/>
      <c r="AC713" s="3"/>
    </row>
    <row r="714" ht="14.25" customHeight="1">
      <c r="W714" s="3"/>
      <c r="X714" s="3"/>
      <c r="Y714" s="3"/>
      <c r="Z714" s="3"/>
      <c r="AA714" s="3"/>
      <c r="AB714" s="3"/>
      <c r="AC714" s="3"/>
    </row>
    <row r="715" ht="14.25" customHeight="1">
      <c r="W715" s="3"/>
      <c r="X715" s="3"/>
      <c r="Y715" s="3"/>
      <c r="Z715" s="3"/>
      <c r="AA715" s="3"/>
      <c r="AB715" s="3"/>
      <c r="AC715" s="3"/>
    </row>
    <row r="716" ht="14.25" customHeight="1">
      <c r="W716" s="3"/>
      <c r="X716" s="3"/>
      <c r="Y716" s="3"/>
      <c r="Z716" s="3"/>
      <c r="AA716" s="3"/>
      <c r="AB716" s="3"/>
      <c r="AC716" s="3"/>
    </row>
    <row r="717" ht="14.25" customHeight="1">
      <c r="W717" s="3"/>
      <c r="X717" s="3"/>
      <c r="Y717" s="3"/>
      <c r="Z717" s="3"/>
      <c r="AA717" s="3"/>
      <c r="AB717" s="3"/>
      <c r="AC717" s="3"/>
    </row>
    <row r="718" ht="14.25" customHeight="1">
      <c r="W718" s="3"/>
      <c r="X718" s="3"/>
      <c r="Y718" s="3"/>
      <c r="Z718" s="3"/>
      <c r="AA718" s="3"/>
      <c r="AB718" s="3"/>
      <c r="AC718" s="3"/>
    </row>
    <row r="719" ht="14.25" customHeight="1">
      <c r="W719" s="3"/>
      <c r="X719" s="3"/>
      <c r="Y719" s="3"/>
      <c r="Z719" s="3"/>
      <c r="AA719" s="3"/>
      <c r="AB719" s="3"/>
      <c r="AC719" s="3"/>
    </row>
    <row r="720" ht="14.25" customHeight="1">
      <c r="W720" s="3"/>
      <c r="X720" s="3"/>
      <c r="Y720" s="3"/>
      <c r="Z720" s="3"/>
      <c r="AA720" s="3"/>
      <c r="AB720" s="3"/>
      <c r="AC720" s="3"/>
    </row>
    <row r="721" ht="14.25" customHeight="1">
      <c r="W721" s="3"/>
      <c r="X721" s="3"/>
      <c r="Y721" s="3"/>
      <c r="Z721" s="3"/>
      <c r="AA721" s="3"/>
      <c r="AB721" s="3"/>
      <c r="AC721" s="3"/>
    </row>
    <row r="722" ht="14.25" customHeight="1">
      <c r="W722" s="3"/>
      <c r="X722" s="3"/>
      <c r="Y722" s="3"/>
      <c r="Z722" s="3"/>
      <c r="AA722" s="3"/>
      <c r="AB722" s="3"/>
      <c r="AC722" s="3"/>
    </row>
    <row r="723" ht="14.25" customHeight="1">
      <c r="W723" s="3"/>
      <c r="X723" s="3"/>
      <c r="Y723" s="3"/>
      <c r="Z723" s="3"/>
      <c r="AA723" s="3"/>
      <c r="AB723" s="3"/>
      <c r="AC723" s="3"/>
    </row>
    <row r="724" ht="14.25" customHeight="1">
      <c r="W724" s="3"/>
      <c r="X724" s="3"/>
      <c r="Y724" s="3"/>
      <c r="Z724" s="3"/>
      <c r="AA724" s="3"/>
      <c r="AB724" s="3"/>
      <c r="AC724" s="3"/>
    </row>
    <row r="725" ht="14.25" customHeight="1">
      <c r="W725" s="3"/>
      <c r="X725" s="3"/>
      <c r="Y725" s="3"/>
      <c r="Z725" s="3"/>
      <c r="AA725" s="3"/>
      <c r="AB725" s="3"/>
      <c r="AC725" s="3"/>
    </row>
    <row r="726" ht="14.25" customHeight="1">
      <c r="W726" s="3"/>
      <c r="X726" s="3"/>
      <c r="Y726" s="3"/>
      <c r="Z726" s="3"/>
      <c r="AA726" s="3"/>
      <c r="AB726" s="3"/>
      <c r="AC726" s="3"/>
    </row>
    <row r="727" ht="14.25" customHeight="1">
      <c r="W727" s="3"/>
      <c r="X727" s="3"/>
      <c r="Y727" s="3"/>
      <c r="Z727" s="3"/>
      <c r="AA727" s="3"/>
      <c r="AB727" s="3"/>
      <c r="AC727" s="3"/>
    </row>
    <row r="728" ht="14.25" customHeight="1">
      <c r="W728" s="3"/>
      <c r="X728" s="3"/>
      <c r="Y728" s="3"/>
      <c r="Z728" s="3"/>
      <c r="AA728" s="3"/>
      <c r="AB728" s="3"/>
      <c r="AC728" s="3"/>
    </row>
    <row r="729" ht="14.25" customHeight="1">
      <c r="W729" s="3"/>
      <c r="X729" s="3"/>
      <c r="Y729" s="3"/>
      <c r="Z729" s="3"/>
      <c r="AA729" s="3"/>
      <c r="AB729" s="3"/>
      <c r="AC729" s="3"/>
    </row>
    <row r="730" ht="14.25" customHeight="1">
      <c r="W730" s="3"/>
      <c r="X730" s="3"/>
      <c r="Y730" s="3"/>
      <c r="Z730" s="3"/>
      <c r="AA730" s="3"/>
      <c r="AB730" s="3"/>
      <c r="AC730" s="3"/>
    </row>
    <row r="731" ht="14.25" customHeight="1">
      <c r="W731" s="3"/>
      <c r="X731" s="3"/>
      <c r="Y731" s="3"/>
      <c r="Z731" s="3"/>
      <c r="AA731" s="3"/>
      <c r="AB731" s="3"/>
      <c r="AC731" s="3"/>
    </row>
    <row r="732" ht="14.25" customHeight="1">
      <c r="W732" s="3"/>
      <c r="X732" s="3"/>
      <c r="Y732" s="3"/>
      <c r="Z732" s="3"/>
      <c r="AA732" s="3"/>
      <c r="AB732" s="3"/>
      <c r="AC732" s="3"/>
    </row>
    <row r="733" ht="14.25" customHeight="1">
      <c r="W733" s="3"/>
      <c r="X733" s="3"/>
      <c r="Y733" s="3"/>
      <c r="Z733" s="3"/>
      <c r="AA733" s="3"/>
      <c r="AB733" s="3"/>
      <c r="AC733" s="3"/>
    </row>
    <row r="734" ht="14.25" customHeight="1">
      <c r="W734" s="3"/>
      <c r="X734" s="3"/>
      <c r="Y734" s="3"/>
      <c r="Z734" s="3"/>
      <c r="AA734" s="3"/>
      <c r="AB734" s="3"/>
      <c r="AC734" s="3"/>
    </row>
    <row r="735" ht="14.25" customHeight="1">
      <c r="W735" s="3"/>
      <c r="X735" s="3"/>
      <c r="Y735" s="3"/>
      <c r="Z735" s="3"/>
      <c r="AA735" s="3"/>
      <c r="AB735" s="3"/>
      <c r="AC735" s="3"/>
    </row>
    <row r="736" ht="14.25" customHeight="1">
      <c r="W736" s="3"/>
      <c r="X736" s="3"/>
      <c r="Y736" s="3"/>
      <c r="Z736" s="3"/>
      <c r="AA736" s="3"/>
      <c r="AB736" s="3"/>
      <c r="AC736" s="3"/>
    </row>
    <row r="737" ht="14.25" customHeight="1">
      <c r="W737" s="3"/>
      <c r="X737" s="3"/>
      <c r="Y737" s="3"/>
      <c r="Z737" s="3"/>
      <c r="AA737" s="3"/>
      <c r="AB737" s="3"/>
      <c r="AC737" s="3"/>
    </row>
    <row r="738" ht="14.25" customHeight="1">
      <c r="W738" s="3"/>
      <c r="X738" s="3"/>
      <c r="Y738" s="3"/>
      <c r="Z738" s="3"/>
      <c r="AA738" s="3"/>
      <c r="AB738" s="3"/>
      <c r="AC738" s="3"/>
    </row>
    <row r="739" ht="14.25" customHeight="1">
      <c r="W739" s="3"/>
      <c r="X739" s="3"/>
      <c r="Y739" s="3"/>
      <c r="Z739" s="3"/>
      <c r="AA739" s="3"/>
      <c r="AB739" s="3"/>
      <c r="AC739" s="3"/>
    </row>
    <row r="740" ht="14.25" customHeight="1">
      <c r="W740" s="3"/>
      <c r="X740" s="3"/>
      <c r="Y740" s="3"/>
      <c r="Z740" s="3"/>
      <c r="AA740" s="3"/>
      <c r="AB740" s="3"/>
      <c r="AC740" s="3"/>
    </row>
    <row r="741" ht="14.25" customHeight="1">
      <c r="W741" s="3"/>
      <c r="X741" s="3"/>
      <c r="Y741" s="3"/>
      <c r="Z741" s="3"/>
      <c r="AA741" s="3"/>
      <c r="AB741" s="3"/>
      <c r="AC741" s="3"/>
    </row>
    <row r="742" ht="14.25" customHeight="1">
      <c r="W742" s="3"/>
      <c r="X742" s="3"/>
      <c r="Y742" s="3"/>
      <c r="Z742" s="3"/>
      <c r="AA742" s="3"/>
      <c r="AB742" s="3"/>
      <c r="AC742" s="3"/>
    </row>
    <row r="743" ht="14.25" customHeight="1">
      <c r="W743" s="3"/>
      <c r="X743" s="3"/>
      <c r="Y743" s="3"/>
      <c r="Z743" s="3"/>
      <c r="AA743" s="3"/>
      <c r="AB743" s="3"/>
      <c r="AC743" s="3"/>
    </row>
    <row r="744" ht="14.25" customHeight="1">
      <c r="W744" s="3"/>
      <c r="X744" s="3"/>
      <c r="Y744" s="3"/>
      <c r="Z744" s="3"/>
      <c r="AA744" s="3"/>
      <c r="AB744" s="3"/>
      <c r="AC744" s="3"/>
    </row>
    <row r="745" ht="14.25" customHeight="1">
      <c r="W745" s="3"/>
      <c r="X745" s="3"/>
      <c r="Y745" s="3"/>
      <c r="Z745" s="3"/>
      <c r="AA745" s="3"/>
      <c r="AB745" s="3"/>
      <c r="AC745" s="3"/>
    </row>
    <row r="746" ht="14.25" customHeight="1">
      <c r="W746" s="3"/>
      <c r="X746" s="3"/>
      <c r="Y746" s="3"/>
      <c r="Z746" s="3"/>
      <c r="AA746" s="3"/>
      <c r="AB746" s="3"/>
      <c r="AC746" s="3"/>
    </row>
    <row r="747" ht="14.25" customHeight="1">
      <c r="W747" s="3"/>
      <c r="X747" s="3"/>
      <c r="Y747" s="3"/>
      <c r="Z747" s="3"/>
      <c r="AA747" s="3"/>
      <c r="AB747" s="3"/>
      <c r="AC747" s="3"/>
    </row>
    <row r="748" ht="14.25" customHeight="1">
      <c r="W748" s="3"/>
      <c r="X748" s="3"/>
      <c r="Y748" s="3"/>
      <c r="Z748" s="3"/>
      <c r="AA748" s="3"/>
      <c r="AB748" s="3"/>
      <c r="AC748" s="3"/>
    </row>
    <row r="749" ht="14.25" customHeight="1">
      <c r="W749" s="3"/>
      <c r="X749" s="3"/>
      <c r="Y749" s="3"/>
      <c r="Z749" s="3"/>
      <c r="AA749" s="3"/>
      <c r="AB749" s="3"/>
      <c r="AC749" s="3"/>
    </row>
    <row r="750" ht="14.25" customHeight="1">
      <c r="W750" s="3"/>
      <c r="X750" s="3"/>
      <c r="Y750" s="3"/>
      <c r="Z750" s="3"/>
      <c r="AA750" s="3"/>
      <c r="AB750" s="3"/>
      <c r="AC750" s="3"/>
    </row>
    <row r="751" ht="14.25" customHeight="1">
      <c r="W751" s="3"/>
      <c r="X751" s="3"/>
      <c r="Y751" s="3"/>
      <c r="Z751" s="3"/>
      <c r="AA751" s="3"/>
      <c r="AB751" s="3"/>
      <c r="AC751" s="3"/>
    </row>
    <row r="752" ht="14.25" customHeight="1">
      <c r="W752" s="3"/>
      <c r="X752" s="3"/>
      <c r="Y752" s="3"/>
      <c r="Z752" s="3"/>
      <c r="AA752" s="3"/>
      <c r="AB752" s="3"/>
      <c r="AC752" s="3"/>
    </row>
    <row r="753" ht="14.25" customHeight="1">
      <c r="W753" s="3"/>
      <c r="X753" s="3"/>
      <c r="Y753" s="3"/>
      <c r="Z753" s="3"/>
      <c r="AA753" s="3"/>
      <c r="AB753" s="3"/>
      <c r="AC753" s="3"/>
    </row>
    <row r="754" ht="14.25" customHeight="1">
      <c r="W754" s="3"/>
      <c r="X754" s="3"/>
      <c r="Y754" s="3"/>
      <c r="Z754" s="3"/>
      <c r="AA754" s="3"/>
      <c r="AB754" s="3"/>
      <c r="AC754" s="3"/>
    </row>
    <row r="755" ht="14.25" customHeight="1">
      <c r="W755" s="3"/>
      <c r="X755" s="3"/>
      <c r="Y755" s="3"/>
      <c r="Z755" s="3"/>
      <c r="AA755" s="3"/>
      <c r="AB755" s="3"/>
      <c r="AC755" s="3"/>
    </row>
    <row r="756" ht="14.25" customHeight="1">
      <c r="W756" s="3"/>
      <c r="X756" s="3"/>
      <c r="Y756" s="3"/>
      <c r="Z756" s="3"/>
      <c r="AA756" s="3"/>
      <c r="AB756" s="3"/>
      <c r="AC756" s="3"/>
    </row>
    <row r="757" ht="14.25" customHeight="1">
      <c r="W757" s="3"/>
      <c r="X757" s="3"/>
      <c r="Y757" s="3"/>
      <c r="Z757" s="3"/>
      <c r="AA757" s="3"/>
      <c r="AB757" s="3"/>
      <c r="AC757" s="3"/>
    </row>
    <row r="758" ht="14.25" customHeight="1">
      <c r="W758" s="3"/>
      <c r="X758" s="3"/>
      <c r="Y758" s="3"/>
      <c r="Z758" s="3"/>
      <c r="AA758" s="3"/>
      <c r="AB758" s="3"/>
      <c r="AC758" s="3"/>
    </row>
    <row r="759" ht="14.25" customHeight="1">
      <c r="W759" s="3"/>
      <c r="X759" s="3"/>
      <c r="Y759" s="3"/>
      <c r="Z759" s="3"/>
      <c r="AA759" s="3"/>
      <c r="AB759" s="3"/>
      <c r="AC759" s="3"/>
    </row>
    <row r="760" ht="14.25" customHeight="1">
      <c r="W760" s="3"/>
      <c r="X760" s="3"/>
      <c r="Y760" s="3"/>
      <c r="Z760" s="3"/>
      <c r="AA760" s="3"/>
      <c r="AB760" s="3"/>
      <c r="AC760" s="3"/>
    </row>
    <row r="761" ht="14.25" customHeight="1">
      <c r="W761" s="3"/>
      <c r="X761" s="3"/>
      <c r="Y761" s="3"/>
      <c r="Z761" s="3"/>
      <c r="AA761" s="3"/>
      <c r="AB761" s="3"/>
      <c r="AC761" s="3"/>
    </row>
    <row r="762" ht="14.25" customHeight="1">
      <c r="W762" s="3"/>
      <c r="X762" s="3"/>
      <c r="Y762" s="3"/>
      <c r="Z762" s="3"/>
      <c r="AA762" s="3"/>
      <c r="AB762" s="3"/>
      <c r="AC762" s="3"/>
    </row>
    <row r="763" ht="14.25" customHeight="1">
      <c r="W763" s="3"/>
      <c r="X763" s="3"/>
      <c r="Y763" s="3"/>
      <c r="Z763" s="3"/>
      <c r="AA763" s="3"/>
      <c r="AB763" s="3"/>
      <c r="AC763" s="3"/>
    </row>
    <row r="764" ht="14.25" customHeight="1">
      <c r="W764" s="3"/>
      <c r="X764" s="3"/>
      <c r="Y764" s="3"/>
      <c r="Z764" s="3"/>
      <c r="AA764" s="3"/>
      <c r="AB764" s="3"/>
      <c r="AC764" s="3"/>
    </row>
    <row r="765" ht="14.25" customHeight="1">
      <c r="W765" s="3"/>
      <c r="X765" s="3"/>
      <c r="Y765" s="3"/>
      <c r="Z765" s="3"/>
      <c r="AA765" s="3"/>
      <c r="AB765" s="3"/>
      <c r="AC765" s="3"/>
    </row>
    <row r="766" ht="14.25" customHeight="1">
      <c r="W766" s="3"/>
      <c r="X766" s="3"/>
      <c r="Y766" s="3"/>
      <c r="Z766" s="3"/>
      <c r="AA766" s="3"/>
      <c r="AB766" s="3"/>
      <c r="AC766" s="3"/>
    </row>
    <row r="767" ht="14.25" customHeight="1">
      <c r="W767" s="3"/>
      <c r="X767" s="3"/>
      <c r="Y767" s="3"/>
      <c r="Z767" s="3"/>
      <c r="AA767" s="3"/>
      <c r="AB767" s="3"/>
      <c r="AC767" s="3"/>
    </row>
    <row r="768" ht="14.25" customHeight="1">
      <c r="W768" s="3"/>
      <c r="X768" s="3"/>
      <c r="Y768" s="3"/>
      <c r="Z768" s="3"/>
      <c r="AA768" s="3"/>
      <c r="AB768" s="3"/>
      <c r="AC768" s="3"/>
    </row>
    <row r="769" ht="14.25" customHeight="1">
      <c r="W769" s="3"/>
      <c r="X769" s="3"/>
      <c r="Y769" s="3"/>
      <c r="Z769" s="3"/>
      <c r="AA769" s="3"/>
      <c r="AB769" s="3"/>
      <c r="AC769" s="3"/>
    </row>
    <row r="770" ht="14.25" customHeight="1">
      <c r="W770" s="3"/>
      <c r="X770" s="3"/>
      <c r="Y770" s="3"/>
      <c r="Z770" s="3"/>
      <c r="AA770" s="3"/>
      <c r="AB770" s="3"/>
      <c r="AC770" s="3"/>
    </row>
    <row r="771" ht="14.25" customHeight="1">
      <c r="W771" s="3"/>
      <c r="X771" s="3"/>
      <c r="Y771" s="3"/>
      <c r="Z771" s="3"/>
      <c r="AA771" s="3"/>
      <c r="AB771" s="3"/>
      <c r="AC771" s="3"/>
    </row>
    <row r="772" ht="14.25" customHeight="1">
      <c r="W772" s="3"/>
      <c r="X772" s="3"/>
      <c r="Y772" s="3"/>
      <c r="Z772" s="3"/>
      <c r="AA772" s="3"/>
      <c r="AB772" s="3"/>
      <c r="AC772" s="3"/>
    </row>
    <row r="773" ht="14.25" customHeight="1">
      <c r="W773" s="3"/>
      <c r="X773" s="3"/>
      <c r="Y773" s="3"/>
      <c r="Z773" s="3"/>
      <c r="AA773" s="3"/>
      <c r="AB773" s="3"/>
      <c r="AC773" s="3"/>
    </row>
    <row r="774" ht="14.25" customHeight="1">
      <c r="W774" s="3"/>
      <c r="X774" s="3"/>
      <c r="Y774" s="3"/>
      <c r="Z774" s="3"/>
      <c r="AA774" s="3"/>
      <c r="AB774" s="3"/>
      <c r="AC774" s="3"/>
    </row>
    <row r="775" ht="14.25" customHeight="1">
      <c r="W775" s="3"/>
      <c r="X775" s="3"/>
      <c r="Y775" s="3"/>
      <c r="Z775" s="3"/>
      <c r="AA775" s="3"/>
      <c r="AB775" s="3"/>
      <c r="AC775" s="3"/>
    </row>
    <row r="776" ht="14.25" customHeight="1">
      <c r="W776" s="3"/>
      <c r="X776" s="3"/>
      <c r="Y776" s="3"/>
      <c r="Z776" s="3"/>
      <c r="AA776" s="3"/>
      <c r="AB776" s="3"/>
      <c r="AC776" s="3"/>
    </row>
    <row r="777" ht="14.25" customHeight="1">
      <c r="W777" s="3"/>
      <c r="X777" s="3"/>
      <c r="Y777" s="3"/>
      <c r="Z777" s="3"/>
      <c r="AA777" s="3"/>
      <c r="AB777" s="3"/>
      <c r="AC777" s="3"/>
    </row>
    <row r="778" ht="14.25" customHeight="1">
      <c r="W778" s="3"/>
      <c r="X778" s="3"/>
      <c r="Y778" s="3"/>
      <c r="Z778" s="3"/>
      <c r="AA778" s="3"/>
      <c r="AB778" s="3"/>
      <c r="AC778" s="3"/>
    </row>
    <row r="779" ht="14.25" customHeight="1">
      <c r="W779" s="3"/>
      <c r="X779" s="3"/>
      <c r="Y779" s="3"/>
      <c r="Z779" s="3"/>
      <c r="AA779" s="3"/>
      <c r="AB779" s="3"/>
      <c r="AC779" s="3"/>
    </row>
    <row r="780" ht="14.25" customHeight="1">
      <c r="W780" s="3"/>
      <c r="X780" s="3"/>
      <c r="Y780" s="3"/>
      <c r="Z780" s="3"/>
      <c r="AA780" s="3"/>
      <c r="AB780" s="3"/>
      <c r="AC780" s="3"/>
    </row>
    <row r="781" ht="14.25" customHeight="1">
      <c r="W781" s="3"/>
      <c r="X781" s="3"/>
      <c r="Y781" s="3"/>
      <c r="Z781" s="3"/>
      <c r="AA781" s="3"/>
      <c r="AB781" s="3"/>
      <c r="AC781" s="3"/>
    </row>
    <row r="782" ht="14.25" customHeight="1">
      <c r="W782" s="3"/>
      <c r="X782" s="3"/>
      <c r="Y782" s="3"/>
      <c r="Z782" s="3"/>
      <c r="AA782" s="3"/>
      <c r="AB782" s="3"/>
      <c r="AC782" s="3"/>
    </row>
    <row r="783" ht="14.25" customHeight="1">
      <c r="W783" s="3"/>
      <c r="X783" s="3"/>
      <c r="Y783" s="3"/>
      <c r="Z783" s="3"/>
      <c r="AA783" s="3"/>
      <c r="AB783" s="3"/>
      <c r="AC783" s="3"/>
    </row>
    <row r="784" ht="14.25" customHeight="1">
      <c r="W784" s="3"/>
      <c r="X784" s="3"/>
      <c r="Y784" s="3"/>
      <c r="Z784" s="3"/>
      <c r="AA784" s="3"/>
      <c r="AB784" s="3"/>
      <c r="AC784" s="3"/>
    </row>
    <row r="785" ht="14.25" customHeight="1">
      <c r="W785" s="3"/>
      <c r="X785" s="3"/>
      <c r="Y785" s="3"/>
      <c r="Z785" s="3"/>
      <c r="AA785" s="3"/>
      <c r="AB785" s="3"/>
      <c r="AC785" s="3"/>
    </row>
    <row r="786" ht="14.25" customHeight="1">
      <c r="W786" s="3"/>
      <c r="X786" s="3"/>
      <c r="Y786" s="3"/>
      <c r="Z786" s="3"/>
      <c r="AA786" s="3"/>
      <c r="AB786" s="3"/>
      <c r="AC786" s="3"/>
    </row>
    <row r="787" ht="14.25" customHeight="1">
      <c r="W787" s="3"/>
      <c r="X787" s="3"/>
      <c r="Y787" s="3"/>
      <c r="Z787" s="3"/>
      <c r="AA787" s="3"/>
      <c r="AB787" s="3"/>
      <c r="AC787" s="3"/>
    </row>
    <row r="788" ht="14.25" customHeight="1">
      <c r="W788" s="3"/>
      <c r="X788" s="3"/>
      <c r="Y788" s="3"/>
      <c r="Z788" s="3"/>
      <c r="AA788" s="3"/>
      <c r="AB788" s="3"/>
      <c r="AC788" s="3"/>
    </row>
    <row r="789" ht="14.25" customHeight="1">
      <c r="W789" s="3"/>
      <c r="X789" s="3"/>
      <c r="Y789" s="3"/>
      <c r="Z789" s="3"/>
      <c r="AA789" s="3"/>
      <c r="AB789" s="3"/>
      <c r="AC789" s="3"/>
    </row>
    <row r="790" ht="14.25" customHeight="1">
      <c r="W790" s="3"/>
      <c r="X790" s="3"/>
      <c r="Y790" s="3"/>
      <c r="Z790" s="3"/>
      <c r="AA790" s="3"/>
      <c r="AB790" s="3"/>
      <c r="AC790" s="3"/>
    </row>
    <row r="791" ht="14.25" customHeight="1">
      <c r="W791" s="3"/>
      <c r="X791" s="3"/>
      <c r="Y791" s="3"/>
      <c r="Z791" s="3"/>
      <c r="AA791" s="3"/>
      <c r="AB791" s="3"/>
      <c r="AC791" s="3"/>
    </row>
    <row r="792" ht="14.25" customHeight="1">
      <c r="W792" s="3"/>
      <c r="X792" s="3"/>
      <c r="Y792" s="3"/>
      <c r="Z792" s="3"/>
      <c r="AA792" s="3"/>
      <c r="AB792" s="3"/>
      <c r="AC792" s="3"/>
    </row>
    <row r="793" ht="14.25" customHeight="1">
      <c r="W793" s="3"/>
      <c r="X793" s="3"/>
      <c r="Y793" s="3"/>
      <c r="Z793" s="3"/>
      <c r="AA793" s="3"/>
      <c r="AB793" s="3"/>
      <c r="AC793" s="3"/>
    </row>
    <row r="794" ht="14.25" customHeight="1">
      <c r="W794" s="3"/>
      <c r="X794" s="3"/>
      <c r="Y794" s="3"/>
      <c r="Z794" s="3"/>
      <c r="AA794" s="3"/>
      <c r="AB794" s="3"/>
      <c r="AC794" s="3"/>
    </row>
    <row r="795" ht="14.25" customHeight="1">
      <c r="W795" s="3"/>
      <c r="X795" s="3"/>
      <c r="Y795" s="3"/>
      <c r="Z795" s="3"/>
      <c r="AA795" s="3"/>
      <c r="AB795" s="3"/>
      <c r="AC795" s="3"/>
    </row>
    <row r="796" ht="14.25" customHeight="1">
      <c r="W796" s="3"/>
      <c r="X796" s="3"/>
      <c r="Y796" s="3"/>
      <c r="Z796" s="3"/>
      <c r="AA796" s="3"/>
      <c r="AB796" s="3"/>
      <c r="AC796" s="3"/>
    </row>
    <row r="797" ht="14.25" customHeight="1">
      <c r="W797" s="3"/>
      <c r="X797" s="3"/>
      <c r="Y797" s="3"/>
      <c r="Z797" s="3"/>
      <c r="AA797" s="3"/>
      <c r="AB797" s="3"/>
      <c r="AC797" s="3"/>
    </row>
    <row r="798" ht="14.25" customHeight="1">
      <c r="W798" s="3"/>
      <c r="X798" s="3"/>
      <c r="Y798" s="3"/>
      <c r="Z798" s="3"/>
      <c r="AA798" s="3"/>
      <c r="AB798" s="3"/>
      <c r="AC798" s="3"/>
    </row>
    <row r="799" ht="14.25" customHeight="1">
      <c r="W799" s="3"/>
      <c r="X799" s="3"/>
      <c r="Y799" s="3"/>
      <c r="Z799" s="3"/>
      <c r="AA799" s="3"/>
      <c r="AB799" s="3"/>
      <c r="AC799" s="3"/>
    </row>
    <row r="800" ht="14.25" customHeight="1">
      <c r="W800" s="3"/>
      <c r="X800" s="3"/>
      <c r="Y800" s="3"/>
      <c r="Z800" s="3"/>
      <c r="AA800" s="3"/>
      <c r="AB800" s="3"/>
      <c r="AC800" s="3"/>
    </row>
    <row r="801" ht="14.25" customHeight="1">
      <c r="W801" s="3"/>
      <c r="X801" s="3"/>
      <c r="Y801" s="3"/>
      <c r="Z801" s="3"/>
      <c r="AA801" s="3"/>
      <c r="AB801" s="3"/>
      <c r="AC801" s="3"/>
    </row>
    <row r="802" ht="14.25" customHeight="1">
      <c r="W802" s="3"/>
      <c r="X802" s="3"/>
      <c r="Y802" s="3"/>
      <c r="Z802" s="3"/>
      <c r="AA802" s="3"/>
      <c r="AB802" s="3"/>
      <c r="AC802" s="3"/>
    </row>
    <row r="803" ht="14.25" customHeight="1">
      <c r="W803" s="3"/>
      <c r="X803" s="3"/>
      <c r="Y803" s="3"/>
      <c r="Z803" s="3"/>
      <c r="AA803" s="3"/>
      <c r="AB803" s="3"/>
      <c r="AC803" s="3"/>
    </row>
    <row r="804" ht="14.25" customHeight="1">
      <c r="W804" s="3"/>
      <c r="X804" s="3"/>
      <c r="Y804" s="3"/>
      <c r="Z804" s="3"/>
      <c r="AA804" s="3"/>
      <c r="AB804" s="3"/>
      <c r="AC804" s="3"/>
    </row>
    <row r="805" ht="14.25" customHeight="1">
      <c r="W805" s="3"/>
      <c r="X805" s="3"/>
      <c r="Y805" s="3"/>
      <c r="Z805" s="3"/>
      <c r="AA805" s="3"/>
      <c r="AB805" s="3"/>
      <c r="AC805" s="3"/>
    </row>
    <row r="806" ht="14.25" customHeight="1">
      <c r="W806" s="3"/>
      <c r="X806" s="3"/>
      <c r="Y806" s="3"/>
      <c r="Z806" s="3"/>
      <c r="AA806" s="3"/>
      <c r="AB806" s="3"/>
      <c r="AC806" s="3"/>
    </row>
    <row r="807" ht="14.25" customHeight="1">
      <c r="W807" s="3"/>
      <c r="X807" s="3"/>
      <c r="Y807" s="3"/>
      <c r="Z807" s="3"/>
      <c r="AA807" s="3"/>
      <c r="AB807" s="3"/>
      <c r="AC807" s="3"/>
    </row>
    <row r="808" ht="14.25" customHeight="1">
      <c r="W808" s="3"/>
      <c r="X808" s="3"/>
      <c r="Y808" s="3"/>
      <c r="Z808" s="3"/>
      <c r="AA808" s="3"/>
      <c r="AB808" s="3"/>
      <c r="AC808" s="3"/>
    </row>
    <row r="809" ht="14.25" customHeight="1">
      <c r="W809" s="3"/>
      <c r="X809" s="3"/>
      <c r="Y809" s="3"/>
      <c r="Z809" s="3"/>
      <c r="AA809" s="3"/>
      <c r="AB809" s="3"/>
      <c r="AC809" s="3"/>
    </row>
    <row r="810" ht="14.25" customHeight="1">
      <c r="W810" s="3"/>
      <c r="X810" s="3"/>
      <c r="Y810" s="3"/>
      <c r="Z810" s="3"/>
      <c r="AA810" s="3"/>
      <c r="AB810" s="3"/>
      <c r="AC810" s="3"/>
    </row>
    <row r="811" ht="14.25" customHeight="1">
      <c r="W811" s="3"/>
      <c r="X811" s="3"/>
      <c r="Y811" s="3"/>
      <c r="Z811" s="3"/>
      <c r="AA811" s="3"/>
      <c r="AB811" s="3"/>
      <c r="AC811" s="3"/>
    </row>
    <row r="812" ht="14.25" customHeight="1">
      <c r="W812" s="3"/>
      <c r="X812" s="3"/>
      <c r="Y812" s="3"/>
      <c r="Z812" s="3"/>
      <c r="AA812" s="3"/>
      <c r="AB812" s="3"/>
      <c r="AC812" s="3"/>
    </row>
    <row r="813" ht="14.25" customHeight="1">
      <c r="W813" s="3"/>
      <c r="X813" s="3"/>
      <c r="Y813" s="3"/>
      <c r="Z813" s="3"/>
      <c r="AA813" s="3"/>
      <c r="AB813" s="3"/>
      <c r="AC813" s="3"/>
    </row>
    <row r="814" ht="14.25" customHeight="1">
      <c r="W814" s="3"/>
      <c r="X814" s="3"/>
      <c r="Y814" s="3"/>
      <c r="Z814" s="3"/>
      <c r="AA814" s="3"/>
      <c r="AB814" s="3"/>
      <c r="AC814" s="3"/>
    </row>
    <row r="815" ht="14.25" customHeight="1">
      <c r="W815" s="3"/>
      <c r="X815" s="3"/>
      <c r="Y815" s="3"/>
      <c r="Z815" s="3"/>
      <c r="AA815" s="3"/>
      <c r="AB815" s="3"/>
      <c r="AC815" s="3"/>
    </row>
    <row r="816" ht="14.25" customHeight="1">
      <c r="W816" s="3"/>
      <c r="X816" s="3"/>
      <c r="Y816" s="3"/>
      <c r="Z816" s="3"/>
      <c r="AA816" s="3"/>
      <c r="AB816" s="3"/>
      <c r="AC816" s="3"/>
    </row>
    <row r="817" ht="14.25" customHeight="1">
      <c r="W817" s="3"/>
      <c r="X817" s="3"/>
      <c r="Y817" s="3"/>
      <c r="Z817" s="3"/>
      <c r="AA817" s="3"/>
      <c r="AB817" s="3"/>
      <c r="AC817" s="3"/>
    </row>
    <row r="818" ht="14.25" customHeight="1">
      <c r="W818" s="3"/>
      <c r="X818" s="3"/>
      <c r="Y818" s="3"/>
      <c r="Z818" s="3"/>
      <c r="AA818" s="3"/>
      <c r="AB818" s="3"/>
      <c r="AC818" s="3"/>
    </row>
    <row r="819" ht="14.25" customHeight="1">
      <c r="W819" s="3"/>
      <c r="X819" s="3"/>
      <c r="Y819" s="3"/>
      <c r="Z819" s="3"/>
      <c r="AA819" s="3"/>
      <c r="AB819" s="3"/>
      <c r="AC819" s="3"/>
    </row>
    <row r="820" ht="14.25" customHeight="1">
      <c r="W820" s="3"/>
      <c r="X820" s="3"/>
      <c r="Y820" s="3"/>
      <c r="Z820" s="3"/>
      <c r="AA820" s="3"/>
      <c r="AB820" s="3"/>
      <c r="AC820" s="3"/>
    </row>
    <row r="821" ht="14.25" customHeight="1">
      <c r="W821" s="3"/>
      <c r="X821" s="3"/>
      <c r="Y821" s="3"/>
      <c r="Z821" s="3"/>
      <c r="AA821" s="3"/>
      <c r="AB821" s="3"/>
      <c r="AC821" s="3"/>
    </row>
    <row r="822" ht="14.25" customHeight="1">
      <c r="W822" s="3"/>
      <c r="X822" s="3"/>
      <c r="Y822" s="3"/>
      <c r="Z822" s="3"/>
      <c r="AA822" s="3"/>
      <c r="AB822" s="3"/>
      <c r="AC822" s="3"/>
    </row>
    <row r="823" ht="14.25" customHeight="1">
      <c r="W823" s="3"/>
      <c r="X823" s="3"/>
      <c r="Y823" s="3"/>
      <c r="Z823" s="3"/>
      <c r="AA823" s="3"/>
      <c r="AB823" s="3"/>
      <c r="AC823" s="3"/>
    </row>
    <row r="824" ht="14.25" customHeight="1">
      <c r="W824" s="3"/>
      <c r="X824" s="3"/>
      <c r="Y824" s="3"/>
      <c r="Z824" s="3"/>
      <c r="AA824" s="3"/>
      <c r="AB824" s="3"/>
      <c r="AC824" s="3"/>
    </row>
    <row r="825" ht="14.25" customHeight="1">
      <c r="W825" s="3"/>
      <c r="X825" s="3"/>
      <c r="Y825" s="3"/>
      <c r="Z825" s="3"/>
      <c r="AA825" s="3"/>
      <c r="AB825" s="3"/>
      <c r="AC825" s="3"/>
    </row>
    <row r="826" ht="14.25" customHeight="1">
      <c r="W826" s="3"/>
      <c r="X826" s="3"/>
      <c r="Y826" s="3"/>
      <c r="Z826" s="3"/>
      <c r="AA826" s="3"/>
      <c r="AB826" s="3"/>
      <c r="AC826" s="3"/>
    </row>
    <row r="827" ht="14.25" customHeight="1">
      <c r="W827" s="3"/>
      <c r="X827" s="3"/>
      <c r="Y827" s="3"/>
      <c r="Z827" s="3"/>
      <c r="AA827" s="3"/>
      <c r="AB827" s="3"/>
      <c r="AC827" s="3"/>
    </row>
    <row r="828" ht="14.25" customHeight="1">
      <c r="W828" s="3"/>
      <c r="X828" s="3"/>
      <c r="Y828" s="3"/>
      <c r="Z828" s="3"/>
      <c r="AA828" s="3"/>
      <c r="AB828" s="3"/>
      <c r="AC828" s="3"/>
    </row>
    <row r="829" ht="14.25" customHeight="1">
      <c r="W829" s="3"/>
      <c r="X829" s="3"/>
      <c r="Y829" s="3"/>
      <c r="Z829" s="3"/>
      <c r="AA829" s="3"/>
      <c r="AB829" s="3"/>
      <c r="AC829" s="3"/>
    </row>
    <row r="830" ht="14.25" customHeight="1">
      <c r="W830" s="3"/>
      <c r="X830" s="3"/>
      <c r="Y830" s="3"/>
      <c r="Z830" s="3"/>
      <c r="AA830" s="3"/>
      <c r="AB830" s="3"/>
      <c r="AC830" s="3"/>
    </row>
    <row r="831" ht="14.25" customHeight="1">
      <c r="W831" s="3"/>
      <c r="X831" s="3"/>
      <c r="Y831" s="3"/>
      <c r="Z831" s="3"/>
      <c r="AA831" s="3"/>
      <c r="AB831" s="3"/>
      <c r="AC831" s="3"/>
    </row>
    <row r="832" ht="14.25" customHeight="1">
      <c r="W832" s="3"/>
      <c r="X832" s="3"/>
      <c r="Y832" s="3"/>
      <c r="Z832" s="3"/>
      <c r="AA832" s="3"/>
      <c r="AB832" s="3"/>
      <c r="AC832" s="3"/>
    </row>
    <row r="833" ht="14.25" customHeight="1">
      <c r="W833" s="3"/>
      <c r="X833" s="3"/>
      <c r="Y833" s="3"/>
      <c r="Z833" s="3"/>
      <c r="AA833" s="3"/>
      <c r="AB833" s="3"/>
      <c r="AC833" s="3"/>
    </row>
    <row r="834" ht="14.25" customHeight="1">
      <c r="W834" s="3"/>
      <c r="X834" s="3"/>
      <c r="Y834" s="3"/>
      <c r="Z834" s="3"/>
      <c r="AA834" s="3"/>
      <c r="AB834" s="3"/>
      <c r="AC834" s="3"/>
    </row>
    <row r="835" ht="14.25" customHeight="1">
      <c r="W835" s="3"/>
      <c r="X835" s="3"/>
      <c r="Y835" s="3"/>
      <c r="Z835" s="3"/>
      <c r="AA835" s="3"/>
      <c r="AB835" s="3"/>
      <c r="AC835" s="3"/>
    </row>
    <row r="836" ht="14.25" customHeight="1">
      <c r="W836" s="3"/>
      <c r="X836" s="3"/>
      <c r="Y836" s="3"/>
      <c r="Z836" s="3"/>
      <c r="AA836" s="3"/>
      <c r="AB836" s="3"/>
      <c r="AC836" s="3"/>
    </row>
    <row r="837" ht="14.25" customHeight="1">
      <c r="W837" s="3"/>
      <c r="X837" s="3"/>
      <c r="Y837" s="3"/>
      <c r="Z837" s="3"/>
      <c r="AA837" s="3"/>
      <c r="AB837" s="3"/>
      <c r="AC837" s="3"/>
    </row>
    <row r="838" ht="14.25" customHeight="1">
      <c r="W838" s="3"/>
      <c r="X838" s="3"/>
      <c r="Y838" s="3"/>
      <c r="Z838" s="3"/>
      <c r="AA838" s="3"/>
      <c r="AB838" s="3"/>
      <c r="AC838" s="3"/>
    </row>
    <row r="839" ht="14.25" customHeight="1">
      <c r="W839" s="3"/>
      <c r="X839" s="3"/>
      <c r="Y839" s="3"/>
      <c r="Z839" s="3"/>
      <c r="AA839" s="3"/>
      <c r="AB839" s="3"/>
      <c r="AC839" s="3"/>
    </row>
    <row r="840" ht="14.25" customHeight="1">
      <c r="W840" s="3"/>
      <c r="X840" s="3"/>
      <c r="Y840" s="3"/>
      <c r="Z840" s="3"/>
      <c r="AA840" s="3"/>
      <c r="AB840" s="3"/>
      <c r="AC840" s="3"/>
    </row>
    <row r="841" ht="14.25" customHeight="1">
      <c r="W841" s="3"/>
      <c r="X841" s="3"/>
      <c r="Y841" s="3"/>
      <c r="Z841" s="3"/>
      <c r="AA841" s="3"/>
      <c r="AB841" s="3"/>
      <c r="AC841" s="3"/>
    </row>
    <row r="842" ht="14.25" customHeight="1">
      <c r="W842" s="3"/>
      <c r="X842" s="3"/>
      <c r="Y842" s="3"/>
      <c r="Z842" s="3"/>
      <c r="AA842" s="3"/>
      <c r="AB842" s="3"/>
      <c r="AC842" s="3"/>
    </row>
    <row r="843" ht="14.25" customHeight="1">
      <c r="W843" s="3"/>
      <c r="X843" s="3"/>
      <c r="Y843" s="3"/>
      <c r="Z843" s="3"/>
      <c r="AA843" s="3"/>
      <c r="AB843" s="3"/>
      <c r="AC843" s="3"/>
    </row>
    <row r="844" ht="14.25" customHeight="1">
      <c r="W844" s="3"/>
      <c r="X844" s="3"/>
      <c r="Y844" s="3"/>
      <c r="Z844" s="3"/>
      <c r="AA844" s="3"/>
      <c r="AB844" s="3"/>
      <c r="AC844" s="3"/>
    </row>
    <row r="845" ht="14.25" customHeight="1">
      <c r="W845" s="3"/>
      <c r="X845" s="3"/>
      <c r="Y845" s="3"/>
      <c r="Z845" s="3"/>
      <c r="AA845" s="3"/>
      <c r="AB845" s="3"/>
      <c r="AC845" s="3"/>
    </row>
    <row r="846" ht="14.25" customHeight="1">
      <c r="W846" s="3"/>
      <c r="X846" s="3"/>
      <c r="Y846" s="3"/>
      <c r="Z846" s="3"/>
      <c r="AA846" s="3"/>
      <c r="AB846" s="3"/>
      <c r="AC846" s="3"/>
    </row>
    <row r="847" ht="14.25" customHeight="1">
      <c r="W847" s="3"/>
      <c r="X847" s="3"/>
      <c r="Y847" s="3"/>
      <c r="Z847" s="3"/>
      <c r="AA847" s="3"/>
      <c r="AB847" s="3"/>
      <c r="AC847" s="3"/>
    </row>
    <row r="848" ht="14.25" customHeight="1">
      <c r="W848" s="3"/>
      <c r="X848" s="3"/>
      <c r="Y848" s="3"/>
      <c r="Z848" s="3"/>
      <c r="AA848" s="3"/>
      <c r="AB848" s="3"/>
      <c r="AC848" s="3"/>
    </row>
    <row r="849" ht="14.25" customHeight="1">
      <c r="W849" s="3"/>
      <c r="X849" s="3"/>
      <c r="Y849" s="3"/>
      <c r="Z849" s="3"/>
      <c r="AA849" s="3"/>
      <c r="AB849" s="3"/>
      <c r="AC849" s="3"/>
    </row>
    <row r="850" ht="14.25" customHeight="1">
      <c r="W850" s="3"/>
      <c r="X850" s="3"/>
      <c r="Y850" s="3"/>
      <c r="Z850" s="3"/>
      <c r="AA850" s="3"/>
      <c r="AB850" s="3"/>
      <c r="AC850" s="3"/>
    </row>
    <row r="851" ht="14.25" customHeight="1">
      <c r="W851" s="3"/>
      <c r="X851" s="3"/>
      <c r="Y851" s="3"/>
      <c r="Z851" s="3"/>
      <c r="AA851" s="3"/>
      <c r="AB851" s="3"/>
      <c r="AC851" s="3"/>
    </row>
    <row r="852" ht="14.25" customHeight="1">
      <c r="W852" s="3"/>
      <c r="X852" s="3"/>
      <c r="Y852" s="3"/>
      <c r="Z852" s="3"/>
      <c r="AA852" s="3"/>
      <c r="AB852" s="3"/>
      <c r="AC852" s="3"/>
    </row>
    <row r="853" ht="14.25" customHeight="1">
      <c r="W853" s="3"/>
      <c r="X853" s="3"/>
      <c r="Y853" s="3"/>
      <c r="Z853" s="3"/>
      <c r="AA853" s="3"/>
      <c r="AB853" s="3"/>
      <c r="AC853" s="3"/>
    </row>
    <row r="854" ht="14.25" customHeight="1">
      <c r="W854" s="3"/>
      <c r="X854" s="3"/>
      <c r="Y854" s="3"/>
      <c r="Z854" s="3"/>
      <c r="AA854" s="3"/>
      <c r="AB854" s="3"/>
      <c r="AC854" s="3"/>
    </row>
    <row r="855" ht="14.25" customHeight="1">
      <c r="W855" s="3"/>
      <c r="X855" s="3"/>
      <c r="Y855" s="3"/>
      <c r="Z855" s="3"/>
      <c r="AA855" s="3"/>
      <c r="AB855" s="3"/>
      <c r="AC855" s="3"/>
    </row>
    <row r="856" ht="14.25" customHeight="1">
      <c r="W856" s="3"/>
      <c r="X856" s="3"/>
      <c r="Y856" s="3"/>
      <c r="Z856" s="3"/>
      <c r="AA856" s="3"/>
      <c r="AB856" s="3"/>
      <c r="AC856" s="3"/>
    </row>
    <row r="857" ht="14.25" customHeight="1">
      <c r="W857" s="3"/>
      <c r="X857" s="3"/>
      <c r="Y857" s="3"/>
      <c r="Z857" s="3"/>
      <c r="AA857" s="3"/>
      <c r="AB857" s="3"/>
      <c r="AC857" s="3"/>
    </row>
    <row r="858" ht="14.25" customHeight="1">
      <c r="W858" s="3"/>
      <c r="X858" s="3"/>
      <c r="Y858" s="3"/>
      <c r="Z858" s="3"/>
      <c r="AA858" s="3"/>
      <c r="AB858" s="3"/>
      <c r="AC858" s="3"/>
    </row>
    <row r="859" ht="14.25" customHeight="1">
      <c r="W859" s="3"/>
      <c r="X859" s="3"/>
      <c r="Y859" s="3"/>
      <c r="Z859" s="3"/>
      <c r="AA859" s="3"/>
      <c r="AB859" s="3"/>
      <c r="AC859" s="3"/>
    </row>
    <row r="860" ht="14.25" customHeight="1">
      <c r="W860" s="3"/>
      <c r="X860" s="3"/>
      <c r="Y860" s="3"/>
      <c r="Z860" s="3"/>
      <c r="AA860" s="3"/>
      <c r="AB860" s="3"/>
      <c r="AC860" s="3"/>
    </row>
    <row r="861" ht="14.25" customHeight="1">
      <c r="W861" s="3"/>
      <c r="X861" s="3"/>
      <c r="Y861" s="3"/>
      <c r="Z861" s="3"/>
      <c r="AA861" s="3"/>
      <c r="AB861" s="3"/>
      <c r="AC861" s="3"/>
    </row>
    <row r="862" ht="14.25" customHeight="1">
      <c r="W862" s="3"/>
      <c r="X862" s="3"/>
      <c r="Y862" s="3"/>
      <c r="Z862" s="3"/>
      <c r="AA862" s="3"/>
      <c r="AB862" s="3"/>
      <c r="AC862" s="3"/>
    </row>
    <row r="863" ht="14.25" customHeight="1">
      <c r="W863" s="3"/>
      <c r="X863" s="3"/>
      <c r="Y863" s="3"/>
      <c r="Z863" s="3"/>
      <c r="AA863" s="3"/>
      <c r="AB863" s="3"/>
      <c r="AC863" s="3"/>
    </row>
    <row r="864" ht="14.25" customHeight="1">
      <c r="W864" s="3"/>
      <c r="X864" s="3"/>
      <c r="Y864" s="3"/>
      <c r="Z864" s="3"/>
      <c r="AA864" s="3"/>
      <c r="AB864" s="3"/>
      <c r="AC864" s="3"/>
    </row>
    <row r="865" ht="14.25" customHeight="1">
      <c r="W865" s="3"/>
      <c r="X865" s="3"/>
      <c r="Y865" s="3"/>
      <c r="Z865" s="3"/>
      <c r="AA865" s="3"/>
      <c r="AB865" s="3"/>
      <c r="AC865" s="3"/>
    </row>
    <row r="866" ht="14.25" customHeight="1">
      <c r="W866" s="3"/>
      <c r="X866" s="3"/>
      <c r="Y866" s="3"/>
      <c r="Z866" s="3"/>
      <c r="AA866" s="3"/>
      <c r="AB866" s="3"/>
      <c r="AC866" s="3"/>
    </row>
    <row r="867" ht="14.25" customHeight="1">
      <c r="W867" s="3"/>
      <c r="X867" s="3"/>
      <c r="Y867" s="3"/>
      <c r="Z867" s="3"/>
      <c r="AA867" s="3"/>
      <c r="AB867" s="3"/>
      <c r="AC867" s="3"/>
    </row>
    <row r="868" ht="14.25" customHeight="1">
      <c r="W868" s="3"/>
      <c r="X868" s="3"/>
      <c r="Y868" s="3"/>
      <c r="Z868" s="3"/>
      <c r="AA868" s="3"/>
      <c r="AB868" s="3"/>
      <c r="AC868" s="3"/>
    </row>
    <row r="869" ht="14.25" customHeight="1">
      <c r="W869" s="3"/>
      <c r="X869" s="3"/>
      <c r="Y869" s="3"/>
      <c r="Z869" s="3"/>
      <c r="AA869" s="3"/>
      <c r="AB869" s="3"/>
      <c r="AC869" s="3"/>
    </row>
    <row r="870" ht="14.25" customHeight="1">
      <c r="W870" s="3"/>
      <c r="X870" s="3"/>
      <c r="Y870" s="3"/>
      <c r="Z870" s="3"/>
      <c r="AA870" s="3"/>
      <c r="AB870" s="3"/>
      <c r="AC870" s="3"/>
    </row>
    <row r="871" ht="14.25" customHeight="1">
      <c r="W871" s="3"/>
      <c r="X871" s="3"/>
      <c r="Y871" s="3"/>
      <c r="Z871" s="3"/>
      <c r="AA871" s="3"/>
      <c r="AB871" s="3"/>
      <c r="AC871" s="3"/>
    </row>
    <row r="872" ht="14.25" customHeight="1">
      <c r="W872" s="3"/>
      <c r="X872" s="3"/>
      <c r="Y872" s="3"/>
      <c r="Z872" s="3"/>
      <c r="AA872" s="3"/>
      <c r="AB872" s="3"/>
      <c r="AC872" s="3"/>
    </row>
    <row r="873" ht="14.25" customHeight="1">
      <c r="W873" s="3"/>
      <c r="X873" s="3"/>
      <c r="Y873" s="3"/>
      <c r="Z873" s="3"/>
      <c r="AA873" s="3"/>
      <c r="AB873" s="3"/>
      <c r="AC873" s="3"/>
    </row>
    <row r="874" ht="14.25" customHeight="1">
      <c r="W874" s="3"/>
      <c r="X874" s="3"/>
      <c r="Y874" s="3"/>
      <c r="Z874" s="3"/>
      <c r="AA874" s="3"/>
      <c r="AB874" s="3"/>
      <c r="AC874" s="3"/>
    </row>
    <row r="875" ht="14.25" customHeight="1">
      <c r="W875" s="3"/>
      <c r="X875" s="3"/>
      <c r="Y875" s="3"/>
      <c r="Z875" s="3"/>
      <c r="AA875" s="3"/>
      <c r="AB875" s="3"/>
      <c r="AC875" s="3"/>
    </row>
    <row r="876" ht="14.25" customHeight="1">
      <c r="W876" s="3"/>
      <c r="X876" s="3"/>
      <c r="Y876" s="3"/>
      <c r="Z876" s="3"/>
      <c r="AA876" s="3"/>
      <c r="AB876" s="3"/>
      <c r="AC876" s="3"/>
    </row>
    <row r="877" ht="14.25" customHeight="1">
      <c r="W877" s="3"/>
      <c r="X877" s="3"/>
      <c r="Y877" s="3"/>
      <c r="Z877" s="3"/>
      <c r="AA877" s="3"/>
      <c r="AB877" s="3"/>
      <c r="AC877" s="3"/>
    </row>
    <row r="878" ht="14.25" customHeight="1">
      <c r="W878" s="3"/>
      <c r="X878" s="3"/>
      <c r="Y878" s="3"/>
      <c r="Z878" s="3"/>
      <c r="AA878" s="3"/>
      <c r="AB878" s="3"/>
      <c r="AC878" s="3"/>
    </row>
    <row r="879" ht="14.25" customHeight="1">
      <c r="W879" s="3"/>
      <c r="X879" s="3"/>
      <c r="Y879" s="3"/>
      <c r="Z879" s="3"/>
      <c r="AA879" s="3"/>
      <c r="AB879" s="3"/>
      <c r="AC879" s="3"/>
    </row>
    <row r="880" ht="14.25" customHeight="1">
      <c r="W880" s="3"/>
      <c r="X880" s="3"/>
      <c r="Y880" s="3"/>
      <c r="Z880" s="3"/>
      <c r="AA880" s="3"/>
      <c r="AB880" s="3"/>
      <c r="AC880" s="3"/>
    </row>
    <row r="881" ht="14.25" customHeight="1">
      <c r="W881" s="3"/>
      <c r="X881" s="3"/>
      <c r="Y881" s="3"/>
      <c r="Z881" s="3"/>
      <c r="AA881" s="3"/>
      <c r="AB881" s="3"/>
      <c r="AC881" s="3"/>
    </row>
    <row r="882" ht="14.25" customHeight="1">
      <c r="W882" s="3"/>
      <c r="X882" s="3"/>
      <c r="Y882" s="3"/>
      <c r="Z882" s="3"/>
      <c r="AA882" s="3"/>
      <c r="AB882" s="3"/>
      <c r="AC882" s="3"/>
    </row>
    <row r="883" ht="14.25" customHeight="1">
      <c r="W883" s="3"/>
      <c r="X883" s="3"/>
      <c r="Y883" s="3"/>
      <c r="Z883" s="3"/>
      <c r="AA883" s="3"/>
      <c r="AB883" s="3"/>
      <c r="AC883" s="3"/>
    </row>
    <row r="884" ht="14.25" customHeight="1">
      <c r="W884" s="3"/>
      <c r="X884" s="3"/>
      <c r="Y884" s="3"/>
      <c r="Z884" s="3"/>
      <c r="AA884" s="3"/>
      <c r="AB884" s="3"/>
      <c r="AC884" s="3"/>
    </row>
    <row r="885" ht="14.25" customHeight="1">
      <c r="W885" s="3"/>
      <c r="X885" s="3"/>
      <c r="Y885" s="3"/>
      <c r="Z885" s="3"/>
      <c r="AA885" s="3"/>
      <c r="AB885" s="3"/>
      <c r="AC885" s="3"/>
    </row>
    <row r="886" ht="14.25" customHeight="1">
      <c r="W886" s="3"/>
      <c r="X886" s="3"/>
      <c r="Y886" s="3"/>
      <c r="Z886" s="3"/>
      <c r="AA886" s="3"/>
      <c r="AB886" s="3"/>
      <c r="AC886" s="3"/>
    </row>
    <row r="887" ht="14.25" customHeight="1">
      <c r="W887" s="3"/>
      <c r="X887" s="3"/>
      <c r="Y887" s="3"/>
      <c r="Z887" s="3"/>
      <c r="AA887" s="3"/>
      <c r="AB887" s="3"/>
      <c r="AC887" s="3"/>
    </row>
    <row r="888" ht="14.25" customHeight="1">
      <c r="W888" s="3"/>
      <c r="X888" s="3"/>
      <c r="Y888" s="3"/>
      <c r="Z888" s="3"/>
      <c r="AA888" s="3"/>
      <c r="AB888" s="3"/>
      <c r="AC888" s="3"/>
    </row>
    <row r="889" ht="14.25" customHeight="1">
      <c r="W889" s="3"/>
      <c r="X889" s="3"/>
      <c r="Y889" s="3"/>
      <c r="Z889" s="3"/>
      <c r="AA889" s="3"/>
      <c r="AB889" s="3"/>
      <c r="AC889" s="3"/>
    </row>
    <row r="890" ht="14.25" customHeight="1">
      <c r="W890" s="3"/>
      <c r="X890" s="3"/>
      <c r="Y890" s="3"/>
      <c r="Z890" s="3"/>
      <c r="AA890" s="3"/>
      <c r="AB890" s="3"/>
      <c r="AC890" s="3"/>
    </row>
    <row r="891" ht="14.25" customHeight="1">
      <c r="W891" s="3"/>
      <c r="X891" s="3"/>
      <c r="Y891" s="3"/>
      <c r="Z891" s="3"/>
      <c r="AA891" s="3"/>
      <c r="AB891" s="3"/>
      <c r="AC891" s="3"/>
    </row>
    <row r="892" ht="14.25" customHeight="1">
      <c r="W892" s="3"/>
      <c r="X892" s="3"/>
      <c r="Y892" s="3"/>
      <c r="Z892" s="3"/>
      <c r="AA892" s="3"/>
      <c r="AB892" s="3"/>
      <c r="AC892" s="3"/>
    </row>
    <row r="893" ht="14.25" customHeight="1">
      <c r="W893" s="3"/>
      <c r="X893" s="3"/>
      <c r="Y893" s="3"/>
      <c r="Z893" s="3"/>
      <c r="AA893" s="3"/>
      <c r="AB893" s="3"/>
      <c r="AC893" s="3"/>
    </row>
    <row r="894" ht="14.25" customHeight="1">
      <c r="W894" s="3"/>
      <c r="X894" s="3"/>
      <c r="Y894" s="3"/>
      <c r="Z894" s="3"/>
      <c r="AA894" s="3"/>
      <c r="AB894" s="3"/>
      <c r="AC894" s="3"/>
    </row>
    <row r="895" ht="14.25" customHeight="1">
      <c r="W895" s="3"/>
      <c r="X895" s="3"/>
      <c r="Y895" s="3"/>
      <c r="Z895" s="3"/>
      <c r="AA895" s="3"/>
      <c r="AB895" s="3"/>
      <c r="AC895" s="3"/>
    </row>
    <row r="896" ht="14.25" customHeight="1">
      <c r="W896" s="3"/>
      <c r="X896" s="3"/>
      <c r="Y896" s="3"/>
      <c r="Z896" s="3"/>
      <c r="AA896" s="3"/>
      <c r="AB896" s="3"/>
      <c r="AC896" s="3"/>
    </row>
    <row r="897" ht="14.25" customHeight="1">
      <c r="W897" s="3"/>
      <c r="X897" s="3"/>
      <c r="Y897" s="3"/>
      <c r="Z897" s="3"/>
      <c r="AA897" s="3"/>
      <c r="AB897" s="3"/>
      <c r="AC897" s="3"/>
    </row>
    <row r="898" ht="14.25" customHeight="1">
      <c r="W898" s="3"/>
      <c r="X898" s="3"/>
      <c r="Y898" s="3"/>
      <c r="Z898" s="3"/>
      <c r="AA898" s="3"/>
      <c r="AB898" s="3"/>
      <c r="AC898" s="3"/>
    </row>
    <row r="899" ht="14.25" customHeight="1">
      <c r="W899" s="3"/>
      <c r="X899" s="3"/>
      <c r="Y899" s="3"/>
      <c r="Z899" s="3"/>
      <c r="AA899" s="3"/>
      <c r="AB899" s="3"/>
      <c r="AC899" s="3"/>
    </row>
    <row r="900" ht="14.25" customHeight="1">
      <c r="W900" s="3"/>
      <c r="X900" s="3"/>
      <c r="Y900" s="3"/>
      <c r="Z900" s="3"/>
      <c r="AA900" s="3"/>
      <c r="AB900" s="3"/>
      <c r="AC900" s="3"/>
    </row>
    <row r="901" ht="14.25" customHeight="1">
      <c r="W901" s="3"/>
      <c r="X901" s="3"/>
      <c r="Y901" s="3"/>
      <c r="Z901" s="3"/>
      <c r="AA901" s="3"/>
      <c r="AB901" s="3"/>
      <c r="AC901" s="3"/>
    </row>
    <row r="902" ht="14.25" customHeight="1">
      <c r="W902" s="3"/>
      <c r="X902" s="3"/>
      <c r="Y902" s="3"/>
      <c r="Z902" s="3"/>
      <c r="AA902" s="3"/>
      <c r="AB902" s="3"/>
      <c r="AC902" s="3"/>
    </row>
    <row r="903" ht="14.25" customHeight="1">
      <c r="W903" s="3"/>
      <c r="X903" s="3"/>
      <c r="Y903" s="3"/>
      <c r="Z903" s="3"/>
      <c r="AA903" s="3"/>
      <c r="AB903" s="3"/>
      <c r="AC903" s="3"/>
    </row>
    <row r="904" ht="14.25" customHeight="1">
      <c r="W904" s="3"/>
      <c r="X904" s="3"/>
      <c r="Y904" s="3"/>
      <c r="Z904" s="3"/>
      <c r="AA904" s="3"/>
      <c r="AB904" s="3"/>
      <c r="AC904" s="3"/>
    </row>
    <row r="905" ht="14.25" customHeight="1">
      <c r="W905" s="3"/>
      <c r="X905" s="3"/>
      <c r="Y905" s="3"/>
      <c r="Z905" s="3"/>
      <c r="AA905" s="3"/>
      <c r="AB905" s="3"/>
      <c r="AC905" s="3"/>
    </row>
    <row r="906" ht="14.25" customHeight="1">
      <c r="W906" s="3"/>
      <c r="X906" s="3"/>
      <c r="Y906" s="3"/>
      <c r="Z906" s="3"/>
      <c r="AA906" s="3"/>
      <c r="AB906" s="3"/>
      <c r="AC906" s="3"/>
    </row>
    <row r="907" ht="14.25" customHeight="1">
      <c r="W907" s="3"/>
      <c r="X907" s="3"/>
      <c r="Y907" s="3"/>
      <c r="Z907" s="3"/>
      <c r="AA907" s="3"/>
      <c r="AB907" s="3"/>
      <c r="AC907" s="3"/>
    </row>
    <row r="908" ht="14.25" customHeight="1">
      <c r="W908" s="3"/>
      <c r="X908" s="3"/>
      <c r="Y908" s="3"/>
      <c r="Z908" s="3"/>
      <c r="AA908" s="3"/>
      <c r="AB908" s="3"/>
      <c r="AC908" s="3"/>
    </row>
    <row r="909" ht="14.25" customHeight="1">
      <c r="W909" s="3"/>
      <c r="X909" s="3"/>
      <c r="Y909" s="3"/>
      <c r="Z909" s="3"/>
      <c r="AA909" s="3"/>
      <c r="AB909" s="3"/>
      <c r="AC909" s="3"/>
    </row>
    <row r="910" ht="14.25" customHeight="1">
      <c r="W910" s="3"/>
      <c r="X910" s="3"/>
      <c r="Y910" s="3"/>
      <c r="Z910" s="3"/>
      <c r="AA910" s="3"/>
      <c r="AB910" s="3"/>
      <c r="AC910" s="3"/>
    </row>
    <row r="911" ht="14.25" customHeight="1">
      <c r="W911" s="3"/>
      <c r="X911" s="3"/>
      <c r="Y911" s="3"/>
      <c r="Z911" s="3"/>
      <c r="AA911" s="3"/>
      <c r="AB911" s="3"/>
      <c r="AC911" s="3"/>
    </row>
    <row r="912" ht="14.25" customHeight="1">
      <c r="W912" s="3"/>
      <c r="X912" s="3"/>
      <c r="Y912" s="3"/>
      <c r="Z912" s="3"/>
      <c r="AA912" s="3"/>
      <c r="AB912" s="3"/>
      <c r="AC912" s="3"/>
    </row>
    <row r="913" ht="14.25" customHeight="1">
      <c r="W913" s="3"/>
      <c r="X913" s="3"/>
      <c r="Y913" s="3"/>
      <c r="Z913" s="3"/>
      <c r="AA913" s="3"/>
      <c r="AB913" s="3"/>
      <c r="AC913" s="3"/>
    </row>
    <row r="914" ht="14.25" customHeight="1">
      <c r="W914" s="3"/>
      <c r="X914" s="3"/>
      <c r="Y914" s="3"/>
      <c r="Z914" s="3"/>
      <c r="AA914" s="3"/>
      <c r="AB914" s="3"/>
      <c r="AC914" s="3"/>
    </row>
    <row r="915" ht="14.25" customHeight="1">
      <c r="W915" s="3"/>
      <c r="X915" s="3"/>
      <c r="Y915" s="3"/>
      <c r="Z915" s="3"/>
      <c r="AA915" s="3"/>
      <c r="AB915" s="3"/>
      <c r="AC915" s="3"/>
    </row>
    <row r="916" ht="14.25" customHeight="1">
      <c r="W916" s="3"/>
      <c r="X916" s="3"/>
      <c r="Y916" s="3"/>
      <c r="Z916" s="3"/>
      <c r="AA916" s="3"/>
      <c r="AB916" s="3"/>
      <c r="AC916" s="3"/>
    </row>
    <row r="917" ht="14.25" customHeight="1">
      <c r="W917" s="3"/>
      <c r="X917" s="3"/>
      <c r="Y917" s="3"/>
      <c r="Z917" s="3"/>
      <c r="AA917" s="3"/>
      <c r="AB917" s="3"/>
      <c r="AC917" s="3"/>
    </row>
    <row r="918" ht="14.25" customHeight="1">
      <c r="W918" s="3"/>
      <c r="X918" s="3"/>
      <c r="Y918" s="3"/>
      <c r="Z918" s="3"/>
      <c r="AA918" s="3"/>
      <c r="AB918" s="3"/>
      <c r="AC918" s="3"/>
    </row>
    <row r="919" ht="14.25" customHeight="1">
      <c r="W919" s="3"/>
      <c r="X919" s="3"/>
      <c r="Y919" s="3"/>
      <c r="Z919" s="3"/>
      <c r="AA919" s="3"/>
      <c r="AB919" s="3"/>
      <c r="AC919" s="3"/>
    </row>
    <row r="920" ht="14.25" customHeight="1">
      <c r="W920" s="3"/>
      <c r="X920" s="3"/>
      <c r="Y920" s="3"/>
      <c r="Z920" s="3"/>
      <c r="AA920" s="3"/>
      <c r="AB920" s="3"/>
      <c r="AC920" s="3"/>
    </row>
    <row r="921" ht="14.25" customHeight="1">
      <c r="W921" s="3"/>
      <c r="X921" s="3"/>
      <c r="Y921" s="3"/>
      <c r="Z921" s="3"/>
      <c r="AA921" s="3"/>
      <c r="AB921" s="3"/>
      <c r="AC921" s="3"/>
    </row>
    <row r="922" ht="14.25" customHeight="1">
      <c r="W922" s="3"/>
      <c r="X922" s="3"/>
      <c r="Y922" s="3"/>
      <c r="Z922" s="3"/>
      <c r="AA922" s="3"/>
      <c r="AB922" s="3"/>
      <c r="AC922" s="3"/>
    </row>
    <row r="923" ht="14.25" customHeight="1">
      <c r="W923" s="3"/>
      <c r="X923" s="3"/>
      <c r="Y923" s="3"/>
      <c r="Z923" s="3"/>
      <c r="AA923" s="3"/>
      <c r="AB923" s="3"/>
      <c r="AC923" s="3"/>
    </row>
    <row r="924" ht="14.25" customHeight="1">
      <c r="W924" s="3"/>
      <c r="X924" s="3"/>
      <c r="Y924" s="3"/>
      <c r="Z924" s="3"/>
      <c r="AA924" s="3"/>
      <c r="AB924" s="3"/>
      <c r="AC924" s="3"/>
    </row>
    <row r="925" ht="14.25" customHeight="1">
      <c r="W925" s="3"/>
      <c r="X925" s="3"/>
      <c r="Y925" s="3"/>
      <c r="Z925" s="3"/>
      <c r="AA925" s="3"/>
      <c r="AB925" s="3"/>
      <c r="AC925" s="3"/>
    </row>
    <row r="926" ht="14.25" customHeight="1">
      <c r="W926" s="3"/>
      <c r="X926" s="3"/>
      <c r="Y926" s="3"/>
      <c r="Z926" s="3"/>
      <c r="AA926" s="3"/>
      <c r="AB926" s="3"/>
      <c r="AC926" s="3"/>
    </row>
    <row r="927" ht="14.25" customHeight="1">
      <c r="W927" s="3"/>
      <c r="X927" s="3"/>
      <c r="Y927" s="3"/>
      <c r="Z927" s="3"/>
      <c r="AA927" s="3"/>
      <c r="AB927" s="3"/>
      <c r="AC927" s="3"/>
    </row>
    <row r="928" ht="14.25" customHeight="1">
      <c r="W928" s="3"/>
      <c r="X928" s="3"/>
      <c r="Y928" s="3"/>
      <c r="Z928" s="3"/>
      <c r="AA928" s="3"/>
      <c r="AB928" s="3"/>
      <c r="AC928" s="3"/>
    </row>
    <row r="929" ht="14.25" customHeight="1">
      <c r="W929" s="3"/>
      <c r="X929" s="3"/>
      <c r="Y929" s="3"/>
      <c r="Z929" s="3"/>
      <c r="AA929" s="3"/>
      <c r="AB929" s="3"/>
      <c r="AC929" s="3"/>
    </row>
    <row r="930" ht="14.25" customHeight="1">
      <c r="W930" s="3"/>
      <c r="X930" s="3"/>
      <c r="Y930" s="3"/>
      <c r="Z930" s="3"/>
      <c r="AA930" s="3"/>
      <c r="AB930" s="3"/>
      <c r="AC930" s="3"/>
    </row>
    <row r="931" ht="14.25" customHeight="1">
      <c r="W931" s="3"/>
      <c r="X931" s="3"/>
      <c r="Y931" s="3"/>
      <c r="Z931" s="3"/>
      <c r="AA931" s="3"/>
      <c r="AB931" s="3"/>
      <c r="AC931" s="3"/>
    </row>
    <row r="932" ht="14.25" customHeight="1">
      <c r="W932" s="3"/>
      <c r="X932" s="3"/>
      <c r="Y932" s="3"/>
      <c r="Z932" s="3"/>
      <c r="AA932" s="3"/>
      <c r="AB932" s="3"/>
      <c r="AC932" s="3"/>
    </row>
    <row r="933" ht="14.25" customHeight="1">
      <c r="W933" s="3"/>
      <c r="X933" s="3"/>
      <c r="Y933" s="3"/>
      <c r="Z933" s="3"/>
      <c r="AA933" s="3"/>
      <c r="AB933" s="3"/>
      <c r="AC933" s="3"/>
    </row>
    <row r="934" ht="14.25" customHeight="1">
      <c r="W934" s="3"/>
      <c r="X934" s="3"/>
      <c r="Y934" s="3"/>
      <c r="Z934" s="3"/>
      <c r="AA934" s="3"/>
      <c r="AB934" s="3"/>
      <c r="AC934" s="3"/>
    </row>
    <row r="935" ht="14.25" customHeight="1">
      <c r="W935" s="3"/>
      <c r="X935" s="3"/>
      <c r="Y935" s="3"/>
      <c r="Z935" s="3"/>
      <c r="AA935" s="3"/>
      <c r="AB935" s="3"/>
      <c r="AC935" s="3"/>
    </row>
    <row r="936" ht="14.25" customHeight="1">
      <c r="W936" s="3"/>
      <c r="X936" s="3"/>
      <c r="Y936" s="3"/>
      <c r="Z936" s="3"/>
      <c r="AA936" s="3"/>
      <c r="AB936" s="3"/>
      <c r="AC936" s="3"/>
    </row>
    <row r="937" ht="14.25" customHeight="1">
      <c r="W937" s="3"/>
      <c r="X937" s="3"/>
      <c r="Y937" s="3"/>
      <c r="Z937" s="3"/>
      <c r="AA937" s="3"/>
      <c r="AB937" s="3"/>
      <c r="AC937" s="3"/>
    </row>
    <row r="938" ht="14.25" customHeight="1">
      <c r="W938" s="3"/>
      <c r="X938" s="3"/>
      <c r="Y938" s="3"/>
      <c r="Z938" s="3"/>
      <c r="AA938" s="3"/>
      <c r="AB938" s="3"/>
      <c r="AC938" s="3"/>
    </row>
    <row r="939" ht="14.25" customHeight="1">
      <c r="W939" s="3"/>
      <c r="X939" s="3"/>
      <c r="Y939" s="3"/>
      <c r="Z939" s="3"/>
      <c r="AA939" s="3"/>
      <c r="AB939" s="3"/>
      <c r="AC939" s="3"/>
    </row>
    <row r="940" ht="14.25" customHeight="1">
      <c r="W940" s="3"/>
      <c r="X940" s="3"/>
      <c r="Y940" s="3"/>
      <c r="Z940" s="3"/>
      <c r="AA940" s="3"/>
      <c r="AB940" s="3"/>
      <c r="AC940" s="3"/>
    </row>
    <row r="941" ht="14.25" customHeight="1">
      <c r="W941" s="3"/>
      <c r="X941" s="3"/>
      <c r="Y941" s="3"/>
      <c r="Z941" s="3"/>
      <c r="AA941" s="3"/>
      <c r="AB941" s="3"/>
      <c r="AC941" s="3"/>
    </row>
    <row r="942" ht="14.25" customHeight="1">
      <c r="W942" s="3"/>
      <c r="X942" s="3"/>
      <c r="Y942" s="3"/>
      <c r="Z942" s="3"/>
      <c r="AA942" s="3"/>
      <c r="AB942" s="3"/>
      <c r="AC942" s="3"/>
    </row>
    <row r="943" ht="14.25" customHeight="1">
      <c r="W943" s="3"/>
      <c r="X943" s="3"/>
      <c r="Y943" s="3"/>
      <c r="Z943" s="3"/>
      <c r="AA943" s="3"/>
      <c r="AB943" s="3"/>
      <c r="AC943" s="3"/>
    </row>
    <row r="944" ht="14.25" customHeight="1">
      <c r="W944" s="3"/>
      <c r="X944" s="3"/>
      <c r="Y944" s="3"/>
      <c r="Z944" s="3"/>
      <c r="AA944" s="3"/>
      <c r="AB944" s="3"/>
      <c r="AC944" s="3"/>
    </row>
    <row r="945" ht="14.25" customHeight="1">
      <c r="W945" s="3"/>
      <c r="X945" s="3"/>
      <c r="Y945" s="3"/>
      <c r="Z945" s="3"/>
      <c r="AA945" s="3"/>
      <c r="AB945" s="3"/>
      <c r="AC945" s="3"/>
    </row>
    <row r="946" ht="14.25" customHeight="1">
      <c r="W946" s="3"/>
      <c r="X946" s="3"/>
      <c r="Y946" s="3"/>
      <c r="Z946" s="3"/>
      <c r="AA946" s="3"/>
      <c r="AB946" s="3"/>
      <c r="AC946" s="3"/>
    </row>
    <row r="947" ht="14.25" customHeight="1">
      <c r="W947" s="3"/>
      <c r="X947" s="3"/>
      <c r="Y947" s="3"/>
      <c r="Z947" s="3"/>
      <c r="AA947" s="3"/>
      <c r="AB947" s="3"/>
      <c r="AC947" s="3"/>
    </row>
    <row r="948" ht="14.25" customHeight="1">
      <c r="W948" s="3"/>
      <c r="X948" s="3"/>
      <c r="Y948" s="3"/>
      <c r="Z948" s="3"/>
      <c r="AA948" s="3"/>
      <c r="AB948" s="3"/>
      <c r="AC948" s="3"/>
    </row>
    <row r="949" ht="14.25" customHeight="1">
      <c r="W949" s="3"/>
      <c r="X949" s="3"/>
      <c r="Y949" s="3"/>
      <c r="Z949" s="3"/>
      <c r="AA949" s="3"/>
      <c r="AB949" s="3"/>
      <c r="AC949" s="3"/>
    </row>
    <row r="950" ht="14.25" customHeight="1">
      <c r="W950" s="3"/>
      <c r="X950" s="3"/>
      <c r="Y950" s="3"/>
      <c r="Z950" s="3"/>
      <c r="AA950" s="3"/>
      <c r="AB950" s="3"/>
      <c r="AC950" s="3"/>
    </row>
    <row r="951" ht="14.25" customHeight="1">
      <c r="W951" s="3"/>
      <c r="X951" s="3"/>
      <c r="Y951" s="3"/>
      <c r="Z951" s="3"/>
      <c r="AA951" s="3"/>
      <c r="AB951" s="3"/>
      <c r="AC951" s="3"/>
    </row>
    <row r="952" ht="14.25" customHeight="1">
      <c r="W952" s="3"/>
      <c r="X952" s="3"/>
      <c r="Y952" s="3"/>
      <c r="Z952" s="3"/>
      <c r="AA952" s="3"/>
      <c r="AB952" s="3"/>
      <c r="AC952" s="3"/>
    </row>
    <row r="953" ht="14.25" customHeight="1">
      <c r="W953" s="3"/>
      <c r="X953" s="3"/>
      <c r="Y953" s="3"/>
      <c r="Z953" s="3"/>
      <c r="AA953" s="3"/>
      <c r="AB953" s="3"/>
      <c r="AC953" s="3"/>
    </row>
    <row r="954" ht="14.25" customHeight="1">
      <c r="W954" s="3"/>
      <c r="X954" s="3"/>
      <c r="Y954" s="3"/>
      <c r="Z954" s="3"/>
      <c r="AA954" s="3"/>
      <c r="AB954" s="3"/>
      <c r="AC954" s="3"/>
    </row>
    <row r="955" ht="14.25" customHeight="1">
      <c r="W955" s="3"/>
      <c r="X955" s="3"/>
      <c r="Y955" s="3"/>
      <c r="Z955" s="3"/>
      <c r="AA955" s="3"/>
      <c r="AB955" s="3"/>
      <c r="AC955" s="3"/>
    </row>
    <row r="956" ht="14.25" customHeight="1">
      <c r="W956" s="3"/>
      <c r="X956" s="3"/>
      <c r="Y956" s="3"/>
      <c r="Z956" s="3"/>
      <c r="AA956" s="3"/>
      <c r="AB956" s="3"/>
      <c r="AC956" s="3"/>
    </row>
    <row r="957" ht="14.25" customHeight="1">
      <c r="W957" s="3"/>
      <c r="X957" s="3"/>
      <c r="Y957" s="3"/>
      <c r="Z957" s="3"/>
      <c r="AA957" s="3"/>
      <c r="AB957" s="3"/>
      <c r="AC957" s="3"/>
    </row>
    <row r="958" ht="14.25" customHeight="1">
      <c r="W958" s="3"/>
      <c r="X958" s="3"/>
      <c r="Y958" s="3"/>
      <c r="Z958" s="3"/>
      <c r="AA958" s="3"/>
      <c r="AB958" s="3"/>
      <c r="AC958" s="3"/>
    </row>
    <row r="959" ht="14.25" customHeight="1">
      <c r="W959" s="3"/>
      <c r="X959" s="3"/>
      <c r="Y959" s="3"/>
      <c r="Z959" s="3"/>
      <c r="AA959" s="3"/>
      <c r="AB959" s="3"/>
      <c r="AC959" s="3"/>
    </row>
    <row r="960" ht="14.25" customHeight="1">
      <c r="W960" s="3"/>
      <c r="X960" s="3"/>
      <c r="Y960" s="3"/>
      <c r="Z960" s="3"/>
      <c r="AA960" s="3"/>
      <c r="AB960" s="3"/>
      <c r="AC960" s="3"/>
    </row>
    <row r="961" ht="14.25" customHeight="1">
      <c r="W961" s="3"/>
      <c r="X961" s="3"/>
      <c r="Y961" s="3"/>
      <c r="Z961" s="3"/>
      <c r="AA961" s="3"/>
      <c r="AB961" s="3"/>
      <c r="AC961" s="3"/>
    </row>
    <row r="962" ht="14.25" customHeight="1">
      <c r="W962" s="3"/>
      <c r="X962" s="3"/>
      <c r="Y962" s="3"/>
      <c r="Z962" s="3"/>
      <c r="AA962" s="3"/>
      <c r="AB962" s="3"/>
      <c r="AC962" s="3"/>
    </row>
    <row r="963" ht="14.25" customHeight="1">
      <c r="W963" s="3"/>
      <c r="X963" s="3"/>
      <c r="Y963" s="3"/>
      <c r="Z963" s="3"/>
      <c r="AA963" s="3"/>
      <c r="AB963" s="3"/>
      <c r="AC963" s="3"/>
    </row>
    <row r="964" ht="14.25" customHeight="1">
      <c r="W964" s="3"/>
      <c r="X964" s="3"/>
      <c r="Y964" s="3"/>
      <c r="Z964" s="3"/>
      <c r="AA964" s="3"/>
      <c r="AB964" s="3"/>
      <c r="AC964" s="3"/>
    </row>
    <row r="965" ht="14.25" customHeight="1">
      <c r="W965" s="3"/>
      <c r="X965" s="3"/>
      <c r="Y965" s="3"/>
      <c r="Z965" s="3"/>
      <c r="AA965" s="3"/>
      <c r="AB965" s="3"/>
      <c r="AC965" s="3"/>
    </row>
    <row r="966" ht="14.25" customHeight="1">
      <c r="W966" s="3"/>
      <c r="X966" s="3"/>
      <c r="Y966" s="3"/>
      <c r="Z966" s="3"/>
      <c r="AA966" s="3"/>
      <c r="AB966" s="3"/>
      <c r="AC966" s="3"/>
    </row>
    <row r="967" ht="14.25" customHeight="1">
      <c r="W967" s="3"/>
      <c r="X967" s="3"/>
      <c r="Y967" s="3"/>
      <c r="Z967" s="3"/>
      <c r="AA967" s="3"/>
      <c r="AB967" s="3"/>
      <c r="AC967" s="3"/>
    </row>
    <row r="968" ht="14.25" customHeight="1">
      <c r="W968" s="3"/>
      <c r="X968" s="3"/>
      <c r="Y968" s="3"/>
      <c r="Z968" s="3"/>
      <c r="AA968" s="3"/>
      <c r="AB968" s="3"/>
      <c r="AC968" s="3"/>
    </row>
    <row r="969" ht="14.25" customHeight="1">
      <c r="W969" s="3"/>
      <c r="X969" s="3"/>
      <c r="Y969" s="3"/>
      <c r="Z969" s="3"/>
      <c r="AA969" s="3"/>
      <c r="AB969" s="3"/>
      <c r="AC969" s="3"/>
    </row>
    <row r="970" ht="14.25" customHeight="1">
      <c r="W970" s="3"/>
      <c r="X970" s="3"/>
      <c r="Y970" s="3"/>
      <c r="Z970" s="3"/>
      <c r="AA970" s="3"/>
      <c r="AB970" s="3"/>
      <c r="AC970" s="3"/>
    </row>
    <row r="971" ht="14.25" customHeight="1">
      <c r="W971" s="3"/>
      <c r="X971" s="3"/>
      <c r="Y971" s="3"/>
      <c r="Z971" s="3"/>
      <c r="AA971" s="3"/>
      <c r="AB971" s="3"/>
      <c r="AC971" s="3"/>
    </row>
    <row r="972" ht="14.25" customHeight="1">
      <c r="W972" s="3"/>
      <c r="X972" s="3"/>
      <c r="Y972" s="3"/>
      <c r="Z972" s="3"/>
      <c r="AA972" s="3"/>
      <c r="AB972" s="3"/>
      <c r="AC972" s="3"/>
    </row>
    <row r="973" ht="14.25" customHeight="1">
      <c r="W973" s="3"/>
      <c r="X973" s="3"/>
      <c r="Y973" s="3"/>
      <c r="Z973" s="3"/>
      <c r="AA973" s="3"/>
      <c r="AB973" s="3"/>
      <c r="AC973" s="3"/>
    </row>
    <row r="974" ht="14.25" customHeight="1">
      <c r="W974" s="3"/>
      <c r="X974" s="3"/>
      <c r="Y974" s="3"/>
      <c r="Z974" s="3"/>
      <c r="AA974" s="3"/>
      <c r="AB974" s="3"/>
      <c r="AC974" s="3"/>
    </row>
    <row r="975" ht="14.25" customHeight="1">
      <c r="W975" s="3"/>
      <c r="X975" s="3"/>
      <c r="Y975" s="3"/>
      <c r="Z975" s="3"/>
      <c r="AA975" s="3"/>
      <c r="AB975" s="3"/>
      <c r="AC975" s="3"/>
    </row>
    <row r="976" ht="14.25" customHeight="1">
      <c r="W976" s="3"/>
      <c r="X976" s="3"/>
      <c r="Y976" s="3"/>
      <c r="Z976" s="3"/>
      <c r="AA976" s="3"/>
      <c r="AB976" s="3"/>
      <c r="AC976" s="3"/>
    </row>
    <row r="977" ht="14.25" customHeight="1">
      <c r="W977" s="3"/>
      <c r="X977" s="3"/>
      <c r="Y977" s="3"/>
      <c r="Z977" s="3"/>
      <c r="AA977" s="3"/>
      <c r="AB977" s="3"/>
      <c r="AC977" s="3"/>
    </row>
    <row r="978" ht="14.25" customHeight="1">
      <c r="W978" s="3"/>
      <c r="X978" s="3"/>
      <c r="Y978" s="3"/>
      <c r="Z978" s="3"/>
      <c r="AA978" s="3"/>
      <c r="AB978" s="3"/>
      <c r="AC978" s="3"/>
    </row>
    <row r="979" ht="14.25" customHeight="1">
      <c r="W979" s="3"/>
      <c r="X979" s="3"/>
      <c r="Y979" s="3"/>
      <c r="Z979" s="3"/>
      <c r="AA979" s="3"/>
      <c r="AB979" s="3"/>
      <c r="AC979" s="3"/>
    </row>
    <row r="980" ht="14.25" customHeight="1">
      <c r="W980" s="3"/>
      <c r="X980" s="3"/>
      <c r="Y980" s="3"/>
      <c r="Z980" s="3"/>
      <c r="AA980" s="3"/>
      <c r="AB980" s="3"/>
      <c r="AC980" s="3"/>
    </row>
    <row r="981" ht="14.25" customHeight="1">
      <c r="W981" s="3"/>
      <c r="X981" s="3"/>
      <c r="Y981" s="3"/>
      <c r="Z981" s="3"/>
      <c r="AA981" s="3"/>
      <c r="AB981" s="3"/>
      <c r="AC981" s="3"/>
    </row>
    <row r="982" ht="14.25" customHeight="1">
      <c r="W982" s="3"/>
      <c r="X982" s="3"/>
      <c r="Y982" s="3"/>
      <c r="Z982" s="3"/>
      <c r="AA982" s="3"/>
      <c r="AB982" s="3"/>
      <c r="AC982" s="3"/>
    </row>
    <row r="983" ht="14.25" customHeight="1">
      <c r="W983" s="3"/>
      <c r="X983" s="3"/>
      <c r="Y983" s="3"/>
      <c r="Z983" s="3"/>
      <c r="AA983" s="3"/>
      <c r="AB983" s="3"/>
      <c r="AC983" s="3"/>
    </row>
    <row r="984" ht="14.25" customHeight="1">
      <c r="W984" s="3"/>
      <c r="X984" s="3"/>
      <c r="Y984" s="3"/>
      <c r="Z984" s="3"/>
      <c r="AA984" s="3"/>
      <c r="AB984" s="3"/>
      <c r="AC984" s="3"/>
    </row>
    <row r="985" ht="14.25" customHeight="1">
      <c r="W985" s="3"/>
      <c r="X985" s="3"/>
      <c r="Y985" s="3"/>
      <c r="Z985" s="3"/>
      <c r="AA985" s="3"/>
      <c r="AB985" s="3"/>
      <c r="AC985" s="3"/>
    </row>
    <row r="986" ht="14.25" customHeight="1">
      <c r="W986" s="3"/>
      <c r="X986" s="3"/>
      <c r="Y986" s="3"/>
      <c r="Z986" s="3"/>
      <c r="AA986" s="3"/>
      <c r="AB986" s="3"/>
      <c r="AC986" s="3"/>
    </row>
    <row r="987" ht="14.25" customHeight="1">
      <c r="W987" s="3"/>
      <c r="X987" s="3"/>
      <c r="Y987" s="3"/>
      <c r="Z987" s="3"/>
      <c r="AA987" s="3"/>
      <c r="AB987" s="3"/>
      <c r="AC987" s="3"/>
    </row>
    <row r="988" ht="14.25" customHeight="1">
      <c r="W988" s="3"/>
      <c r="X988" s="3"/>
      <c r="Y988" s="3"/>
      <c r="Z988" s="3"/>
      <c r="AA988" s="3"/>
      <c r="AB988" s="3"/>
      <c r="AC988" s="3"/>
    </row>
    <row r="989" ht="14.25" customHeight="1">
      <c r="W989" s="3"/>
      <c r="X989" s="3"/>
      <c r="Y989" s="3"/>
      <c r="Z989" s="3"/>
      <c r="AA989" s="3"/>
      <c r="AB989" s="3"/>
      <c r="AC989" s="3"/>
    </row>
    <row r="990" ht="14.25" customHeight="1">
      <c r="W990" s="3"/>
      <c r="X990" s="3"/>
      <c r="Y990" s="3"/>
      <c r="Z990" s="3"/>
      <c r="AA990" s="3"/>
      <c r="AB990" s="3"/>
      <c r="AC990" s="3"/>
    </row>
    <row r="991" ht="14.25" customHeight="1">
      <c r="W991" s="3"/>
      <c r="X991" s="3"/>
      <c r="Y991" s="3"/>
      <c r="Z991" s="3"/>
      <c r="AA991" s="3"/>
      <c r="AB991" s="3"/>
      <c r="AC991" s="3"/>
    </row>
    <row r="992" ht="14.25" customHeight="1">
      <c r="W992" s="3"/>
      <c r="X992" s="3"/>
      <c r="Y992" s="3"/>
      <c r="Z992" s="3"/>
      <c r="AA992" s="3"/>
      <c r="AB992" s="3"/>
      <c r="AC992" s="3"/>
    </row>
    <row r="993" ht="14.25" customHeight="1">
      <c r="W993" s="3"/>
      <c r="X993" s="3"/>
      <c r="Y993" s="3"/>
      <c r="Z993" s="3"/>
      <c r="AA993" s="3"/>
      <c r="AB993" s="3"/>
      <c r="AC993" s="3"/>
    </row>
    <row r="994" ht="14.25" customHeight="1">
      <c r="W994" s="3"/>
      <c r="X994" s="3"/>
      <c r="Y994" s="3"/>
      <c r="Z994" s="3"/>
      <c r="AA994" s="3"/>
      <c r="AB994" s="3"/>
      <c r="AC994" s="3"/>
    </row>
    <row r="995" ht="14.25" customHeight="1">
      <c r="W995" s="3"/>
      <c r="X995" s="3"/>
      <c r="Y995" s="3"/>
      <c r="Z995" s="3"/>
      <c r="AA995" s="3"/>
      <c r="AB995" s="3"/>
      <c r="AC995" s="3"/>
    </row>
    <row r="996" ht="14.25" customHeight="1">
      <c r="W996" s="3"/>
      <c r="X996" s="3"/>
      <c r="Y996" s="3"/>
      <c r="Z996" s="3"/>
      <c r="AA996" s="3"/>
      <c r="AB996" s="3"/>
      <c r="AC996" s="3"/>
    </row>
    <row r="997" ht="14.25" customHeight="1">
      <c r="W997" s="3"/>
      <c r="X997" s="3"/>
      <c r="Y997" s="3"/>
      <c r="Z997" s="3"/>
      <c r="AA997" s="3"/>
      <c r="AB997" s="3"/>
      <c r="AC997" s="3"/>
    </row>
    <row r="998" ht="14.25" customHeight="1">
      <c r="W998" s="3"/>
      <c r="X998" s="3"/>
      <c r="Y998" s="3"/>
      <c r="Z998" s="3"/>
      <c r="AA998" s="3"/>
      <c r="AB998" s="3"/>
      <c r="AC998" s="3"/>
    </row>
    <row r="999" ht="14.25" customHeight="1">
      <c r="W999" s="3"/>
      <c r="X999" s="3"/>
      <c r="Y999" s="3"/>
      <c r="Z999" s="3"/>
      <c r="AA999" s="3"/>
      <c r="AB999" s="3"/>
      <c r="AC999" s="3"/>
    </row>
    <row r="1000">
      <c r="W1000" s="3"/>
      <c r="X1000" s="3"/>
      <c r="Y1000" s="3"/>
      <c r="Z1000" s="3"/>
      <c r="AA1000" s="3"/>
      <c r="AB1000" s="3"/>
      <c r="AC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  <col customWidth="1" min="20" max="20" width="14.14"/>
    <col customWidth="1" min="2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126</v>
      </c>
      <c r="B2" s="3" t="s">
        <v>127</v>
      </c>
      <c r="C2" s="3" t="s">
        <v>128</v>
      </c>
      <c r="D2" s="3" t="s">
        <v>29</v>
      </c>
      <c r="E2" s="3">
        <v>260.0</v>
      </c>
      <c r="F2" s="3" t="s">
        <v>27</v>
      </c>
      <c r="G2" s="3">
        <v>287.4</v>
      </c>
      <c r="I2" s="3">
        <v>290.65</v>
      </c>
      <c r="K2" s="3">
        <v>0.0</v>
      </c>
      <c r="L2" s="3">
        <v>0.0</v>
      </c>
      <c r="M2" s="3" t="s">
        <v>30</v>
      </c>
      <c r="N2" s="3">
        <v>0.9958</v>
      </c>
      <c r="O2" s="3">
        <v>0.0</v>
      </c>
      <c r="P2" s="3">
        <v>5.6579</v>
      </c>
      <c r="Q2" s="3">
        <v>0.5563</v>
      </c>
      <c r="R2" s="3">
        <v>0.4351</v>
      </c>
      <c r="S2" s="3">
        <v>549.029976</v>
      </c>
      <c r="T2" s="3">
        <v>75.0</v>
      </c>
      <c r="U2" s="3">
        <f t="shared" ref="U2:U76" si="2">(I2+G2)*0.5</f>
        <v>289.025</v>
      </c>
      <c r="V2" s="3"/>
      <c r="W2" s="3">
        <f t="shared" ref="W2:W76" si="3">( S2*Z2 ) - ( E2 * EXP(-0.0007*T2/$AC$2) * AA2)</f>
        <v>289.1039965</v>
      </c>
      <c r="X2" s="3">
        <f t="shared" ref="X2:X76" si="4">((LN(S2/E2) + (0.0007 + (R2^2)/2) * T2/$AC$2)) / (R2 * SQRT(T2/$AC$2))</f>
        <v>3.268578929</v>
      </c>
      <c r="Y2" s="3">
        <f t="shared" ref="Y2:Y76" si="5">X2-(R2*SQRT(T2/$AC$2))</f>
        <v>3.031212419</v>
      </c>
      <c r="Z2" s="3">
        <f t="shared" ref="Z2:AA2" si="1">_xlfn.NORM.S.DIST(X2)</f>
        <v>0.9994595549</v>
      </c>
      <c r="AA2" s="3">
        <f t="shared" si="1"/>
        <v>0.9987821309</v>
      </c>
      <c r="AC2" s="6">
        <v>252.0</v>
      </c>
    </row>
    <row r="3" ht="14.25" customHeight="1">
      <c r="A3" s="3" t="s">
        <v>126</v>
      </c>
      <c r="B3" s="3" t="s">
        <v>127</v>
      </c>
      <c r="C3" s="3" t="s">
        <v>128</v>
      </c>
      <c r="D3" s="3" t="s">
        <v>29</v>
      </c>
      <c r="E3" s="3">
        <v>260.0</v>
      </c>
      <c r="F3" s="3" t="s">
        <v>27</v>
      </c>
      <c r="G3" s="3">
        <v>280.5</v>
      </c>
      <c r="I3" s="3">
        <v>284.2</v>
      </c>
      <c r="K3" s="3">
        <v>0.0</v>
      </c>
      <c r="L3" s="3">
        <v>0.0</v>
      </c>
      <c r="M3" s="3" t="s">
        <v>31</v>
      </c>
      <c r="N3" s="3">
        <v>1.0</v>
      </c>
      <c r="O3" s="3">
        <v>0.0</v>
      </c>
      <c r="P3" s="3">
        <v>-0.7938</v>
      </c>
      <c r="Q3" s="3">
        <v>0.013</v>
      </c>
      <c r="R3" s="3">
        <v>0.3261</v>
      </c>
      <c r="S3" s="3">
        <v>542.099991</v>
      </c>
      <c r="T3" s="3">
        <v>74.0</v>
      </c>
      <c r="U3" s="3">
        <f t="shared" si="2"/>
        <v>282.35</v>
      </c>
      <c r="V3" s="3"/>
      <c r="W3" s="3">
        <f t="shared" si="3"/>
        <v>282.1536605</v>
      </c>
      <c r="X3" s="3">
        <f t="shared" si="4"/>
        <v>4.247517918</v>
      </c>
      <c r="Y3" s="3">
        <f t="shared" si="5"/>
        <v>4.070805778</v>
      </c>
      <c r="Z3" s="3">
        <f t="shared" ref="Z3:AA3" si="6">_xlfn.NORM.S.DIST(X3)</f>
        <v>0.9999891924</v>
      </c>
      <c r="AA3" s="3">
        <f t="shared" si="6"/>
        <v>0.9999765746</v>
      </c>
    </row>
    <row r="4" ht="14.25" customHeight="1">
      <c r="A4" s="3" t="s">
        <v>126</v>
      </c>
      <c r="B4" s="3" t="s">
        <v>127</v>
      </c>
      <c r="C4" s="3" t="s">
        <v>128</v>
      </c>
      <c r="D4" s="3" t="s">
        <v>29</v>
      </c>
      <c r="E4" s="3">
        <v>260.0</v>
      </c>
      <c r="F4" s="3" t="s">
        <v>27</v>
      </c>
      <c r="G4" s="3">
        <v>265.2</v>
      </c>
      <c r="I4" s="3">
        <v>268.65</v>
      </c>
      <c r="K4" s="3">
        <v>0.0</v>
      </c>
      <c r="L4" s="3">
        <v>0.0</v>
      </c>
      <c r="M4" s="3" t="s">
        <v>32</v>
      </c>
      <c r="N4" s="3">
        <v>1.0</v>
      </c>
      <c r="O4" s="3">
        <v>0.0</v>
      </c>
      <c r="P4" s="3">
        <v>-0.8185</v>
      </c>
      <c r="Q4" s="3">
        <v>0.0535</v>
      </c>
      <c r="R4" s="3">
        <v>0.3447</v>
      </c>
      <c r="S4" s="3">
        <v>526.999992</v>
      </c>
      <c r="T4" s="3">
        <v>73.0</v>
      </c>
      <c r="U4" s="3">
        <f t="shared" si="2"/>
        <v>266.925</v>
      </c>
      <c r="V4" s="3"/>
      <c r="W4" s="3">
        <f t="shared" si="3"/>
        <v>267.0538282</v>
      </c>
      <c r="X4" s="3">
        <f t="shared" si="4"/>
        <v>3.90206947</v>
      </c>
      <c r="Y4" s="3">
        <f t="shared" si="5"/>
        <v>3.716544469</v>
      </c>
      <c r="Z4" s="3">
        <f t="shared" ref="Z4:AA4" si="7">_xlfn.NORM.S.DIST(X4)</f>
        <v>0.9999523131</v>
      </c>
      <c r="AA4" s="3">
        <f t="shared" si="7"/>
        <v>0.9998990169</v>
      </c>
    </row>
    <row r="5" ht="14.25" customHeight="1">
      <c r="A5" s="3" t="s">
        <v>126</v>
      </c>
      <c r="B5" s="3" t="s">
        <v>127</v>
      </c>
      <c r="C5" s="3" t="s">
        <v>128</v>
      </c>
      <c r="D5" s="3" t="s">
        <v>29</v>
      </c>
      <c r="E5" s="3">
        <v>260.0</v>
      </c>
      <c r="F5" s="3" t="s">
        <v>27</v>
      </c>
      <c r="G5" s="3">
        <v>263.3</v>
      </c>
      <c r="I5" s="3">
        <v>265.25</v>
      </c>
      <c r="K5" s="3">
        <v>1.0</v>
      </c>
      <c r="L5" s="3">
        <v>0.0</v>
      </c>
      <c r="M5" s="3" t="s">
        <v>33</v>
      </c>
      <c r="N5" s="3">
        <v>0.9999</v>
      </c>
      <c r="O5" s="3">
        <v>0.0</v>
      </c>
      <c r="P5" s="3">
        <v>-0.8398</v>
      </c>
      <c r="Q5" s="3">
        <v>0.0834</v>
      </c>
      <c r="R5" s="3">
        <v>0.3583</v>
      </c>
      <c r="S5" s="3">
        <v>523.900002</v>
      </c>
      <c r="T5" s="3">
        <v>72.0</v>
      </c>
      <c r="U5" s="3">
        <f t="shared" si="2"/>
        <v>264.275</v>
      </c>
      <c r="V5" s="3"/>
      <c r="W5" s="3">
        <f t="shared" si="3"/>
        <v>263.9541566</v>
      </c>
      <c r="X5" s="3">
        <f t="shared" si="4"/>
        <v>3.755019169</v>
      </c>
      <c r="Y5" s="3">
        <f t="shared" si="5"/>
        <v>3.563499763</v>
      </c>
      <c r="Z5" s="3">
        <f t="shared" ref="Z5:AA5" si="8">_xlfn.NORM.S.DIST(X5)</f>
        <v>0.9999133359</v>
      </c>
      <c r="AA5" s="3">
        <f t="shared" si="8"/>
        <v>0.9998170285</v>
      </c>
    </row>
    <row r="6" ht="14.25" customHeight="1">
      <c r="A6" s="3" t="s">
        <v>126</v>
      </c>
      <c r="B6" s="3" t="s">
        <v>127</v>
      </c>
      <c r="C6" s="3" t="s">
        <v>128</v>
      </c>
      <c r="D6" s="3" t="s">
        <v>29</v>
      </c>
      <c r="E6" s="3">
        <v>260.0</v>
      </c>
      <c r="F6" s="3" t="s">
        <v>27</v>
      </c>
      <c r="G6" s="3">
        <v>264.85</v>
      </c>
      <c r="I6" s="3">
        <v>266.9</v>
      </c>
      <c r="K6" s="3">
        <v>1.0</v>
      </c>
      <c r="L6" s="3">
        <v>1.0</v>
      </c>
      <c r="M6" s="3" t="s">
        <v>34</v>
      </c>
      <c r="N6" s="3">
        <v>1.0</v>
      </c>
      <c r="O6" s="3">
        <v>0.0</v>
      </c>
      <c r="P6" s="3">
        <v>-0.7926</v>
      </c>
      <c r="Q6" s="3">
        <v>0.0105</v>
      </c>
      <c r="R6" s="3">
        <v>0.3166</v>
      </c>
      <c r="S6" s="3">
        <v>525.31002</v>
      </c>
      <c r="T6" s="3">
        <v>71.0</v>
      </c>
      <c r="U6" s="3">
        <f t="shared" si="2"/>
        <v>265.875</v>
      </c>
      <c r="V6" s="3"/>
      <c r="W6" s="3">
        <f t="shared" si="3"/>
        <v>265.3614834</v>
      </c>
      <c r="X6" s="3">
        <f t="shared" si="4"/>
        <v>4.270291789</v>
      </c>
      <c r="Y6" s="3">
        <f t="shared" si="5"/>
        <v>4.102241287</v>
      </c>
      <c r="Z6" s="3">
        <f t="shared" ref="Z6:AA6" si="9">_xlfn.NORM.S.DIST(X6)</f>
        <v>0.9999902391</v>
      </c>
      <c r="AA6" s="3">
        <f t="shared" si="9"/>
        <v>0.9999795416</v>
      </c>
    </row>
    <row r="7" ht="14.25" customHeight="1">
      <c r="A7" s="3" t="s">
        <v>126</v>
      </c>
      <c r="B7" s="3" t="s">
        <v>127</v>
      </c>
      <c r="C7" s="3" t="s">
        <v>128</v>
      </c>
      <c r="D7" s="3" t="s">
        <v>29</v>
      </c>
      <c r="E7" s="3">
        <v>260.0</v>
      </c>
      <c r="F7" s="3" t="s">
        <v>27</v>
      </c>
      <c r="G7" s="3">
        <v>255.5</v>
      </c>
      <c r="I7" s="3">
        <v>259.2</v>
      </c>
      <c r="K7" s="3">
        <v>0.0</v>
      </c>
      <c r="L7" s="3">
        <v>1.0</v>
      </c>
      <c r="M7" s="3" t="s">
        <v>35</v>
      </c>
      <c r="N7" s="3">
        <v>1.0</v>
      </c>
      <c r="O7" s="3">
        <v>0.0</v>
      </c>
      <c r="P7" s="3">
        <v>-0.7885</v>
      </c>
      <c r="Q7" s="3">
        <v>0.0035</v>
      </c>
      <c r="R7" s="3">
        <v>0.2938</v>
      </c>
      <c r="S7" s="3">
        <v>517.100006</v>
      </c>
      <c r="T7" s="3">
        <v>70.0</v>
      </c>
      <c r="U7" s="3">
        <f t="shared" si="2"/>
        <v>257.35</v>
      </c>
      <c r="V7" s="3"/>
      <c r="W7" s="3">
        <f t="shared" si="3"/>
        <v>257.1506089</v>
      </c>
      <c r="X7" s="3">
        <f t="shared" si="4"/>
        <v>4.518921319</v>
      </c>
      <c r="Y7" s="3">
        <f t="shared" si="5"/>
        <v>4.364075123</v>
      </c>
      <c r="Z7" s="3">
        <f t="shared" ref="Z7:AA7" si="10">_xlfn.NORM.S.DIST(X7)</f>
        <v>0.9999968922</v>
      </c>
      <c r="AA7" s="3">
        <f t="shared" si="10"/>
        <v>0.9999936169</v>
      </c>
    </row>
    <row r="8" ht="14.25" customHeight="1">
      <c r="A8" s="3" t="s">
        <v>126</v>
      </c>
      <c r="B8" s="3" t="s">
        <v>127</v>
      </c>
      <c r="C8" s="3" t="s">
        <v>128</v>
      </c>
      <c r="D8" s="3" t="s">
        <v>29</v>
      </c>
      <c r="E8" s="3">
        <v>260.0</v>
      </c>
      <c r="F8" s="3" t="s">
        <v>27</v>
      </c>
      <c r="G8" s="3">
        <v>262.8</v>
      </c>
      <c r="I8" s="3">
        <v>264.25</v>
      </c>
      <c r="K8" s="3">
        <v>0.0</v>
      </c>
      <c r="L8" s="3">
        <v>1.0</v>
      </c>
      <c r="M8" s="3" t="s">
        <v>36</v>
      </c>
      <c r="N8" s="3">
        <v>0.9978</v>
      </c>
      <c r="O8" s="3">
        <v>0.0</v>
      </c>
      <c r="P8" s="3">
        <v>3.1732</v>
      </c>
      <c r="Q8" s="3">
        <v>0.1242</v>
      </c>
      <c r="R8" s="3">
        <v>0.3736</v>
      </c>
      <c r="S8" s="3">
        <v>523.509979</v>
      </c>
      <c r="T8" s="3">
        <v>69.0</v>
      </c>
      <c r="U8" s="3">
        <f t="shared" si="2"/>
        <v>263.525</v>
      </c>
      <c r="V8" s="3"/>
      <c r="W8" s="3">
        <f t="shared" si="3"/>
        <v>263.5628409</v>
      </c>
      <c r="X8" s="3">
        <f t="shared" si="4"/>
        <v>3.678776182</v>
      </c>
      <c r="Y8" s="3">
        <f t="shared" si="5"/>
        <v>3.483283213</v>
      </c>
      <c r="Z8" s="3">
        <f t="shared" ref="Z8:AA8" si="11">_xlfn.NORM.S.DIST(X8)</f>
        <v>0.9998828221</v>
      </c>
      <c r="AA8" s="3">
        <f t="shared" si="11"/>
        <v>0.999752348</v>
      </c>
    </row>
    <row r="9" ht="14.25" customHeight="1">
      <c r="A9" s="3" t="s">
        <v>126</v>
      </c>
      <c r="B9" s="3" t="s">
        <v>127</v>
      </c>
      <c r="C9" s="3" t="s">
        <v>128</v>
      </c>
      <c r="D9" s="3" t="s">
        <v>29</v>
      </c>
      <c r="E9" s="3">
        <v>260.0</v>
      </c>
      <c r="F9" s="3" t="s">
        <v>27</v>
      </c>
      <c r="G9" s="3">
        <v>259.0</v>
      </c>
      <c r="I9" s="3">
        <v>260.8</v>
      </c>
      <c r="K9" s="3">
        <v>0.0</v>
      </c>
      <c r="L9" s="3">
        <v>1.0</v>
      </c>
      <c r="M9" s="3" t="s">
        <v>37</v>
      </c>
      <c r="N9" s="3">
        <v>0.9949</v>
      </c>
      <c r="O9" s="3">
        <v>0.0</v>
      </c>
      <c r="P9" s="3">
        <v>6.4904</v>
      </c>
      <c r="Q9" s="3">
        <v>0.8947</v>
      </c>
      <c r="R9" s="3">
        <v>0.4466</v>
      </c>
      <c r="S9" s="3">
        <v>520.300026</v>
      </c>
      <c r="T9" s="3">
        <v>68.0</v>
      </c>
      <c r="U9" s="3">
        <f t="shared" si="2"/>
        <v>259.9</v>
      </c>
      <c r="V9" s="3"/>
      <c r="W9" s="3">
        <f t="shared" si="3"/>
        <v>260.3825815</v>
      </c>
      <c r="X9" s="3">
        <f t="shared" si="4"/>
        <v>3.107103608</v>
      </c>
      <c r="Y9" s="3">
        <f t="shared" si="5"/>
        <v>2.875111664</v>
      </c>
      <c r="Z9" s="3">
        <f t="shared" ref="Z9:AA9" si="12">_xlfn.NORM.S.DIST(X9)</f>
        <v>0.9990553491</v>
      </c>
      <c r="AA9" s="3">
        <f t="shared" si="12"/>
        <v>0.9979805768</v>
      </c>
    </row>
    <row r="10" ht="14.25" customHeight="1">
      <c r="A10" s="3" t="s">
        <v>126</v>
      </c>
      <c r="B10" s="3" t="s">
        <v>127</v>
      </c>
      <c r="C10" s="3" t="s">
        <v>128</v>
      </c>
      <c r="D10" s="3" t="s">
        <v>29</v>
      </c>
      <c r="E10" s="3">
        <v>260.0</v>
      </c>
      <c r="F10" s="3" t="s">
        <v>27</v>
      </c>
      <c r="G10" s="3">
        <v>240.4</v>
      </c>
      <c r="I10" s="3">
        <v>242.8</v>
      </c>
      <c r="K10" s="3">
        <v>1.0</v>
      </c>
      <c r="L10" s="3">
        <v>1.0</v>
      </c>
      <c r="M10" s="3" t="s">
        <v>38</v>
      </c>
      <c r="N10" s="3">
        <v>0.995</v>
      </c>
      <c r="O10" s="3">
        <v>0.0</v>
      </c>
      <c r="P10" s="3">
        <v>6.3896</v>
      </c>
      <c r="Q10" s="3">
        <v>0.8193</v>
      </c>
      <c r="R10" s="3">
        <v>0.4271</v>
      </c>
      <c r="S10" s="3">
        <v>501.750015</v>
      </c>
      <c r="T10" s="3">
        <v>67.0</v>
      </c>
      <c r="U10" s="3">
        <f t="shared" si="2"/>
        <v>241.6</v>
      </c>
      <c r="V10" s="3"/>
      <c r="W10" s="3">
        <f t="shared" si="3"/>
        <v>241.8301577</v>
      </c>
      <c r="X10" s="3">
        <f t="shared" si="4"/>
        <v>3.096178458</v>
      </c>
      <c r="Y10" s="3">
        <f t="shared" si="5"/>
        <v>2.875953415</v>
      </c>
      <c r="Z10" s="3">
        <f t="shared" ref="Z10:AA10" si="13">_xlfn.NORM.S.DIST(X10)</f>
        <v>0.9990198383</v>
      </c>
      <c r="AA10" s="3">
        <f t="shared" si="13"/>
        <v>0.9979859542</v>
      </c>
    </row>
    <row r="11" ht="14.25" customHeight="1">
      <c r="A11" s="3" t="s">
        <v>126</v>
      </c>
      <c r="B11" s="3" t="s">
        <v>127</v>
      </c>
      <c r="C11" s="3" t="s">
        <v>128</v>
      </c>
      <c r="D11" s="3" t="s">
        <v>29</v>
      </c>
      <c r="E11" s="3">
        <v>260.0</v>
      </c>
      <c r="F11" s="3" t="s">
        <v>27</v>
      </c>
      <c r="G11" s="3">
        <v>224.2</v>
      </c>
      <c r="I11" s="3">
        <v>226.7</v>
      </c>
      <c r="K11" s="3">
        <v>0.0</v>
      </c>
      <c r="L11" s="3">
        <v>2.0</v>
      </c>
      <c r="M11" s="3" t="s">
        <v>39</v>
      </c>
      <c r="N11" s="3">
        <v>0.9948</v>
      </c>
      <c r="O11" s="3">
        <v>0.0</v>
      </c>
      <c r="P11" s="3">
        <v>6.2205</v>
      </c>
      <c r="Q11" s="3">
        <v>0.8769</v>
      </c>
      <c r="R11" s="3">
        <v>0.4124</v>
      </c>
      <c r="S11" s="3">
        <v>485.920013</v>
      </c>
      <c r="T11" s="3">
        <v>66.0</v>
      </c>
      <c r="U11" s="3">
        <f t="shared" si="2"/>
        <v>225.45</v>
      </c>
      <c r="V11" s="3"/>
      <c r="W11" s="3">
        <f t="shared" si="3"/>
        <v>226.0000606</v>
      </c>
      <c r="X11" s="3">
        <f t="shared" si="4"/>
        <v>3.069461453</v>
      </c>
      <c r="Y11" s="3">
        <f t="shared" si="5"/>
        <v>2.858409024</v>
      </c>
      <c r="Z11" s="3">
        <f t="shared" ref="Z11:AA11" si="14">_xlfn.NORM.S.DIST(X11)</f>
        <v>0.9989277746</v>
      </c>
      <c r="AA11" s="3">
        <f t="shared" si="14"/>
        <v>0.9978711441</v>
      </c>
    </row>
    <row r="12" ht="14.25" customHeight="1">
      <c r="A12" s="3" t="s">
        <v>126</v>
      </c>
      <c r="B12" s="3" t="s">
        <v>127</v>
      </c>
      <c r="C12" s="3" t="s">
        <v>128</v>
      </c>
      <c r="D12" s="3" t="s">
        <v>29</v>
      </c>
      <c r="E12" s="3">
        <v>260.0</v>
      </c>
      <c r="F12" s="3" t="s">
        <v>27</v>
      </c>
      <c r="G12" s="3">
        <v>245.75</v>
      </c>
      <c r="I12" s="3">
        <v>246.95</v>
      </c>
      <c r="K12" s="3">
        <v>0.0</v>
      </c>
      <c r="L12" s="3">
        <v>2.0</v>
      </c>
      <c r="M12" s="3" t="s">
        <v>40</v>
      </c>
      <c r="N12" s="3">
        <v>0.9945</v>
      </c>
      <c r="O12" s="3">
        <v>0.0</v>
      </c>
      <c r="P12" s="3">
        <v>6.5453</v>
      </c>
      <c r="Q12" s="3">
        <v>1.0935</v>
      </c>
      <c r="R12" s="3">
        <v>0.4524</v>
      </c>
      <c r="S12" s="3">
        <v>506.089981</v>
      </c>
      <c r="T12" s="3">
        <v>65.0</v>
      </c>
      <c r="U12" s="3">
        <f t="shared" si="2"/>
        <v>246.35</v>
      </c>
      <c r="V12" s="3"/>
      <c r="W12" s="3">
        <f t="shared" si="3"/>
        <v>246.1818733</v>
      </c>
      <c r="X12" s="3">
        <f t="shared" si="4"/>
        <v>3.014456324</v>
      </c>
      <c r="Y12" s="3">
        <f t="shared" si="5"/>
        <v>2.784693901</v>
      </c>
      <c r="Z12" s="3">
        <f t="shared" ref="Z12:AA12" si="15">_xlfn.NORM.S.DIST(X12)</f>
        <v>0.9987127986</v>
      </c>
      <c r="AA12" s="3">
        <f t="shared" si="15"/>
        <v>0.9973210862</v>
      </c>
    </row>
    <row r="13" ht="14.25" customHeight="1">
      <c r="A13" s="3" t="s">
        <v>126</v>
      </c>
      <c r="B13" s="3" t="s">
        <v>127</v>
      </c>
      <c r="C13" s="3" t="s">
        <v>128</v>
      </c>
      <c r="D13" s="3" t="s">
        <v>29</v>
      </c>
      <c r="E13" s="3">
        <v>260.0</v>
      </c>
      <c r="F13" s="3" t="s">
        <v>27</v>
      </c>
      <c r="G13" s="3">
        <v>242.0</v>
      </c>
      <c r="I13" s="3">
        <v>243.65</v>
      </c>
      <c r="K13" s="3">
        <v>0.0</v>
      </c>
      <c r="L13" s="3">
        <v>2.0</v>
      </c>
      <c r="M13" s="3" t="s">
        <v>41</v>
      </c>
      <c r="N13" s="3">
        <v>0.9931</v>
      </c>
      <c r="O13" s="3">
        <v>1.0E-4</v>
      </c>
      <c r="P13" s="3">
        <v>5.7934</v>
      </c>
      <c r="Q13" s="3">
        <v>2.001</v>
      </c>
      <c r="R13" s="3">
        <v>0.4872</v>
      </c>
      <c r="S13" s="3">
        <v>502.680023</v>
      </c>
      <c r="T13" s="3">
        <v>64.0</v>
      </c>
      <c r="U13" s="3">
        <f t="shared" si="2"/>
        <v>242.825</v>
      </c>
      <c r="V13" s="3"/>
      <c r="W13" s="3">
        <f t="shared" si="3"/>
        <v>242.8241462</v>
      </c>
      <c r="X13" s="3">
        <f t="shared" si="4"/>
        <v>2.808632076</v>
      </c>
      <c r="Y13" s="3">
        <f t="shared" si="5"/>
        <v>2.563106354</v>
      </c>
      <c r="Z13" s="3">
        <f t="shared" ref="Z13:AA13" si="16">_xlfn.NORM.S.DIST(X13)</f>
        <v>0.9975123765</v>
      </c>
      <c r="AA13" s="3">
        <f t="shared" si="16"/>
        <v>0.9948129867</v>
      </c>
    </row>
    <row r="14" ht="14.25" customHeight="1">
      <c r="A14" s="3" t="s">
        <v>126</v>
      </c>
      <c r="B14" s="3" t="s">
        <v>127</v>
      </c>
      <c r="C14" s="3" t="s">
        <v>128</v>
      </c>
      <c r="D14" s="3" t="s">
        <v>29</v>
      </c>
      <c r="E14" s="3">
        <v>260.0</v>
      </c>
      <c r="F14" s="3" t="s">
        <v>27</v>
      </c>
      <c r="G14" s="3">
        <v>238.95</v>
      </c>
      <c r="I14" s="3">
        <v>240.9</v>
      </c>
      <c r="K14" s="3">
        <v>0.0</v>
      </c>
      <c r="L14" s="3">
        <v>2.0</v>
      </c>
      <c r="M14" s="3" t="s">
        <v>42</v>
      </c>
      <c r="N14" s="3">
        <v>0.9948</v>
      </c>
      <c r="O14" s="3">
        <v>0.0</v>
      </c>
      <c r="P14" s="3">
        <v>7.1566</v>
      </c>
      <c r="Q14" s="3">
        <v>0.7289</v>
      </c>
      <c r="R14" s="3">
        <v>0.4294</v>
      </c>
      <c r="S14" s="3">
        <v>500.000015</v>
      </c>
      <c r="T14" s="3">
        <v>63.0</v>
      </c>
      <c r="U14" s="3">
        <f t="shared" si="2"/>
        <v>239.925</v>
      </c>
      <c r="V14" s="3"/>
      <c r="W14" s="3">
        <f t="shared" si="3"/>
        <v>240.0704543</v>
      </c>
      <c r="X14" s="3">
        <f t="shared" si="4"/>
        <v>3.153933593</v>
      </c>
      <c r="Y14" s="3">
        <f t="shared" si="5"/>
        <v>2.939233593</v>
      </c>
      <c r="Z14" s="3">
        <f t="shared" ref="Z14:AA14" si="17">_xlfn.NORM.S.DIST(X14)</f>
        <v>0.9991945713</v>
      </c>
      <c r="AA14" s="3">
        <f t="shared" si="17"/>
        <v>0.998354875</v>
      </c>
    </row>
    <row r="15" ht="14.25" customHeight="1">
      <c r="A15" s="3" t="s">
        <v>126</v>
      </c>
      <c r="B15" s="3" t="s">
        <v>127</v>
      </c>
      <c r="C15" s="3" t="s">
        <v>128</v>
      </c>
      <c r="D15" s="3" t="s">
        <v>29</v>
      </c>
      <c r="E15" s="3">
        <v>260.0</v>
      </c>
      <c r="F15" s="3" t="s">
        <v>27</v>
      </c>
      <c r="G15" s="3">
        <v>243.6</v>
      </c>
      <c r="I15" s="3">
        <v>245.2</v>
      </c>
      <c r="K15" s="3">
        <v>0.0</v>
      </c>
      <c r="L15" s="3">
        <v>2.0</v>
      </c>
      <c r="M15" s="3" t="s">
        <v>43</v>
      </c>
      <c r="N15" s="3">
        <v>0.9933</v>
      </c>
      <c r="O15" s="3">
        <v>1.0E-4</v>
      </c>
      <c r="P15" s="3">
        <v>7.1669</v>
      </c>
      <c r="Q15" s="3">
        <v>1.6501</v>
      </c>
      <c r="R15" s="3">
        <v>0.4925</v>
      </c>
      <c r="S15" s="3">
        <v>504.770004</v>
      </c>
      <c r="T15" s="3">
        <v>62.0</v>
      </c>
      <c r="U15" s="3">
        <f t="shared" si="2"/>
        <v>244.4</v>
      </c>
      <c r="V15" s="3"/>
      <c r="W15" s="3">
        <f t="shared" si="3"/>
        <v>244.9031058</v>
      </c>
      <c r="X15" s="3">
        <f t="shared" si="4"/>
        <v>2.838585057</v>
      </c>
      <c r="Y15" s="3">
        <f t="shared" si="5"/>
        <v>2.59429724</v>
      </c>
      <c r="Z15" s="3">
        <f t="shared" ref="Z15:AA15" si="18">_xlfn.NORM.S.DIST(X15)</f>
        <v>0.997734298</v>
      </c>
      <c r="AA15" s="3">
        <f t="shared" si="18"/>
        <v>0.9952607749</v>
      </c>
    </row>
    <row r="16" ht="14.25" customHeight="1">
      <c r="A16" s="3" t="s">
        <v>126</v>
      </c>
      <c r="B16" s="3" t="s">
        <v>127</v>
      </c>
      <c r="C16" s="3" t="s">
        <v>128</v>
      </c>
      <c r="D16" s="3" t="s">
        <v>29</v>
      </c>
      <c r="E16" s="3">
        <v>260.0</v>
      </c>
      <c r="F16" s="3" t="s">
        <v>27</v>
      </c>
      <c r="G16" s="3">
        <v>251.9</v>
      </c>
      <c r="I16" s="3">
        <v>256.15</v>
      </c>
      <c r="K16" s="3">
        <v>0.0</v>
      </c>
      <c r="L16" s="3">
        <v>2.0</v>
      </c>
      <c r="M16" s="3" t="s">
        <v>44</v>
      </c>
      <c r="N16" s="3">
        <v>0.9946</v>
      </c>
      <c r="O16" s="3">
        <v>0.0</v>
      </c>
      <c r="P16" s="3">
        <v>8.9466</v>
      </c>
      <c r="Q16" s="3">
        <v>0.5835</v>
      </c>
      <c r="R16" s="3">
        <v>0.45</v>
      </c>
      <c r="S16" s="3">
        <v>514.010002</v>
      </c>
      <c r="T16" s="3">
        <v>61.0</v>
      </c>
      <c r="U16" s="3">
        <f t="shared" si="2"/>
        <v>254.025</v>
      </c>
      <c r="V16" s="3"/>
      <c r="W16" s="3">
        <f t="shared" si="3"/>
        <v>254.0772471</v>
      </c>
      <c r="X16" s="3">
        <f t="shared" si="4"/>
        <v>3.189883502</v>
      </c>
      <c r="Y16" s="3">
        <f t="shared" si="5"/>
        <v>2.968483734</v>
      </c>
      <c r="Z16" s="3">
        <f t="shared" ref="Z16:AA16" si="19">_xlfn.NORM.S.DIST(X16)</f>
        <v>0.9992883492</v>
      </c>
      <c r="AA16" s="3">
        <f t="shared" si="19"/>
        <v>0.9985036353</v>
      </c>
    </row>
    <row r="17" ht="14.25" customHeight="1">
      <c r="A17" s="3" t="s">
        <v>126</v>
      </c>
      <c r="B17" s="3" t="s">
        <v>127</v>
      </c>
      <c r="C17" s="3" t="s">
        <v>128</v>
      </c>
      <c r="D17" s="3" t="s">
        <v>29</v>
      </c>
      <c r="E17" s="3">
        <v>260.0</v>
      </c>
      <c r="F17" s="3" t="s">
        <v>27</v>
      </c>
      <c r="G17" s="3">
        <v>189.25</v>
      </c>
      <c r="I17" s="3">
        <v>192.8</v>
      </c>
      <c r="K17" s="3">
        <v>0.0</v>
      </c>
      <c r="L17" s="3">
        <v>2.0</v>
      </c>
      <c r="M17" s="3" t="s">
        <v>45</v>
      </c>
      <c r="N17" s="3">
        <v>0.9922</v>
      </c>
      <c r="O17" s="3">
        <v>1.0E-4</v>
      </c>
      <c r="P17" s="3">
        <v>6.4637</v>
      </c>
      <c r="Q17" s="3">
        <v>2.0029</v>
      </c>
      <c r="R17" s="3">
        <v>0.4273</v>
      </c>
      <c r="S17" s="3">
        <v>450.499977</v>
      </c>
      <c r="T17" s="3">
        <v>60.0</v>
      </c>
      <c r="U17" s="3">
        <f t="shared" si="2"/>
        <v>191.025</v>
      </c>
      <c r="V17" s="3"/>
      <c r="W17" s="3">
        <f t="shared" si="3"/>
        <v>190.635634</v>
      </c>
      <c r="X17" s="3">
        <f t="shared" si="4"/>
        <v>2.741374224</v>
      </c>
      <c r="Y17" s="3">
        <f t="shared" si="5"/>
        <v>2.532873173</v>
      </c>
      <c r="Z17" s="3">
        <f t="shared" ref="Z17:AA17" si="20">_xlfn.NORM.S.DIST(X17)</f>
        <v>0.996940861</v>
      </c>
      <c r="AA17" s="3">
        <f t="shared" si="20"/>
        <v>0.9943434061</v>
      </c>
    </row>
    <row r="18" ht="14.25" customHeight="1">
      <c r="A18" s="3" t="s">
        <v>126</v>
      </c>
      <c r="B18" s="3" t="s">
        <v>127</v>
      </c>
      <c r="C18" s="3" t="s">
        <v>128</v>
      </c>
      <c r="D18" s="3" t="s">
        <v>29</v>
      </c>
      <c r="E18" s="3">
        <v>260.0</v>
      </c>
      <c r="F18" s="3" t="s">
        <v>27</v>
      </c>
      <c r="G18" s="3">
        <v>177.7</v>
      </c>
      <c r="I18" s="3">
        <v>182.1</v>
      </c>
      <c r="K18" s="3">
        <v>1.0</v>
      </c>
      <c r="L18" s="3">
        <v>2.0</v>
      </c>
      <c r="M18" s="3" t="s">
        <v>46</v>
      </c>
      <c r="N18" s="3">
        <v>0.9951</v>
      </c>
      <c r="O18" s="3">
        <v>0.0</v>
      </c>
      <c r="P18" s="3">
        <v>7.955</v>
      </c>
      <c r="Q18" s="3">
        <v>0.158</v>
      </c>
      <c r="R18" s="3">
        <v>0.3131</v>
      </c>
      <c r="S18" s="3">
        <v>439.880001</v>
      </c>
      <c r="T18" s="3">
        <v>59.0</v>
      </c>
      <c r="U18" s="3">
        <f t="shared" si="2"/>
        <v>179.9</v>
      </c>
      <c r="V18" s="3"/>
      <c r="W18" s="3">
        <f t="shared" si="3"/>
        <v>179.9259496</v>
      </c>
      <c r="X18" s="3">
        <f t="shared" si="4"/>
        <v>3.547623002</v>
      </c>
      <c r="Y18" s="3">
        <f t="shared" si="5"/>
        <v>3.396124338</v>
      </c>
      <c r="Z18" s="3">
        <f t="shared" ref="Z18:AA18" si="21">_xlfn.NORM.S.DIST(X18)</f>
        <v>0.9998056379</v>
      </c>
      <c r="AA18" s="3">
        <f t="shared" si="21"/>
        <v>0.9996582635</v>
      </c>
    </row>
    <row r="19" ht="14.25" customHeight="1">
      <c r="A19" s="3" t="s">
        <v>126</v>
      </c>
      <c r="B19" s="3" t="s">
        <v>127</v>
      </c>
      <c r="C19" s="3" t="s">
        <v>128</v>
      </c>
      <c r="D19" s="3" t="s">
        <v>29</v>
      </c>
      <c r="E19" s="3">
        <v>260.0</v>
      </c>
      <c r="F19" s="3" t="s">
        <v>27</v>
      </c>
      <c r="G19" s="3">
        <v>188.9</v>
      </c>
      <c r="I19" s="3">
        <v>190.8</v>
      </c>
      <c r="K19" s="3">
        <v>0.0</v>
      </c>
      <c r="L19" s="3">
        <v>3.0</v>
      </c>
      <c r="M19" s="3" t="s">
        <v>47</v>
      </c>
      <c r="N19" s="3">
        <v>0.995</v>
      </c>
      <c r="O19" s="3">
        <v>0.0</v>
      </c>
      <c r="P19" s="3">
        <v>7.8828</v>
      </c>
      <c r="Q19" s="3">
        <v>0.414</v>
      </c>
      <c r="R19" s="3">
        <v>0.3632</v>
      </c>
      <c r="S19" s="3">
        <v>449.830002</v>
      </c>
      <c r="T19" s="3">
        <v>58.0</v>
      </c>
      <c r="U19" s="3">
        <f t="shared" si="2"/>
        <v>189.85</v>
      </c>
      <c r="V19" s="3"/>
      <c r="W19" s="3">
        <f t="shared" si="3"/>
        <v>189.8852619</v>
      </c>
      <c r="X19" s="3">
        <f t="shared" si="4"/>
        <v>3.23412901</v>
      </c>
      <c r="Y19" s="3">
        <f t="shared" si="5"/>
        <v>3.059884315</v>
      </c>
      <c r="Z19" s="3">
        <f t="shared" ref="Z19:AA19" si="22">_xlfn.NORM.S.DIST(X19)</f>
        <v>0.9993899284</v>
      </c>
      <c r="AA19" s="3">
        <f t="shared" si="22"/>
        <v>0.9988928875</v>
      </c>
    </row>
    <row r="20" ht="14.25" customHeight="1">
      <c r="A20" s="3" t="s">
        <v>126</v>
      </c>
      <c r="B20" s="3" t="s">
        <v>127</v>
      </c>
      <c r="C20" s="3" t="s">
        <v>128</v>
      </c>
      <c r="D20" s="3" t="s">
        <v>29</v>
      </c>
      <c r="E20" s="3">
        <v>260.0</v>
      </c>
      <c r="F20" s="3" t="s">
        <v>27</v>
      </c>
      <c r="G20" s="3">
        <v>197.55</v>
      </c>
      <c r="I20" s="3">
        <v>199.4</v>
      </c>
      <c r="K20" s="3">
        <v>0.0</v>
      </c>
      <c r="L20" s="3">
        <v>3.0</v>
      </c>
      <c r="M20" s="3" t="s">
        <v>48</v>
      </c>
      <c r="N20" s="3">
        <v>0.9955</v>
      </c>
      <c r="O20" s="3">
        <v>0.0</v>
      </c>
      <c r="P20" s="3">
        <v>8.3497</v>
      </c>
      <c r="Q20" s="3">
        <v>0.0595</v>
      </c>
      <c r="R20" s="3">
        <v>0.3211</v>
      </c>
      <c r="S20" s="3">
        <v>458.269981</v>
      </c>
      <c r="T20" s="3">
        <v>57.0</v>
      </c>
      <c r="U20" s="3">
        <f t="shared" si="2"/>
        <v>198.475</v>
      </c>
      <c r="V20" s="3"/>
      <c r="W20" s="3">
        <f t="shared" si="3"/>
        <v>198.3124385</v>
      </c>
      <c r="X20" s="3">
        <f t="shared" si="4"/>
        <v>3.788766915</v>
      </c>
      <c r="Y20" s="3">
        <f t="shared" si="5"/>
        <v>3.636053403</v>
      </c>
      <c r="Z20" s="3">
        <f t="shared" ref="Z20:AA20" si="23">_xlfn.NORM.S.DIST(X20)</f>
        <v>0.9999243016</v>
      </c>
      <c r="AA20" s="3">
        <f t="shared" si="23"/>
        <v>0.9998615765</v>
      </c>
    </row>
    <row r="21" ht="14.25" customHeight="1">
      <c r="A21" s="3" t="s">
        <v>126</v>
      </c>
      <c r="B21" s="3" t="s">
        <v>127</v>
      </c>
      <c r="C21" s="3" t="s">
        <v>128</v>
      </c>
      <c r="D21" s="3" t="s">
        <v>29</v>
      </c>
      <c r="E21" s="3">
        <v>260.0</v>
      </c>
      <c r="F21" s="3" t="s">
        <v>27</v>
      </c>
      <c r="G21" s="3">
        <v>196.5</v>
      </c>
      <c r="I21" s="3">
        <v>197.2</v>
      </c>
      <c r="K21" s="3">
        <v>0.0</v>
      </c>
      <c r="L21" s="3">
        <v>3.0</v>
      </c>
      <c r="M21" s="3" t="s">
        <v>49</v>
      </c>
      <c r="N21" s="3">
        <v>0.9956</v>
      </c>
      <c r="O21" s="3">
        <v>0.0</v>
      </c>
      <c r="P21" s="3">
        <v>8.2772</v>
      </c>
      <c r="Q21" s="3">
        <v>0.0241</v>
      </c>
      <c r="R21" s="3">
        <v>0.3025</v>
      </c>
      <c r="S21" s="3">
        <v>456.830002</v>
      </c>
      <c r="T21" s="3">
        <v>56.0</v>
      </c>
      <c r="U21" s="3">
        <f t="shared" si="2"/>
        <v>196.85</v>
      </c>
      <c r="V21" s="3"/>
      <c r="W21" s="3">
        <f t="shared" si="3"/>
        <v>196.8708732</v>
      </c>
      <c r="X21" s="3">
        <f t="shared" si="4"/>
        <v>4.024916926</v>
      </c>
      <c r="Y21" s="3">
        <f t="shared" si="5"/>
        <v>3.882317058</v>
      </c>
      <c r="Z21" s="3">
        <f t="shared" ref="Z21:AA21" si="24">_xlfn.NORM.S.DIST(X21)</f>
        <v>0.9999715023</v>
      </c>
      <c r="AA21" s="3">
        <f t="shared" si="24"/>
        <v>0.9999482671</v>
      </c>
    </row>
    <row r="22" ht="14.25" customHeight="1">
      <c r="A22" s="3" t="s">
        <v>126</v>
      </c>
      <c r="B22" s="3" t="s">
        <v>127</v>
      </c>
      <c r="C22" s="3" t="s">
        <v>128</v>
      </c>
      <c r="D22" s="3" t="s">
        <v>29</v>
      </c>
      <c r="E22" s="3">
        <v>260.0</v>
      </c>
      <c r="F22" s="3" t="s">
        <v>27</v>
      </c>
      <c r="G22" s="3">
        <v>195.2</v>
      </c>
      <c r="I22" s="3">
        <v>196.35</v>
      </c>
      <c r="K22" s="3">
        <v>0.0</v>
      </c>
      <c r="L22" s="3">
        <v>3.0</v>
      </c>
      <c r="M22" s="3" t="s">
        <v>50</v>
      </c>
      <c r="N22" s="3">
        <v>0.9949</v>
      </c>
      <c r="O22" s="3">
        <v>0.0</v>
      </c>
      <c r="P22" s="3">
        <v>7.809</v>
      </c>
      <c r="Q22" s="3">
        <v>0.596</v>
      </c>
      <c r="R22" s="3">
        <v>0.3937</v>
      </c>
      <c r="S22" s="3">
        <v>455.489998</v>
      </c>
      <c r="T22" s="3">
        <v>55.0</v>
      </c>
      <c r="U22" s="3">
        <f t="shared" si="2"/>
        <v>195.775</v>
      </c>
      <c r="V22" s="3"/>
      <c r="W22" s="3">
        <f t="shared" si="3"/>
        <v>195.5499441</v>
      </c>
      <c r="X22" s="3">
        <f t="shared" si="4"/>
        <v>3.141236581</v>
      </c>
      <c r="Y22" s="3">
        <f t="shared" si="5"/>
        <v>2.957309157</v>
      </c>
      <c r="Z22" s="3">
        <f t="shared" ref="Z22:AA22" si="25">_xlfn.NORM.S.DIST(X22)</f>
        <v>0.9991588196</v>
      </c>
      <c r="AA22" s="3">
        <f t="shared" si="25"/>
        <v>0.9984483161</v>
      </c>
    </row>
    <row r="23" ht="14.25" customHeight="1">
      <c r="A23" s="3" t="s">
        <v>126</v>
      </c>
      <c r="B23" s="3" t="s">
        <v>127</v>
      </c>
      <c r="C23" s="3" t="s">
        <v>129</v>
      </c>
      <c r="D23" s="3" t="s">
        <v>29</v>
      </c>
      <c r="E23" s="3">
        <v>260.0</v>
      </c>
      <c r="F23" s="3" t="s">
        <v>27</v>
      </c>
      <c r="G23" s="3">
        <v>192.85</v>
      </c>
      <c r="I23" s="3">
        <v>194.25</v>
      </c>
      <c r="K23" s="3">
        <v>0.0</v>
      </c>
      <c r="L23" s="3">
        <v>3.0</v>
      </c>
      <c r="M23" s="3" t="s">
        <v>52</v>
      </c>
      <c r="N23" s="3">
        <v>0.9957</v>
      </c>
      <c r="O23" s="3">
        <v>0.0</v>
      </c>
      <c r="P23" s="3">
        <v>8.3316</v>
      </c>
      <c r="Q23" s="3">
        <v>0.0037</v>
      </c>
      <c r="R23" s="3">
        <v>0.2722</v>
      </c>
      <c r="S23" s="3">
        <v>453.619995</v>
      </c>
      <c r="T23" s="3">
        <v>54.0</v>
      </c>
      <c r="U23" s="3">
        <f t="shared" si="2"/>
        <v>193.55</v>
      </c>
      <c r="V23" s="3"/>
      <c r="W23" s="3">
        <f t="shared" si="3"/>
        <v>193.6590367</v>
      </c>
      <c r="X23" s="3">
        <f t="shared" si="4"/>
        <v>4.481335527</v>
      </c>
      <c r="Y23" s="3">
        <f t="shared" si="5"/>
        <v>4.355331411</v>
      </c>
      <c r="Z23" s="3">
        <f t="shared" ref="Z23:AA23" si="26">_xlfn.NORM.S.DIST(X23)</f>
        <v>0.9999962911</v>
      </c>
      <c r="AA23" s="3">
        <f t="shared" si="26"/>
        <v>0.9999933567</v>
      </c>
    </row>
    <row r="24" ht="14.25" customHeight="1">
      <c r="A24" s="3" t="s">
        <v>126</v>
      </c>
      <c r="B24" s="3" t="s">
        <v>127</v>
      </c>
      <c r="C24" s="3" t="s">
        <v>129</v>
      </c>
      <c r="D24" s="3" t="s">
        <v>29</v>
      </c>
      <c r="E24" s="3">
        <v>260.0</v>
      </c>
      <c r="F24" s="3" t="s">
        <v>27</v>
      </c>
      <c r="G24" s="3">
        <v>181.3</v>
      </c>
      <c r="I24" s="3">
        <v>183.55</v>
      </c>
      <c r="K24" s="3">
        <v>0.0</v>
      </c>
      <c r="L24" s="3">
        <v>3.0</v>
      </c>
      <c r="M24" s="3" t="s">
        <v>53</v>
      </c>
      <c r="N24" s="3">
        <v>0.9959</v>
      </c>
      <c r="O24" s="3">
        <v>0.0</v>
      </c>
      <c r="P24" s="3">
        <v>7.6267</v>
      </c>
      <c r="Q24" s="3">
        <v>0.1216</v>
      </c>
      <c r="R24" s="3">
        <v>0.3318</v>
      </c>
      <c r="S24" s="3">
        <v>442.320004</v>
      </c>
      <c r="T24" s="3">
        <v>53.0</v>
      </c>
      <c r="U24" s="3">
        <f t="shared" si="2"/>
        <v>182.425</v>
      </c>
      <c r="V24" s="3"/>
      <c r="W24" s="3">
        <f t="shared" si="3"/>
        <v>182.3613746</v>
      </c>
      <c r="X24" s="3">
        <f t="shared" si="4"/>
        <v>3.569001827</v>
      </c>
      <c r="Y24" s="3">
        <f t="shared" si="5"/>
        <v>3.41683708</v>
      </c>
      <c r="Z24" s="3">
        <f t="shared" ref="Z24:AA24" si="27">_xlfn.NORM.S.DIST(X24)</f>
        <v>0.999820828</v>
      </c>
      <c r="AA24" s="3">
        <f t="shared" si="27"/>
        <v>0.9996832341</v>
      </c>
    </row>
    <row r="25" ht="14.25" customHeight="1">
      <c r="A25" s="3" t="s">
        <v>126</v>
      </c>
      <c r="B25" s="3" t="s">
        <v>127</v>
      </c>
      <c r="C25" s="3" t="s">
        <v>129</v>
      </c>
      <c r="D25" s="3" t="s">
        <v>29</v>
      </c>
      <c r="E25" s="3">
        <v>260.0</v>
      </c>
      <c r="F25" s="3" t="s">
        <v>27</v>
      </c>
      <c r="G25" s="3">
        <v>196.6</v>
      </c>
      <c r="I25" s="3">
        <v>199.2</v>
      </c>
      <c r="K25" s="3">
        <v>0.0</v>
      </c>
      <c r="L25" s="3">
        <v>3.0</v>
      </c>
      <c r="M25" s="3" t="s">
        <v>54</v>
      </c>
      <c r="N25" s="3">
        <v>0.9961</v>
      </c>
      <c r="O25" s="3">
        <v>0.0</v>
      </c>
      <c r="P25" s="3">
        <v>8.0281</v>
      </c>
      <c r="Q25" s="3">
        <v>0.0109</v>
      </c>
      <c r="R25" s="3">
        <v>0.3019</v>
      </c>
      <c r="S25" s="3">
        <v>457.840012</v>
      </c>
      <c r="T25" s="3">
        <v>52.0</v>
      </c>
      <c r="U25" s="3">
        <f t="shared" si="2"/>
        <v>197.9</v>
      </c>
      <c r="V25" s="3"/>
      <c r="W25" s="3">
        <f t="shared" si="3"/>
        <v>197.8777555</v>
      </c>
      <c r="X25" s="3">
        <f t="shared" si="4"/>
        <v>4.195609116</v>
      </c>
      <c r="Y25" s="3">
        <f t="shared" si="5"/>
        <v>4.058469</v>
      </c>
      <c r="Z25" s="3">
        <f t="shared" ref="Z25:AA25" si="28">_xlfn.NORM.S.DIST(X25)</f>
        <v>0.999986393</v>
      </c>
      <c r="AA25" s="3">
        <f t="shared" si="28"/>
        <v>0.9999753023</v>
      </c>
    </row>
    <row r="26" ht="14.25" customHeight="1">
      <c r="A26" s="3" t="s">
        <v>126</v>
      </c>
      <c r="B26" s="3" t="s">
        <v>127</v>
      </c>
      <c r="C26" s="3" t="s">
        <v>129</v>
      </c>
      <c r="D26" s="3" t="s">
        <v>29</v>
      </c>
      <c r="E26" s="3">
        <v>260.0</v>
      </c>
      <c r="F26" s="3" t="s">
        <v>27</v>
      </c>
      <c r="G26" s="3">
        <v>196.6</v>
      </c>
      <c r="I26" s="3">
        <v>197.95</v>
      </c>
      <c r="K26" s="3">
        <v>4.0</v>
      </c>
      <c r="L26" s="3">
        <v>3.0</v>
      </c>
      <c r="M26" s="3" t="s">
        <v>55</v>
      </c>
      <c r="N26" s="3">
        <v>0.9962</v>
      </c>
      <c r="O26" s="3">
        <v>0.0</v>
      </c>
      <c r="P26" s="3">
        <v>8.0084</v>
      </c>
      <c r="Q26" s="3">
        <v>0.01</v>
      </c>
      <c r="R26" s="3">
        <v>0.3022</v>
      </c>
      <c r="S26" s="3">
        <v>457.350014</v>
      </c>
      <c r="T26" s="3">
        <v>51.0</v>
      </c>
      <c r="U26" s="3">
        <f t="shared" si="2"/>
        <v>197.275</v>
      </c>
      <c r="V26" s="3"/>
      <c r="W26" s="3">
        <f t="shared" si="3"/>
        <v>197.3870108</v>
      </c>
      <c r="X26" s="3">
        <f t="shared" si="4"/>
        <v>4.22324491</v>
      </c>
      <c r="Y26" s="3">
        <f t="shared" si="5"/>
        <v>4.087294889</v>
      </c>
      <c r="Z26" s="3">
        <f t="shared" ref="Z26:AA26" si="29">_xlfn.NORM.S.DIST(X26)</f>
        <v>0.9999879595</v>
      </c>
      <c r="AA26" s="3">
        <f t="shared" si="29"/>
        <v>0.9999781784</v>
      </c>
    </row>
    <row r="27" ht="14.25" customHeight="1">
      <c r="A27" s="3" t="s">
        <v>126</v>
      </c>
      <c r="B27" s="3" t="s">
        <v>127</v>
      </c>
      <c r="C27" s="3" t="s">
        <v>129</v>
      </c>
      <c r="D27" s="3" t="s">
        <v>29</v>
      </c>
      <c r="E27" s="3">
        <v>260.0</v>
      </c>
      <c r="F27" s="3" t="s">
        <v>27</v>
      </c>
      <c r="G27" s="3">
        <v>207.8</v>
      </c>
      <c r="I27" s="3">
        <v>209.85</v>
      </c>
      <c r="K27" s="3">
        <v>0.0</v>
      </c>
      <c r="L27" s="3">
        <v>0.0</v>
      </c>
      <c r="M27" s="3" t="s">
        <v>56</v>
      </c>
      <c r="N27" s="3">
        <v>0.9976</v>
      </c>
      <c r="O27" s="3">
        <v>0.0</v>
      </c>
      <c r="P27" s="3">
        <v>3.3491</v>
      </c>
      <c r="Q27" s="3">
        <v>0.3648</v>
      </c>
      <c r="R27" s="3">
        <v>0.4148</v>
      </c>
      <c r="S27" s="3">
        <v>468.220009</v>
      </c>
      <c r="T27" s="3">
        <v>50.0</v>
      </c>
      <c r="U27" s="3">
        <f t="shared" si="2"/>
        <v>208.825</v>
      </c>
      <c r="V27" s="3"/>
      <c r="W27" s="3">
        <f t="shared" si="3"/>
        <v>208.2687156</v>
      </c>
      <c r="X27" s="3">
        <f t="shared" si="4"/>
        <v>3.276917365</v>
      </c>
      <c r="Y27" s="3">
        <f t="shared" si="5"/>
        <v>3.09215076</v>
      </c>
      <c r="Z27" s="3">
        <f t="shared" ref="Z27:AA27" si="30">_xlfn.NORM.S.DIST(X27)</f>
        <v>0.9994752646</v>
      </c>
      <c r="AA27" s="3">
        <f t="shared" si="30"/>
        <v>0.9990064405</v>
      </c>
    </row>
    <row r="28" ht="14.25" customHeight="1">
      <c r="A28" s="3" t="s">
        <v>126</v>
      </c>
      <c r="B28" s="3" t="s">
        <v>127</v>
      </c>
      <c r="C28" s="3" t="s">
        <v>129</v>
      </c>
      <c r="D28" s="3" t="s">
        <v>29</v>
      </c>
      <c r="E28" s="3">
        <v>260.0</v>
      </c>
      <c r="F28" s="3" t="s">
        <v>27</v>
      </c>
      <c r="G28" s="3">
        <v>213.4</v>
      </c>
      <c r="I28" s="3">
        <v>216.95</v>
      </c>
      <c r="K28" s="3">
        <v>0.0</v>
      </c>
      <c r="L28" s="3">
        <v>0.0</v>
      </c>
      <c r="M28" s="3" t="s">
        <v>57</v>
      </c>
      <c r="N28" s="3">
        <v>1.0</v>
      </c>
      <c r="O28" s="3">
        <v>0.0</v>
      </c>
      <c r="P28" s="3">
        <v>-0.7559</v>
      </c>
      <c r="Q28" s="3">
        <v>0.0014</v>
      </c>
      <c r="R28" s="3">
        <v>0.2968</v>
      </c>
      <c r="S28" s="3">
        <v>474.980003</v>
      </c>
      <c r="T28" s="3">
        <v>49.0</v>
      </c>
      <c r="U28" s="3">
        <f t="shared" si="2"/>
        <v>215.175</v>
      </c>
      <c r="V28" s="3"/>
      <c r="W28" s="3">
        <f t="shared" si="3"/>
        <v>215.0154084</v>
      </c>
      <c r="X28" s="3">
        <f t="shared" si="4"/>
        <v>4.670750835</v>
      </c>
      <c r="Y28" s="3">
        <f t="shared" si="5"/>
        <v>4.539874337</v>
      </c>
      <c r="Z28" s="3">
        <f t="shared" ref="Z28:AA28" si="31">_xlfn.NORM.S.DIST(X28)</f>
        <v>0.9999984995</v>
      </c>
      <c r="AA28" s="3">
        <f t="shared" si="31"/>
        <v>0.9999971856</v>
      </c>
    </row>
    <row r="29" ht="14.25" customHeight="1">
      <c r="A29" s="3" t="s">
        <v>126</v>
      </c>
      <c r="B29" s="3" t="s">
        <v>127</v>
      </c>
      <c r="C29" s="3" t="s">
        <v>129</v>
      </c>
      <c r="D29" s="3" t="s">
        <v>29</v>
      </c>
      <c r="E29" s="3">
        <v>260.0</v>
      </c>
      <c r="F29" s="3" t="s">
        <v>27</v>
      </c>
      <c r="G29" s="3">
        <v>219.8</v>
      </c>
      <c r="I29" s="3">
        <v>222.0</v>
      </c>
      <c r="K29" s="3">
        <v>5.0</v>
      </c>
      <c r="L29" s="3">
        <v>0.0</v>
      </c>
      <c r="M29" s="3" t="s">
        <v>58</v>
      </c>
      <c r="N29" s="3">
        <v>1.0</v>
      </c>
      <c r="O29" s="3">
        <v>0.0</v>
      </c>
      <c r="P29" s="3">
        <v>-0.7651</v>
      </c>
      <c r="Q29" s="3">
        <v>0.011</v>
      </c>
      <c r="R29" s="3">
        <v>0.3442</v>
      </c>
      <c r="S29" s="3">
        <v>479.930023</v>
      </c>
      <c r="T29" s="3">
        <v>48.0</v>
      </c>
      <c r="U29" s="3">
        <f t="shared" si="2"/>
        <v>220.9</v>
      </c>
      <c r="V29" s="3"/>
      <c r="W29" s="3">
        <f t="shared" si="3"/>
        <v>219.9649503</v>
      </c>
      <c r="X29" s="3">
        <f t="shared" si="4"/>
        <v>4.156372284</v>
      </c>
      <c r="Y29" s="3">
        <f t="shared" si="5"/>
        <v>4.006151088</v>
      </c>
      <c r="Z29" s="3">
        <f t="shared" ref="Z29:AA29" si="32">_xlfn.NORM.S.DIST(X29)</f>
        <v>0.999983833</v>
      </c>
      <c r="AA29" s="3">
        <f t="shared" si="32"/>
        <v>0.9999691419</v>
      </c>
    </row>
    <row r="30" ht="14.25" customHeight="1">
      <c r="A30" s="3" t="s">
        <v>126</v>
      </c>
      <c r="B30" s="3" t="s">
        <v>127</v>
      </c>
      <c r="C30" s="3" t="s">
        <v>129</v>
      </c>
      <c r="D30" s="3" t="s">
        <v>29</v>
      </c>
      <c r="E30" s="3">
        <v>260.0</v>
      </c>
      <c r="F30" s="3" t="s">
        <v>27</v>
      </c>
      <c r="G30" s="3">
        <v>207.95</v>
      </c>
      <c r="I30" s="3">
        <v>209.3</v>
      </c>
      <c r="K30" s="3">
        <v>0.0</v>
      </c>
      <c r="L30" s="3">
        <v>5.0</v>
      </c>
      <c r="M30" s="3" t="s">
        <v>59</v>
      </c>
      <c r="N30" s="3">
        <v>1.0</v>
      </c>
      <c r="O30" s="3">
        <v>0.0</v>
      </c>
      <c r="P30" s="3">
        <v>-0.7881</v>
      </c>
      <c r="Q30" s="3">
        <v>0.0337</v>
      </c>
      <c r="R30" s="3">
        <v>0.357</v>
      </c>
      <c r="S30" s="3">
        <v>467.900002</v>
      </c>
      <c r="T30" s="3">
        <v>47.0</v>
      </c>
      <c r="U30" s="3">
        <f t="shared" si="2"/>
        <v>208.625</v>
      </c>
      <c r="V30" s="3"/>
      <c r="W30" s="3">
        <f t="shared" si="3"/>
        <v>207.9348121</v>
      </c>
      <c r="X30" s="3">
        <f t="shared" si="4"/>
        <v>3.888987343</v>
      </c>
      <c r="Y30" s="3">
        <f t="shared" si="5"/>
        <v>3.734811308</v>
      </c>
      <c r="Z30" s="3">
        <f t="shared" ref="Z30:AA30" si="33">_xlfn.NORM.S.DIST(X30)</f>
        <v>0.9999496683</v>
      </c>
      <c r="AA30" s="3">
        <f t="shared" si="33"/>
        <v>0.999906072</v>
      </c>
    </row>
    <row r="31" ht="14.25" customHeight="1">
      <c r="A31" s="3" t="s">
        <v>126</v>
      </c>
      <c r="B31" s="3" t="s">
        <v>127</v>
      </c>
      <c r="C31" s="3" t="s">
        <v>129</v>
      </c>
      <c r="D31" s="3" t="s">
        <v>29</v>
      </c>
      <c r="E31" s="3">
        <v>260.0</v>
      </c>
      <c r="F31" s="3" t="s">
        <v>27</v>
      </c>
      <c r="G31" s="3">
        <v>206.2</v>
      </c>
      <c r="I31" s="3">
        <v>207.9</v>
      </c>
      <c r="K31" s="3">
        <v>0.0</v>
      </c>
      <c r="L31" s="3">
        <v>5.0</v>
      </c>
      <c r="M31" s="3" t="s">
        <v>60</v>
      </c>
      <c r="N31" s="3">
        <v>1.0</v>
      </c>
      <c r="O31" s="3">
        <v>0.0</v>
      </c>
      <c r="P31" s="3">
        <v>-0.7621</v>
      </c>
      <c r="Q31" s="3">
        <v>0.0079</v>
      </c>
      <c r="R31" s="3">
        <v>0.3282</v>
      </c>
      <c r="S31" s="3">
        <v>467.009995</v>
      </c>
      <c r="T31" s="3">
        <v>46.0</v>
      </c>
      <c r="U31" s="3">
        <f t="shared" si="2"/>
        <v>207.05</v>
      </c>
      <c r="V31" s="3"/>
      <c r="W31" s="3">
        <f t="shared" si="3"/>
        <v>207.0433713</v>
      </c>
      <c r="X31" s="3">
        <f t="shared" si="4"/>
        <v>4.247739292</v>
      </c>
      <c r="Y31" s="3">
        <f t="shared" si="5"/>
        <v>4.107516948</v>
      </c>
      <c r="Z31" s="3">
        <f t="shared" ref="Z31:AA31" si="34">_xlfn.NORM.S.DIST(X31)</f>
        <v>0.9999892031</v>
      </c>
      <c r="AA31" s="3">
        <f t="shared" si="34"/>
        <v>0.9999800032</v>
      </c>
    </row>
    <row r="32" ht="14.25" customHeight="1">
      <c r="A32" s="3" t="s">
        <v>126</v>
      </c>
      <c r="B32" s="3" t="s">
        <v>127</v>
      </c>
      <c r="C32" s="3" t="s">
        <v>129</v>
      </c>
      <c r="D32" s="3" t="s">
        <v>29</v>
      </c>
      <c r="E32" s="3">
        <v>260.0</v>
      </c>
      <c r="F32" s="3" t="s">
        <v>27</v>
      </c>
      <c r="G32" s="3">
        <v>206.4</v>
      </c>
      <c r="I32" s="3">
        <v>207.55</v>
      </c>
      <c r="K32" s="3">
        <v>0.0</v>
      </c>
      <c r="L32" s="3">
        <v>5.0</v>
      </c>
      <c r="M32" s="3" t="s">
        <v>61</v>
      </c>
      <c r="N32" s="3">
        <v>1.0</v>
      </c>
      <c r="O32" s="3">
        <v>0.0</v>
      </c>
      <c r="P32" s="3">
        <v>-0.7783</v>
      </c>
      <c r="Q32" s="3">
        <v>0.0234</v>
      </c>
      <c r="R32" s="3">
        <v>0.3526</v>
      </c>
      <c r="S32" s="3">
        <v>466.590012</v>
      </c>
      <c r="T32" s="3">
        <v>45.0</v>
      </c>
      <c r="U32" s="3">
        <f t="shared" si="2"/>
        <v>206.975</v>
      </c>
      <c r="V32" s="3"/>
      <c r="W32" s="3">
        <f t="shared" si="3"/>
        <v>206.6230234</v>
      </c>
      <c r="X32" s="3">
        <f t="shared" si="4"/>
        <v>3.999947286</v>
      </c>
      <c r="Y32" s="3">
        <f t="shared" si="5"/>
        <v>3.850946591</v>
      </c>
      <c r="Z32" s="3">
        <f t="shared" ref="Z32:AA32" si="35">_xlfn.NORM.S.DIST(X32)</f>
        <v>0.9999683217</v>
      </c>
      <c r="AA32" s="3">
        <f t="shared" si="35"/>
        <v>0.9999411689</v>
      </c>
    </row>
    <row r="33" ht="14.25" customHeight="1">
      <c r="A33" s="3" t="s">
        <v>126</v>
      </c>
      <c r="B33" s="3" t="s">
        <v>127</v>
      </c>
      <c r="C33" s="3" t="s">
        <v>129</v>
      </c>
      <c r="D33" s="3" t="s">
        <v>29</v>
      </c>
      <c r="E33" s="3">
        <v>260.0</v>
      </c>
      <c r="F33" s="3" t="s">
        <v>27</v>
      </c>
      <c r="G33" s="3">
        <v>200.2</v>
      </c>
      <c r="I33" s="3">
        <v>201.0</v>
      </c>
      <c r="K33" s="3">
        <v>0.0</v>
      </c>
      <c r="L33" s="3">
        <v>5.0</v>
      </c>
      <c r="M33" s="3" t="s">
        <v>62</v>
      </c>
      <c r="N33" s="3">
        <v>1.0</v>
      </c>
      <c r="O33" s="3">
        <v>0.0</v>
      </c>
      <c r="P33" s="3">
        <v>-0.7622</v>
      </c>
      <c r="Q33" s="3">
        <v>0.0078</v>
      </c>
      <c r="R33" s="3">
        <v>0.325</v>
      </c>
      <c r="S33" s="3">
        <v>460.160011</v>
      </c>
      <c r="T33" s="3">
        <v>44.0</v>
      </c>
      <c r="U33" s="3">
        <f t="shared" si="2"/>
        <v>200.6</v>
      </c>
      <c r="V33" s="3"/>
      <c r="W33" s="3">
        <f t="shared" si="3"/>
        <v>200.1919194</v>
      </c>
      <c r="X33" s="3">
        <f t="shared" si="4"/>
        <v>4.272630308</v>
      </c>
      <c r="Y33" s="3">
        <f t="shared" si="5"/>
        <v>4.136827288</v>
      </c>
      <c r="Z33" s="3">
        <f t="shared" ref="Z33:AA33" si="36">_xlfn.NORM.S.DIST(X33)</f>
        <v>0.999990341</v>
      </c>
      <c r="AA33" s="3">
        <f t="shared" si="36"/>
        <v>0.999982393</v>
      </c>
    </row>
    <row r="34" ht="14.25" customHeight="1">
      <c r="A34" s="3" t="s">
        <v>126</v>
      </c>
      <c r="B34" s="3" t="s">
        <v>127</v>
      </c>
      <c r="C34" s="3" t="s">
        <v>129</v>
      </c>
      <c r="D34" s="3" t="s">
        <v>29</v>
      </c>
      <c r="E34" s="3">
        <v>260.0</v>
      </c>
      <c r="F34" s="3" t="s">
        <v>27</v>
      </c>
      <c r="G34" s="3">
        <v>200.15</v>
      </c>
      <c r="I34" s="3">
        <v>200.6</v>
      </c>
      <c r="K34" s="3">
        <v>26.0</v>
      </c>
      <c r="L34" s="3">
        <v>5.0</v>
      </c>
      <c r="M34" s="3" t="s">
        <v>63</v>
      </c>
      <c r="N34" s="3">
        <v>1.0</v>
      </c>
      <c r="O34" s="3">
        <v>0.0</v>
      </c>
      <c r="P34" s="3">
        <v>-0.771</v>
      </c>
      <c r="Q34" s="3">
        <v>0.0149</v>
      </c>
      <c r="R34" s="3">
        <v>0.3493</v>
      </c>
      <c r="S34" s="3">
        <v>459.990021</v>
      </c>
      <c r="T34" s="3">
        <v>43.0</v>
      </c>
      <c r="U34" s="3">
        <f t="shared" si="2"/>
        <v>200.375</v>
      </c>
      <c r="V34" s="3"/>
      <c r="W34" s="3">
        <f t="shared" si="3"/>
        <v>200.0215087</v>
      </c>
      <c r="X34" s="3">
        <f t="shared" si="4"/>
        <v>4.027009299</v>
      </c>
      <c r="Y34" s="3">
        <f t="shared" si="5"/>
        <v>3.882720525</v>
      </c>
      <c r="Z34" s="3">
        <f t="shared" ref="Z34:AA34" si="37">_xlfn.NORM.S.DIST(X34)</f>
        <v>0.9999717546</v>
      </c>
      <c r="AA34" s="3">
        <f t="shared" si="37"/>
        <v>0.9999483529</v>
      </c>
    </row>
    <row r="35" ht="14.25" customHeight="1">
      <c r="A35" s="3" t="s">
        <v>126</v>
      </c>
      <c r="B35" s="3" t="s">
        <v>127</v>
      </c>
      <c r="C35" s="3" t="s">
        <v>129</v>
      </c>
      <c r="D35" s="3" t="s">
        <v>29</v>
      </c>
      <c r="E35" s="3">
        <v>260.0</v>
      </c>
      <c r="F35" s="3" t="s">
        <v>27</v>
      </c>
      <c r="G35" s="3">
        <v>189.1</v>
      </c>
      <c r="I35" s="3">
        <v>189.85</v>
      </c>
      <c r="K35" s="3">
        <v>182.0</v>
      </c>
      <c r="L35" s="3">
        <v>31.0</v>
      </c>
      <c r="M35" s="3" t="s">
        <v>64</v>
      </c>
      <c r="N35" s="3">
        <v>0.9998</v>
      </c>
      <c r="O35" s="3">
        <v>0.0</v>
      </c>
      <c r="P35" s="3">
        <v>-0.9071</v>
      </c>
      <c r="Q35" s="3">
        <v>0.1242</v>
      </c>
      <c r="R35" s="3">
        <v>0.392</v>
      </c>
      <c r="S35" s="3">
        <v>448.850006</v>
      </c>
      <c r="T35" s="3">
        <v>42.0</v>
      </c>
      <c r="U35" s="3">
        <f t="shared" si="2"/>
        <v>189.475</v>
      </c>
      <c r="V35" s="3"/>
      <c r="W35" s="3">
        <f t="shared" si="3"/>
        <v>188.884836</v>
      </c>
      <c r="X35" s="3">
        <f t="shared" si="4"/>
        <v>3.492579571</v>
      </c>
      <c r="Y35" s="3">
        <f t="shared" si="5"/>
        <v>3.332546241</v>
      </c>
      <c r="Z35" s="3">
        <f t="shared" ref="Z35:AA35" si="38">_xlfn.NORM.S.DIST(X35)</f>
        <v>0.9997608105</v>
      </c>
      <c r="AA35" s="3">
        <f t="shared" si="38"/>
        <v>0.9995697242</v>
      </c>
    </row>
    <row r="36" ht="14.25" customHeight="1">
      <c r="A36" s="3" t="s">
        <v>126</v>
      </c>
      <c r="B36" s="3" t="s">
        <v>127</v>
      </c>
      <c r="C36" s="3" t="s">
        <v>129</v>
      </c>
      <c r="D36" s="3" t="s">
        <v>29</v>
      </c>
      <c r="E36" s="3">
        <v>260.0</v>
      </c>
      <c r="F36" s="3" t="s">
        <v>27</v>
      </c>
      <c r="G36" s="3">
        <v>185.9</v>
      </c>
      <c r="I36" s="3">
        <v>186.6</v>
      </c>
      <c r="K36" s="3">
        <v>156.0</v>
      </c>
      <c r="L36" s="3">
        <v>213.0</v>
      </c>
      <c r="M36" s="3" t="s">
        <v>65</v>
      </c>
      <c r="N36" s="3">
        <v>0.9999</v>
      </c>
      <c r="O36" s="3">
        <v>0.0</v>
      </c>
      <c r="P36" s="3">
        <v>-0.7967</v>
      </c>
      <c r="Q36" s="3">
        <v>0.0368</v>
      </c>
      <c r="R36" s="3">
        <v>0.357</v>
      </c>
      <c r="S36" s="3">
        <v>446.060009</v>
      </c>
      <c r="T36" s="3">
        <v>41.0</v>
      </c>
      <c r="U36" s="3">
        <f t="shared" si="2"/>
        <v>186.25</v>
      </c>
      <c r="V36" s="3"/>
      <c r="W36" s="3">
        <f t="shared" si="3"/>
        <v>186.0906506</v>
      </c>
      <c r="X36" s="3">
        <f t="shared" si="4"/>
        <v>3.821228765</v>
      </c>
      <c r="Y36" s="3">
        <f t="shared" si="5"/>
        <v>3.677229633</v>
      </c>
      <c r="Z36" s="3">
        <f t="shared" ref="Z36:AA36" si="39">_xlfn.NORM.S.DIST(X36)</f>
        <v>0.9999336058</v>
      </c>
      <c r="AA36" s="3">
        <f t="shared" si="39"/>
        <v>0.9998821096</v>
      </c>
    </row>
    <row r="37" ht="14.25" customHeight="1">
      <c r="A37" s="3" t="s">
        <v>126</v>
      </c>
      <c r="B37" s="3" t="s">
        <v>127</v>
      </c>
      <c r="C37" s="3" t="s">
        <v>129</v>
      </c>
      <c r="D37" s="3" t="s">
        <v>29</v>
      </c>
      <c r="E37" s="3">
        <v>260.0</v>
      </c>
      <c r="F37" s="3" t="s">
        <v>27</v>
      </c>
      <c r="G37" s="3">
        <v>190.8</v>
      </c>
      <c r="I37" s="3">
        <v>191.5</v>
      </c>
      <c r="K37" s="3">
        <v>0.0</v>
      </c>
      <c r="L37" s="3">
        <v>369.0</v>
      </c>
      <c r="M37" s="3" t="s">
        <v>66</v>
      </c>
      <c r="N37" s="3">
        <v>1.0</v>
      </c>
      <c r="O37" s="3">
        <v>0.0</v>
      </c>
      <c r="P37" s="3">
        <v>-0.7904</v>
      </c>
      <c r="Q37" s="3">
        <v>0.0302</v>
      </c>
      <c r="R37" s="3">
        <v>0.3625</v>
      </c>
      <c r="S37" s="3">
        <v>450.809998</v>
      </c>
      <c r="T37" s="3">
        <v>40.0</v>
      </c>
      <c r="U37" s="3">
        <f t="shared" si="2"/>
        <v>191.15</v>
      </c>
      <c r="V37" s="3"/>
      <c r="W37" s="3">
        <f t="shared" si="3"/>
        <v>190.8396848</v>
      </c>
      <c r="X37" s="3">
        <f t="shared" si="4"/>
        <v>3.883749355</v>
      </c>
      <c r="Y37" s="3">
        <f t="shared" si="5"/>
        <v>3.739325898</v>
      </c>
      <c r="Z37" s="3">
        <f t="shared" ref="Z37:AA37" si="40">_xlfn.NORM.S.DIST(X37)</f>
        <v>0.999948571</v>
      </c>
      <c r="AA37" s="3">
        <f t="shared" si="40"/>
        <v>0.9999077428</v>
      </c>
    </row>
    <row r="38" ht="14.25" customHeight="1">
      <c r="A38" s="3" t="s">
        <v>126</v>
      </c>
      <c r="B38" s="3" t="s">
        <v>127</v>
      </c>
      <c r="C38" s="3" t="s">
        <v>129</v>
      </c>
      <c r="D38" s="3" t="s">
        <v>29</v>
      </c>
      <c r="E38" s="3">
        <v>260.0</v>
      </c>
      <c r="F38" s="3" t="s">
        <v>27</v>
      </c>
      <c r="G38" s="3">
        <v>182.85</v>
      </c>
      <c r="I38" s="3">
        <v>184.05</v>
      </c>
      <c r="K38" s="3">
        <v>0.0</v>
      </c>
      <c r="L38" s="3">
        <v>369.0</v>
      </c>
      <c r="M38" s="3" t="s">
        <v>67</v>
      </c>
      <c r="N38" s="3">
        <v>0.9998</v>
      </c>
      <c r="O38" s="3">
        <v>0.0</v>
      </c>
      <c r="P38" s="3">
        <v>-0.9571</v>
      </c>
      <c r="Q38" s="3">
        <v>0.1454</v>
      </c>
      <c r="R38" s="3">
        <v>0.4068</v>
      </c>
      <c r="S38" s="3">
        <v>442.799988</v>
      </c>
      <c r="T38" s="3">
        <v>39.0</v>
      </c>
      <c r="U38" s="3">
        <f t="shared" si="2"/>
        <v>183.45</v>
      </c>
      <c r="V38" s="3"/>
      <c r="W38" s="3">
        <f t="shared" si="3"/>
        <v>182.8343539</v>
      </c>
      <c r="X38" s="3">
        <f t="shared" si="4"/>
        <v>3.407709978</v>
      </c>
      <c r="Y38" s="3">
        <f t="shared" si="5"/>
        <v>3.247675714</v>
      </c>
      <c r="Z38" s="3">
        <f t="shared" ref="Z38:AA38" si="41">_xlfn.NORM.S.DIST(X38)</f>
        <v>0.9996724476</v>
      </c>
      <c r="AA38" s="3">
        <f t="shared" si="41"/>
        <v>0.999418241</v>
      </c>
    </row>
    <row r="39" ht="14.25" customHeight="1">
      <c r="A39" s="3" t="s">
        <v>126</v>
      </c>
      <c r="B39" s="3" t="s">
        <v>127</v>
      </c>
      <c r="C39" s="3" t="s">
        <v>129</v>
      </c>
      <c r="D39" s="3" t="s">
        <v>29</v>
      </c>
      <c r="E39" s="3">
        <v>260.0</v>
      </c>
      <c r="F39" s="3" t="s">
        <v>27</v>
      </c>
      <c r="G39" s="3">
        <v>189.0</v>
      </c>
      <c r="I39" s="3">
        <v>190.05</v>
      </c>
      <c r="K39" s="3">
        <v>0.0</v>
      </c>
      <c r="L39" s="3">
        <v>369.0</v>
      </c>
      <c r="M39" s="3" t="s">
        <v>68</v>
      </c>
      <c r="N39" s="3">
        <v>0.9999</v>
      </c>
      <c r="O39" s="3">
        <v>0.0</v>
      </c>
      <c r="P39" s="3">
        <v>-0.8291</v>
      </c>
      <c r="Q39" s="3">
        <v>0.0546</v>
      </c>
      <c r="R39" s="3">
        <v>0.3901</v>
      </c>
      <c r="S39" s="3">
        <v>448.970009</v>
      </c>
      <c r="T39" s="3">
        <v>38.0</v>
      </c>
      <c r="U39" s="3">
        <f t="shared" si="2"/>
        <v>189.525</v>
      </c>
      <c r="V39" s="3"/>
      <c r="W39" s="3">
        <f t="shared" si="3"/>
        <v>188.9994155</v>
      </c>
      <c r="X39" s="3">
        <f t="shared" si="4"/>
        <v>3.682585863</v>
      </c>
      <c r="Y39" s="3">
        <f t="shared" si="5"/>
        <v>3.531101613</v>
      </c>
      <c r="Z39" s="3">
        <f t="shared" ref="Z39:AA39" si="42">_xlfn.NORM.S.DIST(X39)</f>
        <v>0.99988456</v>
      </c>
      <c r="AA39" s="3">
        <f t="shared" si="42"/>
        <v>0.9997930836</v>
      </c>
    </row>
    <row r="40" ht="14.25" customHeight="1">
      <c r="A40" s="3" t="s">
        <v>126</v>
      </c>
      <c r="B40" s="3" t="s">
        <v>127</v>
      </c>
      <c r="C40" s="3" t="s">
        <v>129</v>
      </c>
      <c r="D40" s="3" t="s">
        <v>29</v>
      </c>
      <c r="E40" s="3">
        <v>260.0</v>
      </c>
      <c r="F40" s="3" t="s">
        <v>27</v>
      </c>
      <c r="G40" s="3">
        <v>184.65</v>
      </c>
      <c r="I40" s="3">
        <v>185.85</v>
      </c>
      <c r="K40" s="3">
        <v>0.0</v>
      </c>
      <c r="L40" s="3">
        <v>369.0</v>
      </c>
      <c r="M40" s="3" t="s">
        <v>69</v>
      </c>
      <c r="N40" s="3">
        <v>0.9999</v>
      </c>
      <c r="O40" s="3">
        <v>0.0</v>
      </c>
      <c r="P40" s="3">
        <v>-0.8594</v>
      </c>
      <c r="Q40" s="3">
        <v>0.0742</v>
      </c>
      <c r="R40" s="3">
        <v>0.3962</v>
      </c>
      <c r="S40" s="3">
        <v>444.569988</v>
      </c>
      <c r="T40" s="3">
        <v>37.0</v>
      </c>
      <c r="U40" s="3">
        <f t="shared" si="2"/>
        <v>185.25</v>
      </c>
      <c r="V40" s="3"/>
      <c r="W40" s="3">
        <f t="shared" si="3"/>
        <v>184.5993362</v>
      </c>
      <c r="X40" s="3">
        <f t="shared" si="4"/>
        <v>3.60999955</v>
      </c>
      <c r="Y40" s="3">
        <f t="shared" si="5"/>
        <v>3.458184417</v>
      </c>
      <c r="Z40" s="3">
        <f t="shared" ref="Z40:AA40" si="43">_xlfn.NORM.S.DIST(X40)</f>
        <v>0.9998469012</v>
      </c>
      <c r="AA40" s="3">
        <f t="shared" si="43"/>
        <v>0.9997280855</v>
      </c>
    </row>
    <row r="41" ht="14.25" customHeight="1">
      <c r="A41" s="3" t="s">
        <v>126</v>
      </c>
      <c r="B41" s="3" t="s">
        <v>127</v>
      </c>
      <c r="C41" s="3" t="s">
        <v>129</v>
      </c>
      <c r="D41" s="3" t="s">
        <v>29</v>
      </c>
      <c r="E41" s="3">
        <v>260.0</v>
      </c>
      <c r="F41" s="3" t="s">
        <v>27</v>
      </c>
      <c r="G41" s="3">
        <v>181.5</v>
      </c>
      <c r="I41" s="3">
        <v>182.85</v>
      </c>
      <c r="K41" s="3">
        <v>0.0</v>
      </c>
      <c r="L41" s="3">
        <v>369.0</v>
      </c>
      <c r="M41" s="3" t="s">
        <v>70</v>
      </c>
      <c r="N41" s="3">
        <v>0.9998</v>
      </c>
      <c r="O41" s="3">
        <v>0.0</v>
      </c>
      <c r="P41" s="3">
        <v>-0.9081</v>
      </c>
      <c r="Q41" s="3">
        <v>0.1042</v>
      </c>
      <c r="R41" s="3">
        <v>0.4059</v>
      </c>
      <c r="S41" s="3">
        <v>441.400009</v>
      </c>
      <c r="T41" s="3">
        <v>36.0</v>
      </c>
      <c r="U41" s="3">
        <f t="shared" si="2"/>
        <v>182.175</v>
      </c>
      <c r="V41" s="3"/>
      <c r="W41" s="3">
        <f t="shared" si="3"/>
        <v>181.4296938</v>
      </c>
      <c r="X41" s="3">
        <f t="shared" si="4"/>
        <v>3.527264831</v>
      </c>
      <c r="Y41" s="3">
        <f t="shared" si="5"/>
        <v>3.373849052</v>
      </c>
      <c r="Z41" s="3">
        <f t="shared" ref="Z41:AA41" si="44">_xlfn.NORM.S.DIST(X41)</f>
        <v>0.9997900617</v>
      </c>
      <c r="AA41" s="3">
        <f t="shared" si="44"/>
        <v>0.999629375</v>
      </c>
    </row>
    <row r="42" ht="14.25" customHeight="1">
      <c r="A42" s="3" t="s">
        <v>126</v>
      </c>
      <c r="B42" s="3" t="s">
        <v>127</v>
      </c>
      <c r="C42" s="3" t="s">
        <v>129</v>
      </c>
      <c r="D42" s="3" t="s">
        <v>29</v>
      </c>
      <c r="E42" s="3">
        <v>260.0</v>
      </c>
      <c r="F42" s="3" t="s">
        <v>27</v>
      </c>
      <c r="G42" s="3">
        <v>169.0</v>
      </c>
      <c r="I42" s="3">
        <v>172.15</v>
      </c>
      <c r="K42" s="3">
        <v>0.0</v>
      </c>
      <c r="L42" s="3">
        <v>369.0</v>
      </c>
      <c r="M42" s="3" t="s">
        <v>71</v>
      </c>
      <c r="N42" s="3">
        <v>0.9999</v>
      </c>
      <c r="O42" s="3">
        <v>0.0</v>
      </c>
      <c r="P42" s="3">
        <v>-0.8132</v>
      </c>
      <c r="Q42" s="3">
        <v>0.0583</v>
      </c>
      <c r="R42" s="3">
        <v>0.374</v>
      </c>
      <c r="S42" s="3">
        <v>430.470013</v>
      </c>
      <c r="T42" s="3">
        <v>35.0</v>
      </c>
      <c r="U42" s="3">
        <f t="shared" si="2"/>
        <v>170.575</v>
      </c>
      <c r="V42" s="3"/>
      <c r="W42" s="3">
        <f t="shared" si="3"/>
        <v>170.49698</v>
      </c>
      <c r="X42" s="3">
        <f t="shared" si="4"/>
        <v>3.687767797</v>
      </c>
      <c r="Y42" s="3">
        <f t="shared" si="5"/>
        <v>3.548386226</v>
      </c>
      <c r="Z42" s="3">
        <f t="shared" ref="Z42:AA42" si="45">_xlfn.NORM.S.DIST(X42)</f>
        <v>0.999886885</v>
      </c>
      <c r="AA42" s="3">
        <f t="shared" si="45"/>
        <v>0.9998062003</v>
      </c>
    </row>
    <row r="43" ht="14.25" customHeight="1">
      <c r="A43" s="3" t="s">
        <v>126</v>
      </c>
      <c r="B43" s="3" t="s">
        <v>127</v>
      </c>
      <c r="C43" s="3" t="s">
        <v>129</v>
      </c>
      <c r="D43" s="3" t="s">
        <v>29</v>
      </c>
      <c r="E43" s="3">
        <v>260.0</v>
      </c>
      <c r="F43" s="3" t="s">
        <v>27</v>
      </c>
      <c r="G43" s="3">
        <v>158.25</v>
      </c>
      <c r="I43" s="3">
        <v>161.7</v>
      </c>
      <c r="K43" s="3">
        <v>0.0</v>
      </c>
      <c r="L43" s="3">
        <v>369.0</v>
      </c>
      <c r="M43" s="3" t="s">
        <v>72</v>
      </c>
      <c r="N43" s="3">
        <v>0.9999</v>
      </c>
      <c r="O43" s="3">
        <v>0.0</v>
      </c>
      <c r="P43" s="3">
        <v>-0.8366</v>
      </c>
      <c r="Q43" s="3">
        <v>0.0707</v>
      </c>
      <c r="R43" s="3">
        <v>0.3738</v>
      </c>
      <c r="S43" s="3">
        <v>420.049988</v>
      </c>
      <c r="T43" s="3">
        <v>34.0</v>
      </c>
      <c r="U43" s="3">
        <f t="shared" si="2"/>
        <v>159.975</v>
      </c>
      <c r="V43" s="3"/>
      <c r="W43" s="3">
        <f t="shared" si="3"/>
        <v>160.0772501</v>
      </c>
      <c r="X43" s="3">
        <f t="shared" si="4"/>
        <v>3.563026757</v>
      </c>
      <c r="Y43" s="3">
        <f t="shared" si="5"/>
        <v>3.425724245</v>
      </c>
      <c r="Z43" s="3">
        <f t="shared" ref="Z43:AA43" si="46">_xlfn.NORM.S.DIST(X43)</f>
        <v>0.9998166984</v>
      </c>
      <c r="AA43" s="3">
        <f t="shared" si="46"/>
        <v>0.9996934187</v>
      </c>
    </row>
    <row r="44" ht="14.25" customHeight="1">
      <c r="A44" s="3" t="s">
        <v>126</v>
      </c>
      <c r="B44" s="3" t="s">
        <v>127</v>
      </c>
      <c r="C44" s="3" t="s">
        <v>129</v>
      </c>
      <c r="D44" s="3" t="s">
        <v>29</v>
      </c>
      <c r="E44" s="3">
        <v>260.0</v>
      </c>
      <c r="F44" s="3" t="s">
        <v>27</v>
      </c>
      <c r="G44" s="3">
        <v>170.6</v>
      </c>
      <c r="I44" s="3">
        <v>172.2</v>
      </c>
      <c r="K44" s="3">
        <v>0.0</v>
      </c>
      <c r="L44" s="3">
        <v>369.0</v>
      </c>
      <c r="M44" s="3" t="s">
        <v>73</v>
      </c>
      <c r="N44" s="3">
        <v>0.9999</v>
      </c>
      <c r="O44" s="3">
        <v>0.0</v>
      </c>
      <c r="P44" s="3">
        <v>-0.8638</v>
      </c>
      <c r="Q44" s="3">
        <v>0.081</v>
      </c>
      <c r="R44" s="3">
        <v>0.4026</v>
      </c>
      <c r="S44" s="3">
        <v>431.139988</v>
      </c>
      <c r="T44" s="3">
        <v>33.0</v>
      </c>
      <c r="U44" s="3">
        <f t="shared" si="2"/>
        <v>171.4</v>
      </c>
      <c r="V44" s="3"/>
      <c r="W44" s="3">
        <f t="shared" si="3"/>
        <v>171.1669996</v>
      </c>
      <c r="X44" s="3">
        <f t="shared" si="4"/>
        <v>3.544888671</v>
      </c>
      <c r="Y44" s="3">
        <f t="shared" si="5"/>
        <v>3.399198427</v>
      </c>
      <c r="Z44" s="3">
        <f t="shared" ref="Z44:AA44" si="47">_xlfn.NORM.S.DIST(X44)</f>
        <v>0.9998036105</v>
      </c>
      <c r="AA44" s="3">
        <f t="shared" si="47"/>
        <v>0.9996620817</v>
      </c>
    </row>
    <row r="45" ht="14.25" customHeight="1">
      <c r="A45" s="3" t="s">
        <v>126</v>
      </c>
      <c r="B45" s="3" t="s">
        <v>127</v>
      </c>
      <c r="C45" s="3" t="s">
        <v>129</v>
      </c>
      <c r="D45" s="3" t="s">
        <v>29</v>
      </c>
      <c r="E45" s="3">
        <v>260.0</v>
      </c>
      <c r="F45" s="3" t="s">
        <v>27</v>
      </c>
      <c r="G45" s="3">
        <v>164.9</v>
      </c>
      <c r="I45" s="3">
        <v>166.8</v>
      </c>
      <c r="K45" s="3">
        <v>0.0</v>
      </c>
      <c r="L45" s="3">
        <v>369.0</v>
      </c>
      <c r="M45" s="3" t="s">
        <v>74</v>
      </c>
      <c r="N45" s="3">
        <v>0.9999</v>
      </c>
      <c r="O45" s="3">
        <v>0.0</v>
      </c>
      <c r="P45" s="3">
        <v>-0.8231</v>
      </c>
      <c r="Q45" s="3">
        <v>0.0568</v>
      </c>
      <c r="R45" s="3">
        <v>0.3867</v>
      </c>
      <c r="S45" s="3">
        <v>425.659996</v>
      </c>
      <c r="T45" s="3">
        <v>32.0</v>
      </c>
      <c r="U45" s="3">
        <f t="shared" si="2"/>
        <v>165.85</v>
      </c>
      <c r="V45" s="3"/>
      <c r="W45" s="3">
        <f t="shared" si="3"/>
        <v>165.6850622</v>
      </c>
      <c r="X45" s="3">
        <f t="shared" si="4"/>
        <v>3.646900855</v>
      </c>
      <c r="Y45" s="3">
        <f t="shared" si="5"/>
        <v>3.509100959</v>
      </c>
      <c r="Z45" s="3">
        <f t="shared" ref="Z45:AA45" si="48">_xlfn.NORM.S.DIST(X45)</f>
        <v>0.9998672889</v>
      </c>
      <c r="AA45" s="3">
        <f t="shared" si="48"/>
        <v>0.9997751879</v>
      </c>
    </row>
    <row r="46" ht="14.25" customHeight="1">
      <c r="A46" s="3" t="s">
        <v>126</v>
      </c>
      <c r="B46" s="3" t="s">
        <v>127</v>
      </c>
      <c r="C46" s="3" t="s">
        <v>129</v>
      </c>
      <c r="D46" s="3" t="s">
        <v>29</v>
      </c>
      <c r="E46" s="3">
        <v>260.0</v>
      </c>
      <c r="F46" s="3" t="s">
        <v>27</v>
      </c>
      <c r="G46" s="3">
        <v>169.65</v>
      </c>
      <c r="I46" s="3">
        <v>172.5</v>
      </c>
      <c r="K46" s="3">
        <v>0.0</v>
      </c>
      <c r="L46" s="3">
        <v>369.0</v>
      </c>
      <c r="M46" s="3" t="s">
        <v>75</v>
      </c>
      <c r="N46" s="3">
        <v>0.9999</v>
      </c>
      <c r="O46" s="3">
        <v>0.0</v>
      </c>
      <c r="P46" s="3">
        <v>-0.8373</v>
      </c>
      <c r="Q46" s="3">
        <v>0.0617</v>
      </c>
      <c r="R46" s="3">
        <v>0.4029</v>
      </c>
      <c r="S46" s="3">
        <v>430.580002</v>
      </c>
      <c r="T46" s="3">
        <v>31.0</v>
      </c>
      <c r="U46" s="3">
        <f t="shared" si="2"/>
        <v>171.075</v>
      </c>
      <c r="V46" s="3"/>
      <c r="W46" s="3">
        <f t="shared" si="3"/>
        <v>170.6044703</v>
      </c>
      <c r="X46" s="3">
        <f t="shared" si="4"/>
        <v>3.641046252</v>
      </c>
      <c r="Y46" s="3">
        <f t="shared" si="5"/>
        <v>3.499734642</v>
      </c>
      <c r="Z46" s="3">
        <f t="shared" ref="Z46:AA46" si="49">_xlfn.NORM.S.DIST(X46)</f>
        <v>0.9998642338</v>
      </c>
      <c r="AA46" s="3">
        <f t="shared" si="49"/>
        <v>0.9997671392</v>
      </c>
    </row>
    <row r="47" ht="14.25" customHeight="1">
      <c r="A47" s="3" t="s">
        <v>126</v>
      </c>
      <c r="B47" s="3" t="s">
        <v>127</v>
      </c>
      <c r="C47" s="3" t="s">
        <v>129</v>
      </c>
      <c r="D47" s="3" t="s">
        <v>29</v>
      </c>
      <c r="E47" s="3">
        <v>260.0</v>
      </c>
      <c r="F47" s="3" t="s">
        <v>27</v>
      </c>
      <c r="G47" s="3">
        <v>171.4</v>
      </c>
      <c r="I47" s="3">
        <v>172.3</v>
      </c>
      <c r="K47" s="3">
        <v>0.0</v>
      </c>
      <c r="L47" s="3">
        <v>369.0</v>
      </c>
      <c r="M47" s="3" t="s">
        <v>76</v>
      </c>
      <c r="N47" s="3">
        <v>1.0</v>
      </c>
      <c r="O47" s="3">
        <v>0.0</v>
      </c>
      <c r="P47" s="3">
        <v>-0.7612</v>
      </c>
      <c r="Q47" s="3">
        <v>0.0176</v>
      </c>
      <c r="R47" s="3">
        <v>0.3759</v>
      </c>
      <c r="S47" s="3">
        <v>431.720001</v>
      </c>
      <c r="T47" s="3">
        <v>30.0</v>
      </c>
      <c r="U47" s="3">
        <f t="shared" si="2"/>
        <v>171.85</v>
      </c>
      <c r="V47" s="3"/>
      <c r="W47" s="3">
        <f t="shared" si="3"/>
        <v>171.7421259</v>
      </c>
      <c r="X47" s="3">
        <f t="shared" si="4"/>
        <v>3.975315002</v>
      </c>
      <c r="Y47" s="3">
        <f t="shared" si="5"/>
        <v>3.845617181</v>
      </c>
      <c r="Z47" s="3">
        <f t="shared" ref="Z47:AA47" si="50">_xlfn.NORM.S.DIST(X47)</f>
        <v>0.9999648569</v>
      </c>
      <c r="AA47" s="3">
        <f t="shared" si="50"/>
        <v>0.9999398753</v>
      </c>
    </row>
    <row r="48" ht="14.25" customHeight="1">
      <c r="A48" s="3" t="s">
        <v>126</v>
      </c>
      <c r="B48" s="3" t="s">
        <v>127</v>
      </c>
      <c r="C48" s="3" t="s">
        <v>129</v>
      </c>
      <c r="D48" s="3" t="s">
        <v>29</v>
      </c>
      <c r="E48" s="3">
        <v>260.0</v>
      </c>
      <c r="F48" s="3" t="s">
        <v>27</v>
      </c>
      <c r="G48" s="3">
        <v>176.9</v>
      </c>
      <c r="I48" s="3">
        <v>179.1</v>
      </c>
      <c r="K48" s="3">
        <v>0.0</v>
      </c>
      <c r="L48" s="3">
        <v>369.0</v>
      </c>
      <c r="M48" s="3" t="s">
        <v>77</v>
      </c>
      <c r="N48" s="3">
        <v>1.0</v>
      </c>
      <c r="O48" s="3">
        <v>0.0</v>
      </c>
      <c r="P48" s="3">
        <v>-0.7444</v>
      </c>
      <c r="Q48" s="3">
        <v>0.0066</v>
      </c>
      <c r="R48" s="3">
        <v>0.3787</v>
      </c>
      <c r="S48" s="3">
        <v>437.869995</v>
      </c>
      <c r="T48" s="3">
        <v>29.0</v>
      </c>
      <c r="U48" s="3">
        <f t="shared" si="2"/>
        <v>178</v>
      </c>
      <c r="V48" s="3"/>
      <c r="W48" s="3">
        <f t="shared" si="3"/>
        <v>177.8911773</v>
      </c>
      <c r="X48" s="3">
        <f t="shared" si="4"/>
        <v>4.122225669</v>
      </c>
      <c r="Y48" s="3">
        <f t="shared" si="5"/>
        <v>3.993757944</v>
      </c>
      <c r="Z48" s="3">
        <f t="shared" ref="Z48:AA48" si="51">_xlfn.NORM.S.DIST(X48)</f>
        <v>0.9999812385</v>
      </c>
      <c r="AA48" s="3">
        <f t="shared" si="51"/>
        <v>0.9999674829</v>
      </c>
    </row>
    <row r="49" ht="14.25" customHeight="1">
      <c r="A49" s="3" t="s">
        <v>126</v>
      </c>
      <c r="B49" s="3" t="s">
        <v>127</v>
      </c>
      <c r="C49" s="3" t="s">
        <v>129</v>
      </c>
      <c r="D49" s="3" t="s">
        <v>29</v>
      </c>
      <c r="E49" s="3">
        <v>260.0</v>
      </c>
      <c r="F49" s="3" t="s">
        <v>27</v>
      </c>
      <c r="G49" s="3">
        <v>168.15</v>
      </c>
      <c r="I49" s="3">
        <v>169.0</v>
      </c>
      <c r="K49" s="3">
        <v>10.0</v>
      </c>
      <c r="L49" s="3">
        <v>369.0</v>
      </c>
      <c r="M49" s="3" t="s">
        <v>78</v>
      </c>
      <c r="N49" s="3">
        <v>1.0</v>
      </c>
      <c r="O49" s="3">
        <v>0.0</v>
      </c>
      <c r="P49" s="3">
        <v>-0.7543</v>
      </c>
      <c r="Q49" s="3">
        <v>0.0119</v>
      </c>
      <c r="R49" s="3">
        <v>0.3809</v>
      </c>
      <c r="S49" s="3">
        <v>428.429993</v>
      </c>
      <c r="T49" s="3">
        <v>28.0</v>
      </c>
      <c r="U49" s="3">
        <f t="shared" si="2"/>
        <v>168.575</v>
      </c>
      <c r="V49" s="3"/>
      <c r="W49" s="3">
        <f t="shared" si="3"/>
        <v>168.450618</v>
      </c>
      <c r="X49" s="3">
        <f t="shared" si="4"/>
        <v>3.997771818</v>
      </c>
      <c r="Y49" s="3">
        <f t="shared" si="5"/>
        <v>3.870805151</v>
      </c>
      <c r="Z49" s="3">
        <f t="shared" ref="Z49:AA49" si="52">_xlfn.NORM.S.DIST(X49)</f>
        <v>0.9999680292</v>
      </c>
      <c r="AA49" s="3">
        <f t="shared" si="52"/>
        <v>0.9999457618</v>
      </c>
    </row>
    <row r="50" ht="14.25" customHeight="1">
      <c r="A50" s="3" t="s">
        <v>126</v>
      </c>
      <c r="B50" s="3" t="s">
        <v>127</v>
      </c>
      <c r="C50" s="3" t="s">
        <v>129</v>
      </c>
      <c r="D50" s="3" t="s">
        <v>29</v>
      </c>
      <c r="E50" s="3">
        <v>260.0</v>
      </c>
      <c r="F50" s="3" t="s">
        <v>27</v>
      </c>
      <c r="G50" s="3">
        <v>167.65</v>
      </c>
      <c r="I50" s="3">
        <v>169.35</v>
      </c>
      <c r="K50" s="3">
        <v>0.0</v>
      </c>
      <c r="L50" s="3">
        <v>369.0</v>
      </c>
      <c r="M50" s="3" t="s">
        <v>79</v>
      </c>
      <c r="N50" s="3">
        <v>1.0</v>
      </c>
      <c r="O50" s="3">
        <v>0.0</v>
      </c>
      <c r="P50" s="3">
        <v>-0.7441</v>
      </c>
      <c r="Q50" s="3">
        <v>0.0062</v>
      </c>
      <c r="R50" s="3">
        <v>0.3718</v>
      </c>
      <c r="S50" s="3">
        <v>428.349991</v>
      </c>
      <c r="T50" s="3">
        <v>27.0</v>
      </c>
      <c r="U50" s="3">
        <f t="shared" si="2"/>
        <v>168.5</v>
      </c>
      <c r="V50" s="3"/>
      <c r="W50" s="3">
        <f t="shared" si="3"/>
        <v>168.3696729</v>
      </c>
      <c r="X50" s="3">
        <f t="shared" si="4"/>
        <v>4.163836786</v>
      </c>
      <c r="Y50" s="3">
        <f t="shared" si="5"/>
        <v>4.042136669</v>
      </c>
      <c r="Z50" s="3">
        <f t="shared" ref="Z50:AA50" si="53">_xlfn.NORM.S.DIST(X50)</f>
        <v>0.9999843528</v>
      </c>
      <c r="AA50" s="3">
        <f t="shared" si="53"/>
        <v>0.9999735168</v>
      </c>
    </row>
    <row r="51" ht="14.25" customHeight="1">
      <c r="A51" s="3" t="s">
        <v>126</v>
      </c>
      <c r="B51" s="3" t="s">
        <v>127</v>
      </c>
      <c r="C51" s="3" t="s">
        <v>129</v>
      </c>
      <c r="D51" s="3" t="s">
        <v>29</v>
      </c>
      <c r="E51" s="3">
        <v>260.0</v>
      </c>
      <c r="F51" s="3" t="s">
        <v>27</v>
      </c>
      <c r="G51" s="3">
        <v>172.1</v>
      </c>
      <c r="I51" s="3">
        <v>172.85</v>
      </c>
      <c r="K51" s="3">
        <v>0.0</v>
      </c>
      <c r="L51" s="3">
        <v>369.0</v>
      </c>
      <c r="M51" s="3" t="s">
        <v>80</v>
      </c>
      <c r="N51" s="3">
        <v>1.0</v>
      </c>
      <c r="O51" s="3">
        <v>0.0</v>
      </c>
      <c r="P51" s="3">
        <v>-0.7359</v>
      </c>
      <c r="Q51" s="3">
        <v>0.0018</v>
      </c>
      <c r="R51" s="3">
        <v>0.3595</v>
      </c>
      <c r="S51" s="3">
        <v>432.499992</v>
      </c>
      <c r="T51" s="3">
        <v>26.0</v>
      </c>
      <c r="U51" s="3">
        <f t="shared" si="2"/>
        <v>172.475</v>
      </c>
      <c r="V51" s="3"/>
      <c r="W51" s="3">
        <f t="shared" si="3"/>
        <v>172.5188111</v>
      </c>
      <c r="X51" s="3">
        <f t="shared" si="4"/>
        <v>4.465410072</v>
      </c>
      <c r="Y51" s="3">
        <f t="shared" si="5"/>
        <v>4.349935782</v>
      </c>
      <c r="Z51" s="3">
        <f t="shared" ref="Z51:AA51" si="54">_xlfn.NORM.S.DIST(X51)</f>
        <v>0.9999960042</v>
      </c>
      <c r="AA51" s="3">
        <f t="shared" si="54"/>
        <v>0.9999931911</v>
      </c>
    </row>
    <row r="52" ht="14.25" customHeight="1">
      <c r="A52" s="3" t="s">
        <v>126</v>
      </c>
      <c r="B52" s="3" t="s">
        <v>127</v>
      </c>
      <c r="C52" s="3" t="s">
        <v>129</v>
      </c>
      <c r="D52" s="3" t="s">
        <v>29</v>
      </c>
      <c r="E52" s="3">
        <v>260.0</v>
      </c>
      <c r="F52" s="3" t="s">
        <v>27</v>
      </c>
      <c r="G52" s="3">
        <v>183.35</v>
      </c>
      <c r="I52" s="3">
        <v>184.3</v>
      </c>
      <c r="K52" s="3">
        <v>0.0</v>
      </c>
      <c r="L52" s="3">
        <v>369.0</v>
      </c>
      <c r="M52" s="3" t="s">
        <v>81</v>
      </c>
      <c r="N52" s="3">
        <v>1.0</v>
      </c>
      <c r="O52" s="3">
        <v>0.0</v>
      </c>
      <c r="P52" s="3">
        <v>-0.734</v>
      </c>
      <c r="Q52" s="3">
        <v>7.0E-4</v>
      </c>
      <c r="R52" s="3">
        <v>0.3658</v>
      </c>
      <c r="S52" s="3">
        <v>443.660007</v>
      </c>
      <c r="T52" s="3">
        <v>25.0</v>
      </c>
      <c r="U52" s="3">
        <f t="shared" si="2"/>
        <v>183.825</v>
      </c>
      <c r="V52" s="3"/>
      <c r="W52" s="3">
        <f t="shared" si="3"/>
        <v>183.6780756</v>
      </c>
      <c r="X52" s="3">
        <f t="shared" si="4"/>
        <v>4.696248058</v>
      </c>
      <c r="Y52" s="3">
        <f t="shared" si="5"/>
        <v>4.581031887</v>
      </c>
      <c r="Z52" s="3">
        <f t="shared" ref="Z52:AA52" si="55">_xlfn.NORM.S.DIST(X52)</f>
        <v>0.9999986751</v>
      </c>
      <c r="AA52" s="3">
        <f t="shared" si="55"/>
        <v>0.9999976866</v>
      </c>
    </row>
    <row r="53" ht="14.25" customHeight="1">
      <c r="A53" s="3" t="s">
        <v>126</v>
      </c>
      <c r="B53" s="3" t="s">
        <v>127</v>
      </c>
      <c r="C53" s="3" t="s">
        <v>129</v>
      </c>
      <c r="D53" s="3" t="s">
        <v>29</v>
      </c>
      <c r="E53" s="3">
        <v>260.0</v>
      </c>
      <c r="F53" s="3" t="s">
        <v>27</v>
      </c>
      <c r="G53" s="3">
        <v>195.65</v>
      </c>
      <c r="I53" s="3">
        <v>196.8</v>
      </c>
      <c r="K53" s="3">
        <v>0.0</v>
      </c>
      <c r="L53" s="3">
        <v>369.0</v>
      </c>
      <c r="M53" s="3" t="s">
        <v>82</v>
      </c>
      <c r="N53" s="3">
        <v>1.0</v>
      </c>
      <c r="O53" s="3">
        <v>0.0</v>
      </c>
      <c r="P53" s="3">
        <v>-0.7333</v>
      </c>
      <c r="Q53" s="3">
        <v>2.0E-4</v>
      </c>
      <c r="R53" s="3">
        <v>0.3842</v>
      </c>
      <c r="S53" s="3">
        <v>455.720016</v>
      </c>
      <c r="T53" s="3">
        <v>24.0</v>
      </c>
      <c r="U53" s="3">
        <f t="shared" si="2"/>
        <v>196.225</v>
      </c>
      <c r="V53" s="3"/>
      <c r="W53" s="3">
        <f t="shared" si="3"/>
        <v>195.7373575</v>
      </c>
      <c r="X53" s="3">
        <f t="shared" si="4"/>
        <v>4.793021272</v>
      </c>
      <c r="Y53" s="3">
        <f t="shared" si="5"/>
        <v>4.674454578</v>
      </c>
      <c r="Z53" s="3">
        <f t="shared" ref="Z53:AA53" si="56">_xlfn.NORM.S.DIST(X53)</f>
        <v>0.9999991786</v>
      </c>
      <c r="AA53" s="3">
        <f t="shared" si="56"/>
        <v>0.9999985263</v>
      </c>
    </row>
    <row r="54" ht="14.25" customHeight="1">
      <c r="A54" s="3" t="s">
        <v>126</v>
      </c>
      <c r="B54" s="3" t="s">
        <v>127</v>
      </c>
      <c r="C54" s="3" t="s">
        <v>129</v>
      </c>
      <c r="D54" s="3" t="s">
        <v>29</v>
      </c>
      <c r="E54" s="3">
        <v>260.0</v>
      </c>
      <c r="F54" s="3" t="s">
        <v>27</v>
      </c>
      <c r="G54" s="3">
        <v>194.1</v>
      </c>
      <c r="I54" s="3">
        <v>194.95</v>
      </c>
      <c r="K54" s="3">
        <v>0.0</v>
      </c>
      <c r="L54" s="3">
        <v>369.0</v>
      </c>
      <c r="M54" s="3" t="s">
        <v>83</v>
      </c>
      <c r="N54" s="3">
        <v>1.0</v>
      </c>
      <c r="O54" s="3">
        <v>0.0</v>
      </c>
      <c r="P54" s="3">
        <v>-0.7332</v>
      </c>
      <c r="Q54" s="3">
        <v>2.0E-4</v>
      </c>
      <c r="R54" s="3">
        <v>0.3851</v>
      </c>
      <c r="S54" s="3">
        <v>454.489975</v>
      </c>
      <c r="T54" s="3">
        <v>23.0</v>
      </c>
      <c r="U54" s="3">
        <f t="shared" si="2"/>
        <v>194.525</v>
      </c>
      <c r="V54" s="3"/>
      <c r="W54" s="3">
        <f t="shared" si="3"/>
        <v>194.5065917</v>
      </c>
      <c r="X54" s="3">
        <f t="shared" si="4"/>
        <v>4.85916548</v>
      </c>
      <c r="Y54" s="3">
        <f t="shared" si="5"/>
        <v>4.742823308</v>
      </c>
      <c r="Z54" s="3">
        <f t="shared" ref="Z54:AA54" si="57">_xlfn.NORM.S.DIST(X54)</f>
        <v>0.9999994106</v>
      </c>
      <c r="AA54" s="3">
        <f t="shared" si="57"/>
        <v>0.9999989462</v>
      </c>
    </row>
    <row r="55" ht="14.25" customHeight="1">
      <c r="A55" s="3" t="s">
        <v>126</v>
      </c>
      <c r="B55" s="3" t="s">
        <v>127</v>
      </c>
      <c r="C55" s="3" t="s">
        <v>129</v>
      </c>
      <c r="D55" s="3" t="s">
        <v>29</v>
      </c>
      <c r="E55" s="3">
        <v>260.0</v>
      </c>
      <c r="F55" s="3" t="s">
        <v>27</v>
      </c>
      <c r="G55" s="3">
        <v>191.7</v>
      </c>
      <c r="I55" s="3">
        <v>192.5</v>
      </c>
      <c r="K55" s="3">
        <v>1.0</v>
      </c>
      <c r="L55" s="3">
        <v>369.0</v>
      </c>
      <c r="M55" s="3" t="s">
        <v>84</v>
      </c>
      <c r="N55" s="3">
        <v>1.0</v>
      </c>
      <c r="O55" s="3">
        <v>0.0</v>
      </c>
      <c r="P55" s="3">
        <v>-0.7328</v>
      </c>
      <c r="Q55" s="3">
        <v>0.0</v>
      </c>
      <c r="R55" s="3">
        <v>0.3423</v>
      </c>
      <c r="S55" s="3">
        <v>452.079987</v>
      </c>
      <c r="T55" s="3">
        <v>22.0</v>
      </c>
      <c r="U55" s="3">
        <f t="shared" si="2"/>
        <v>192.1</v>
      </c>
      <c r="V55" s="3"/>
      <c r="W55" s="3">
        <f t="shared" si="3"/>
        <v>192.0958755</v>
      </c>
      <c r="X55" s="3">
        <f t="shared" si="4"/>
        <v>5.520659897</v>
      </c>
      <c r="Y55" s="3">
        <f t="shared" si="5"/>
        <v>5.419521056</v>
      </c>
      <c r="Z55" s="3">
        <f t="shared" ref="Z55:AA55" si="58">_xlfn.NORM.S.DIST(X55)</f>
        <v>0.9999999831</v>
      </c>
      <c r="AA55" s="3">
        <f t="shared" si="58"/>
        <v>0.9999999701</v>
      </c>
    </row>
    <row r="56" ht="14.25" customHeight="1">
      <c r="A56" s="3" t="s">
        <v>126</v>
      </c>
      <c r="B56" s="3" t="s">
        <v>127</v>
      </c>
      <c r="C56" s="3" t="s">
        <v>129</v>
      </c>
      <c r="D56" s="3" t="s">
        <v>29</v>
      </c>
      <c r="E56" s="3">
        <v>260.0</v>
      </c>
      <c r="F56" s="3" t="s">
        <v>27</v>
      </c>
      <c r="G56" s="3">
        <v>192.5</v>
      </c>
      <c r="I56" s="3">
        <v>193.6</v>
      </c>
      <c r="K56" s="3">
        <v>0.0</v>
      </c>
      <c r="L56" s="3">
        <v>370.0</v>
      </c>
      <c r="M56" s="3" t="s">
        <v>85</v>
      </c>
      <c r="N56" s="3">
        <v>1.0</v>
      </c>
      <c r="O56" s="3">
        <v>0.0</v>
      </c>
      <c r="P56" s="3">
        <v>-0.7328</v>
      </c>
      <c r="Q56" s="3">
        <v>0.0</v>
      </c>
      <c r="R56" s="3">
        <v>0.3307</v>
      </c>
      <c r="S56" s="3">
        <v>452.729988</v>
      </c>
      <c r="T56" s="3">
        <v>21.0</v>
      </c>
      <c r="U56" s="3">
        <f t="shared" si="2"/>
        <v>193.05</v>
      </c>
      <c r="V56" s="3"/>
      <c r="W56" s="3">
        <f t="shared" si="3"/>
        <v>192.7451542</v>
      </c>
      <c r="X56" s="3">
        <f t="shared" si="4"/>
        <v>5.857959949</v>
      </c>
      <c r="Y56" s="3">
        <f t="shared" si="5"/>
        <v>5.762495082</v>
      </c>
      <c r="Z56" s="3">
        <f t="shared" ref="Z56:AA56" si="59">_xlfn.NORM.S.DIST(X56)</f>
        <v>0.9999999977</v>
      </c>
      <c r="AA56" s="3">
        <f t="shared" si="59"/>
        <v>0.9999999959</v>
      </c>
    </row>
    <row r="57" ht="14.25" customHeight="1">
      <c r="A57" s="3" t="s">
        <v>126</v>
      </c>
      <c r="B57" s="3" t="s">
        <v>127</v>
      </c>
      <c r="C57" s="3" t="s">
        <v>129</v>
      </c>
      <c r="D57" s="3" t="s">
        <v>29</v>
      </c>
      <c r="E57" s="3">
        <v>260.0</v>
      </c>
      <c r="F57" s="3" t="s">
        <v>27</v>
      </c>
      <c r="G57" s="3">
        <v>201.4</v>
      </c>
      <c r="I57" s="3">
        <v>202.4</v>
      </c>
      <c r="K57" s="3">
        <v>0.0</v>
      </c>
      <c r="L57" s="3">
        <v>370.0</v>
      </c>
      <c r="M57" s="3" t="s">
        <v>86</v>
      </c>
      <c r="N57" s="3">
        <v>1.0</v>
      </c>
      <c r="O57" s="3">
        <v>0.0</v>
      </c>
      <c r="P57" s="3">
        <v>-0.7328</v>
      </c>
      <c r="Q57" s="3">
        <v>0.0</v>
      </c>
      <c r="R57" s="3">
        <v>0.3478</v>
      </c>
      <c r="S57" s="3">
        <v>461.910011</v>
      </c>
      <c r="T57" s="3">
        <v>20.0</v>
      </c>
      <c r="U57" s="3">
        <f t="shared" si="2"/>
        <v>201.9</v>
      </c>
      <c r="V57" s="3"/>
      <c r="W57" s="3">
        <f t="shared" si="3"/>
        <v>201.9244551</v>
      </c>
      <c r="X57" s="3">
        <f t="shared" si="4"/>
        <v>5.914829963</v>
      </c>
      <c r="Y57" s="3">
        <f t="shared" si="5"/>
        <v>5.816848413</v>
      </c>
      <c r="Z57" s="3">
        <f t="shared" ref="Z57:AA57" si="60">_xlfn.NORM.S.DIST(X57)</f>
        <v>0.9999999983</v>
      </c>
      <c r="AA57" s="3">
        <f t="shared" si="60"/>
        <v>0.999999997</v>
      </c>
    </row>
    <row r="58" ht="14.25" customHeight="1">
      <c r="A58" s="3" t="s">
        <v>126</v>
      </c>
      <c r="B58" s="3" t="s">
        <v>127</v>
      </c>
      <c r="C58" s="3" t="s">
        <v>129</v>
      </c>
      <c r="D58" s="3" t="s">
        <v>29</v>
      </c>
      <c r="E58" s="3">
        <v>260.0</v>
      </c>
      <c r="F58" s="3" t="s">
        <v>27</v>
      </c>
      <c r="G58" s="3">
        <v>203.35</v>
      </c>
      <c r="I58" s="3">
        <v>204.4</v>
      </c>
      <c r="K58" s="3">
        <v>0.0</v>
      </c>
      <c r="L58" s="3">
        <v>370.0</v>
      </c>
      <c r="M58" s="3" t="s">
        <v>87</v>
      </c>
      <c r="N58" s="3">
        <v>1.0</v>
      </c>
      <c r="O58" s="3">
        <v>0.0</v>
      </c>
      <c r="P58" s="3">
        <v>-0.7328</v>
      </c>
      <c r="Q58" s="3">
        <v>0.0</v>
      </c>
      <c r="R58" s="3">
        <v>0.3421</v>
      </c>
      <c r="S58" s="3">
        <v>463.580009</v>
      </c>
      <c r="T58" s="3">
        <v>19.0</v>
      </c>
      <c r="U58" s="3">
        <f t="shared" si="2"/>
        <v>203.875</v>
      </c>
      <c r="V58" s="3"/>
      <c r="W58" s="3">
        <f t="shared" si="3"/>
        <v>203.5937309</v>
      </c>
      <c r="X58" s="3">
        <f t="shared" si="4"/>
        <v>6.203855513</v>
      </c>
      <c r="Y58" s="3">
        <f t="shared" si="5"/>
        <v>6.109920045</v>
      </c>
      <c r="Z58" s="3">
        <f t="shared" ref="Z58:AA58" si="61">_xlfn.NORM.S.DIST(X58)</f>
        <v>0.9999999997</v>
      </c>
      <c r="AA58" s="3">
        <f t="shared" si="61"/>
        <v>0.9999999995</v>
      </c>
    </row>
    <row r="59" ht="14.25" customHeight="1">
      <c r="A59" s="3" t="s">
        <v>126</v>
      </c>
      <c r="B59" s="3" t="s">
        <v>127</v>
      </c>
      <c r="C59" s="3" t="s">
        <v>129</v>
      </c>
      <c r="D59" s="3" t="s">
        <v>29</v>
      </c>
      <c r="E59" s="3">
        <v>260.0</v>
      </c>
      <c r="F59" s="3" t="s">
        <v>27</v>
      </c>
      <c r="G59" s="3">
        <v>200.7</v>
      </c>
      <c r="I59" s="3">
        <v>201.7</v>
      </c>
      <c r="K59" s="3">
        <v>0.0</v>
      </c>
      <c r="L59" s="3">
        <v>370.0</v>
      </c>
      <c r="M59" s="3" t="s">
        <v>88</v>
      </c>
      <c r="N59" s="3">
        <v>1.0</v>
      </c>
      <c r="O59" s="3">
        <v>0.0</v>
      </c>
      <c r="P59" s="3">
        <v>-0.7328</v>
      </c>
      <c r="Q59" s="3">
        <v>0.0</v>
      </c>
      <c r="R59" s="3">
        <v>0.2895</v>
      </c>
      <c r="S59" s="3">
        <v>461.140007</v>
      </c>
      <c r="T59" s="3">
        <v>18.0</v>
      </c>
      <c r="U59" s="3">
        <f t="shared" si="2"/>
        <v>201.2</v>
      </c>
      <c r="V59" s="3"/>
      <c r="W59" s="3">
        <f t="shared" si="3"/>
        <v>201.1530067</v>
      </c>
      <c r="X59" s="3">
        <f t="shared" si="4"/>
        <v>7.445359141</v>
      </c>
      <c r="Y59" s="3">
        <f t="shared" si="5"/>
        <v>7.367987012</v>
      </c>
      <c r="Z59" s="3">
        <f t="shared" ref="Z59:AA59" si="62">_xlfn.NORM.S.DIST(X59)</f>
        <v>1</v>
      </c>
      <c r="AA59" s="3">
        <f t="shared" si="62"/>
        <v>1</v>
      </c>
    </row>
    <row r="60" ht="14.25" customHeight="1">
      <c r="A60" s="3" t="s">
        <v>126</v>
      </c>
      <c r="B60" s="3" t="s">
        <v>127</v>
      </c>
      <c r="C60" s="3" t="s">
        <v>129</v>
      </c>
      <c r="D60" s="3" t="s">
        <v>29</v>
      </c>
      <c r="E60" s="3">
        <v>260.0</v>
      </c>
      <c r="F60" s="3" t="s">
        <v>27</v>
      </c>
      <c r="G60" s="3">
        <v>191.85</v>
      </c>
      <c r="I60" s="3">
        <v>192.4</v>
      </c>
      <c r="K60" s="3">
        <v>0.0</v>
      </c>
      <c r="L60" s="3">
        <v>370.0</v>
      </c>
      <c r="M60" s="3" t="s">
        <v>89</v>
      </c>
      <c r="N60" s="3">
        <v>1.0</v>
      </c>
      <c r="O60" s="3">
        <v>0.0</v>
      </c>
      <c r="P60" s="3">
        <v>-0.7328</v>
      </c>
      <c r="Q60" s="3">
        <v>0.0</v>
      </c>
      <c r="R60" s="3">
        <v>0.3118</v>
      </c>
      <c r="S60" s="3">
        <v>452.079987</v>
      </c>
      <c r="T60" s="3">
        <v>17.0</v>
      </c>
      <c r="U60" s="3">
        <f t="shared" si="2"/>
        <v>192.125</v>
      </c>
      <c r="V60" s="3"/>
      <c r="W60" s="3">
        <f t="shared" si="3"/>
        <v>192.0922645</v>
      </c>
      <c r="X60" s="3">
        <f t="shared" si="4"/>
        <v>6.871759332</v>
      </c>
      <c r="Y60" s="3">
        <f t="shared" si="5"/>
        <v>6.790775131</v>
      </c>
      <c r="Z60" s="3">
        <f t="shared" ref="Z60:AA60" si="63">_xlfn.NORM.S.DIST(X60)</f>
        <v>1</v>
      </c>
      <c r="AA60" s="3">
        <f t="shared" si="63"/>
        <v>1</v>
      </c>
    </row>
    <row r="61" ht="14.25" customHeight="1">
      <c r="A61" s="3" t="s">
        <v>126</v>
      </c>
      <c r="B61" s="3" t="s">
        <v>127</v>
      </c>
      <c r="C61" s="3" t="s">
        <v>129</v>
      </c>
      <c r="D61" s="3" t="s">
        <v>29</v>
      </c>
      <c r="E61" s="3">
        <v>260.0</v>
      </c>
      <c r="F61" s="3" t="s">
        <v>27</v>
      </c>
      <c r="G61" s="3">
        <v>181.9</v>
      </c>
      <c r="I61" s="3">
        <v>183.65</v>
      </c>
      <c r="K61" s="3">
        <v>0.0</v>
      </c>
      <c r="L61" s="3">
        <v>370.0</v>
      </c>
      <c r="M61" s="3" t="s">
        <v>90</v>
      </c>
      <c r="N61" s="3">
        <v>1.0</v>
      </c>
      <c r="O61" s="3">
        <v>0.0</v>
      </c>
      <c r="P61" s="3">
        <v>-0.7328</v>
      </c>
      <c r="Q61" s="3">
        <v>0.0</v>
      </c>
      <c r="R61" s="3">
        <v>0.297</v>
      </c>
      <c r="S61" s="3">
        <v>442.660011</v>
      </c>
      <c r="T61" s="3">
        <v>16.0</v>
      </c>
      <c r="U61" s="3">
        <f t="shared" si="2"/>
        <v>182.775</v>
      </c>
      <c r="V61" s="3"/>
      <c r="W61" s="3">
        <f t="shared" si="3"/>
        <v>182.6715663</v>
      </c>
      <c r="X61" s="3">
        <f t="shared" si="4"/>
        <v>7.148407212</v>
      </c>
      <c r="Y61" s="3">
        <f t="shared" si="5"/>
        <v>7.073570246</v>
      </c>
      <c r="Z61" s="3">
        <f t="shared" ref="Z61:AA61" si="64">_xlfn.NORM.S.DIST(X61)</f>
        <v>1</v>
      </c>
      <c r="AA61" s="3">
        <f t="shared" si="64"/>
        <v>1</v>
      </c>
    </row>
    <row r="62" ht="14.25" customHeight="1">
      <c r="A62" s="3" t="s">
        <v>126</v>
      </c>
      <c r="B62" s="3" t="s">
        <v>127</v>
      </c>
      <c r="C62" s="3" t="s">
        <v>129</v>
      </c>
      <c r="D62" s="3" t="s">
        <v>29</v>
      </c>
      <c r="E62" s="3">
        <v>260.0</v>
      </c>
      <c r="F62" s="3" t="s">
        <v>27</v>
      </c>
      <c r="G62" s="3">
        <v>167.3</v>
      </c>
      <c r="I62" s="3">
        <v>170.6</v>
      </c>
      <c r="K62" s="3">
        <v>0.0</v>
      </c>
      <c r="L62" s="3">
        <v>370.0</v>
      </c>
      <c r="M62" s="3" t="s">
        <v>91</v>
      </c>
      <c r="N62" s="3">
        <v>1.0</v>
      </c>
      <c r="O62" s="3">
        <v>0.0</v>
      </c>
      <c r="P62" s="3">
        <v>-0.7212</v>
      </c>
      <c r="Q62" s="3">
        <v>0.0</v>
      </c>
      <c r="R62" s="3">
        <v>0.4064</v>
      </c>
      <c r="S62" s="3">
        <v>428.910004</v>
      </c>
      <c r="T62" s="3">
        <v>15.0</v>
      </c>
      <c r="U62" s="3">
        <f t="shared" si="2"/>
        <v>168.95</v>
      </c>
      <c r="V62" s="3"/>
      <c r="W62" s="3">
        <f t="shared" si="3"/>
        <v>168.9208385</v>
      </c>
      <c r="X62" s="3">
        <f t="shared" si="4"/>
        <v>5.098489933</v>
      </c>
      <c r="Y62" s="3">
        <f t="shared" si="5"/>
        <v>4.999338485</v>
      </c>
      <c r="Z62" s="3">
        <f t="shared" ref="Z62:AA62" si="65">_xlfn.NORM.S.DIST(X62)</f>
        <v>0.9999998288</v>
      </c>
      <c r="AA62" s="3">
        <f t="shared" si="65"/>
        <v>0.9999997124</v>
      </c>
    </row>
    <row r="63" ht="14.25" customHeight="1">
      <c r="A63" s="3" t="s">
        <v>126</v>
      </c>
      <c r="B63" s="3" t="s">
        <v>127</v>
      </c>
      <c r="C63" s="3" t="s">
        <v>129</v>
      </c>
      <c r="D63" s="3" t="s">
        <v>29</v>
      </c>
      <c r="E63" s="3">
        <v>260.0</v>
      </c>
      <c r="F63" s="3" t="s">
        <v>27</v>
      </c>
      <c r="G63" s="3">
        <v>168.65</v>
      </c>
      <c r="I63" s="3">
        <v>171.0</v>
      </c>
      <c r="K63" s="3">
        <v>0.0</v>
      </c>
      <c r="L63" s="3">
        <v>370.0</v>
      </c>
      <c r="M63" s="3" t="s">
        <v>92</v>
      </c>
      <c r="N63" s="3">
        <v>0.9999</v>
      </c>
      <c r="O63" s="3">
        <v>0.0</v>
      </c>
      <c r="P63" s="3">
        <v>0.3583</v>
      </c>
      <c r="Q63" s="3">
        <v>0.0</v>
      </c>
      <c r="R63" s="3">
        <v>0.3582</v>
      </c>
      <c r="S63" s="3">
        <v>429.789997</v>
      </c>
      <c r="T63" s="3">
        <v>14.0</v>
      </c>
      <c r="U63" s="3">
        <f t="shared" si="2"/>
        <v>169.825</v>
      </c>
      <c r="V63" s="3"/>
      <c r="W63" s="3">
        <f t="shared" si="3"/>
        <v>169.8001079</v>
      </c>
      <c r="X63" s="3">
        <f t="shared" si="4"/>
        <v>5.995816109</v>
      </c>
      <c r="Y63" s="3">
        <f t="shared" si="5"/>
        <v>5.911387559</v>
      </c>
      <c r="Z63" s="3">
        <f t="shared" ref="Z63:AA63" si="66">_xlfn.NORM.S.DIST(X63)</f>
        <v>0.999999999</v>
      </c>
      <c r="AA63" s="3">
        <f t="shared" si="66"/>
        <v>0.9999999983</v>
      </c>
    </row>
    <row r="64" ht="14.25" customHeight="1">
      <c r="A64" s="3" t="s">
        <v>126</v>
      </c>
      <c r="B64" s="3" t="s">
        <v>127</v>
      </c>
      <c r="C64" s="3" t="s">
        <v>129</v>
      </c>
      <c r="D64" s="3" t="s">
        <v>29</v>
      </c>
      <c r="E64" s="3">
        <v>260.0</v>
      </c>
      <c r="F64" s="3" t="s">
        <v>27</v>
      </c>
      <c r="G64" s="3">
        <v>171.3</v>
      </c>
      <c r="I64" s="3">
        <v>172.8</v>
      </c>
      <c r="K64" s="3">
        <v>0.0</v>
      </c>
      <c r="L64" s="3">
        <v>370.0</v>
      </c>
      <c r="M64" s="3" t="s">
        <v>93</v>
      </c>
      <c r="N64" s="3">
        <v>0.9998</v>
      </c>
      <c r="O64" s="3">
        <v>0.0</v>
      </c>
      <c r="P64" s="3">
        <v>1.4484</v>
      </c>
      <c r="Q64" s="3">
        <v>0.0</v>
      </c>
      <c r="R64" s="3">
        <v>0.3572</v>
      </c>
      <c r="S64" s="3">
        <v>431.989994</v>
      </c>
      <c r="T64" s="3">
        <v>13.0</v>
      </c>
      <c r="U64" s="3">
        <f t="shared" si="2"/>
        <v>172.05</v>
      </c>
      <c r="V64" s="3"/>
      <c r="W64" s="3">
        <f t="shared" si="3"/>
        <v>171.9993827</v>
      </c>
      <c r="X64" s="3">
        <f t="shared" si="4"/>
        <v>6.299104419</v>
      </c>
      <c r="Y64" s="3">
        <f t="shared" si="5"/>
        <v>6.217974161</v>
      </c>
      <c r="Z64" s="3">
        <f t="shared" ref="Z64:AA64" si="67">_xlfn.NORM.S.DIST(X64)</f>
        <v>0.9999999999</v>
      </c>
      <c r="AA64" s="3">
        <f t="shared" si="67"/>
        <v>0.9999999997</v>
      </c>
    </row>
    <row r="65" ht="14.25" customHeight="1">
      <c r="A65" s="3" t="s">
        <v>126</v>
      </c>
      <c r="B65" s="3" t="s">
        <v>127</v>
      </c>
      <c r="C65" s="3" t="s">
        <v>129</v>
      </c>
      <c r="D65" s="3" t="s">
        <v>29</v>
      </c>
      <c r="E65" s="3">
        <v>260.0</v>
      </c>
      <c r="F65" s="3" t="s">
        <v>27</v>
      </c>
      <c r="G65" s="3">
        <v>167.0</v>
      </c>
      <c r="I65" s="3">
        <v>168.4</v>
      </c>
      <c r="K65" s="3">
        <v>0.0</v>
      </c>
      <c r="L65" s="3">
        <v>370.0</v>
      </c>
      <c r="M65" s="3" t="s">
        <v>94</v>
      </c>
      <c r="N65" s="3">
        <v>0.9998</v>
      </c>
      <c r="O65" s="3">
        <v>0.0</v>
      </c>
      <c r="P65" s="3">
        <v>1.427</v>
      </c>
      <c r="Q65" s="3">
        <v>0.0</v>
      </c>
      <c r="R65" s="3">
        <v>0.3978</v>
      </c>
      <c r="S65" s="3">
        <v>427.71999</v>
      </c>
      <c r="T65" s="3">
        <v>12.0</v>
      </c>
      <c r="U65" s="3">
        <f t="shared" si="2"/>
        <v>167.7</v>
      </c>
      <c r="V65" s="3"/>
      <c r="W65" s="3">
        <f t="shared" si="3"/>
        <v>167.7286565</v>
      </c>
      <c r="X65" s="3">
        <f t="shared" si="4"/>
        <v>5.778194682</v>
      </c>
      <c r="Y65" s="3">
        <f t="shared" si="5"/>
        <v>5.691387605</v>
      </c>
      <c r="Z65" s="3">
        <f t="shared" ref="Z65:AA65" si="68">_xlfn.NORM.S.DIST(X65)</f>
        <v>0.9999999962</v>
      </c>
      <c r="AA65" s="3">
        <f t="shared" si="68"/>
        <v>0.9999999937</v>
      </c>
    </row>
    <row r="66" ht="14.25" customHeight="1">
      <c r="A66" s="3" t="s">
        <v>126</v>
      </c>
      <c r="B66" s="3" t="s">
        <v>127</v>
      </c>
      <c r="C66" s="3" t="s">
        <v>129</v>
      </c>
      <c r="D66" s="3" t="s">
        <v>29</v>
      </c>
      <c r="E66" s="3">
        <v>260.0</v>
      </c>
      <c r="F66" s="3" t="s">
        <v>27</v>
      </c>
      <c r="G66" s="3">
        <v>162.25</v>
      </c>
      <c r="I66" s="3">
        <v>164.2</v>
      </c>
      <c r="K66" s="3">
        <v>0.0</v>
      </c>
      <c r="L66" s="3">
        <v>370.0</v>
      </c>
      <c r="M66" s="3" t="s">
        <v>95</v>
      </c>
      <c r="N66" s="3">
        <v>0.9998</v>
      </c>
      <c r="O66" s="3">
        <v>0.0</v>
      </c>
      <c r="P66" s="3">
        <v>1.4044</v>
      </c>
      <c r="Q66" s="3">
        <v>0.0</v>
      </c>
      <c r="R66" s="3">
        <v>0.4025</v>
      </c>
      <c r="S66" s="3">
        <v>423.199993</v>
      </c>
      <c r="T66" s="3">
        <v>11.0</v>
      </c>
      <c r="U66" s="3">
        <f t="shared" si="2"/>
        <v>163.225</v>
      </c>
      <c r="V66" s="3"/>
      <c r="W66" s="3">
        <f t="shared" si="3"/>
        <v>163.2079373</v>
      </c>
      <c r="X66" s="3">
        <f t="shared" si="4"/>
        <v>5.835530355</v>
      </c>
      <c r="Y66" s="3">
        <f t="shared" si="5"/>
        <v>5.751436947</v>
      </c>
      <c r="Z66" s="3">
        <f t="shared" ref="Z66:AA66" si="69">_xlfn.NORM.S.DIST(X66)</f>
        <v>0.9999999973</v>
      </c>
      <c r="AA66" s="3">
        <f t="shared" si="69"/>
        <v>0.9999999956</v>
      </c>
    </row>
    <row r="67" ht="14.25" customHeight="1">
      <c r="A67" s="3" t="s">
        <v>126</v>
      </c>
      <c r="B67" s="3" t="s">
        <v>127</v>
      </c>
      <c r="C67" s="3" t="s">
        <v>129</v>
      </c>
      <c r="D67" s="3" t="s">
        <v>29</v>
      </c>
      <c r="E67" s="3">
        <v>260.0</v>
      </c>
      <c r="F67" s="3" t="s">
        <v>27</v>
      </c>
      <c r="G67" s="3">
        <v>165.65</v>
      </c>
      <c r="I67" s="3">
        <v>166.4</v>
      </c>
      <c r="K67" s="3">
        <v>0.0</v>
      </c>
      <c r="L67" s="3">
        <v>370.0</v>
      </c>
      <c r="M67" s="3" t="s">
        <v>96</v>
      </c>
      <c r="N67" s="3">
        <v>0.9998</v>
      </c>
      <c r="O67" s="3">
        <v>0.0</v>
      </c>
      <c r="P67" s="3">
        <v>1.4196</v>
      </c>
      <c r="Q67" s="3">
        <v>0.0</v>
      </c>
      <c r="R67" s="3">
        <v>0.376</v>
      </c>
      <c r="S67" s="3">
        <v>426.209995</v>
      </c>
      <c r="T67" s="3">
        <v>10.0</v>
      </c>
      <c r="U67" s="3">
        <f t="shared" si="2"/>
        <v>166.025</v>
      </c>
      <c r="V67" s="3"/>
      <c r="W67" s="3">
        <f t="shared" si="3"/>
        <v>166.2172171</v>
      </c>
      <c r="X67" s="3">
        <f t="shared" si="4"/>
        <v>6.636539491</v>
      </c>
      <c r="Y67" s="3">
        <f t="shared" si="5"/>
        <v>6.561638498</v>
      </c>
      <c r="Z67" s="3">
        <f t="shared" ref="Z67:AA67" si="70">_xlfn.NORM.S.DIST(X67)</f>
        <v>1</v>
      </c>
      <c r="AA67" s="3">
        <f t="shared" si="70"/>
        <v>1</v>
      </c>
    </row>
    <row r="68" ht="14.25" customHeight="1">
      <c r="A68" s="3" t="s">
        <v>126</v>
      </c>
      <c r="B68" s="3" t="s">
        <v>127</v>
      </c>
      <c r="C68" s="3" t="s">
        <v>129</v>
      </c>
      <c r="D68" s="3" t="s">
        <v>29</v>
      </c>
      <c r="E68" s="3">
        <v>260.0</v>
      </c>
      <c r="F68" s="3" t="s">
        <v>27</v>
      </c>
      <c r="G68" s="3">
        <v>166.5</v>
      </c>
      <c r="I68" s="3">
        <v>167.2</v>
      </c>
      <c r="K68" s="3">
        <v>1.0</v>
      </c>
      <c r="L68" s="3">
        <v>370.0</v>
      </c>
      <c r="M68" s="3" t="s">
        <v>97</v>
      </c>
      <c r="N68" s="3">
        <v>0.9999</v>
      </c>
      <c r="O68" s="3">
        <v>0.0</v>
      </c>
      <c r="P68" s="3">
        <v>1.4235</v>
      </c>
      <c r="Q68" s="3">
        <v>0.0</v>
      </c>
      <c r="R68" s="3">
        <v>0.326</v>
      </c>
      <c r="S68" s="3">
        <v>426.98</v>
      </c>
      <c r="T68" s="3">
        <v>9.0</v>
      </c>
      <c r="U68" s="3">
        <f t="shared" si="2"/>
        <v>166.85</v>
      </c>
      <c r="V68" s="3"/>
      <c r="W68" s="3">
        <f t="shared" si="3"/>
        <v>166.9864999</v>
      </c>
      <c r="X68" s="3">
        <f t="shared" si="4"/>
        <v>8.082986597</v>
      </c>
      <c r="Y68" s="3">
        <f t="shared" si="5"/>
        <v>8.021378388</v>
      </c>
      <c r="Z68" s="3">
        <f t="shared" ref="Z68:AA68" si="71">_xlfn.NORM.S.DIST(X68)</f>
        <v>1</v>
      </c>
      <c r="AA68" s="3">
        <f t="shared" si="71"/>
        <v>1</v>
      </c>
    </row>
    <row r="69" ht="14.25" customHeight="1">
      <c r="A69" s="3" t="s">
        <v>126</v>
      </c>
      <c r="B69" s="3" t="s">
        <v>127</v>
      </c>
      <c r="C69" s="3" t="s">
        <v>129</v>
      </c>
      <c r="D69" s="3" t="s">
        <v>29</v>
      </c>
      <c r="E69" s="3">
        <v>260.0</v>
      </c>
      <c r="F69" s="3" t="s">
        <v>27</v>
      </c>
      <c r="G69" s="3">
        <v>175.25</v>
      </c>
      <c r="I69" s="3">
        <v>176.15</v>
      </c>
      <c r="K69" s="3">
        <v>0.0</v>
      </c>
      <c r="L69" s="3">
        <v>369.0</v>
      </c>
      <c r="M69" s="3" t="s">
        <v>98</v>
      </c>
      <c r="N69" s="3">
        <v>1.0</v>
      </c>
      <c r="O69" s="3">
        <v>0.0</v>
      </c>
      <c r="P69" s="3">
        <v>-0.7212</v>
      </c>
      <c r="Q69" s="3">
        <v>0.0</v>
      </c>
      <c r="R69" s="3">
        <v>0.2904</v>
      </c>
      <c r="S69" s="3">
        <v>435.689999</v>
      </c>
      <c r="T69" s="3">
        <v>8.0</v>
      </c>
      <c r="U69" s="3">
        <f t="shared" si="2"/>
        <v>175.7</v>
      </c>
      <c r="V69" s="3"/>
      <c r="W69" s="3">
        <f t="shared" si="3"/>
        <v>175.6957767</v>
      </c>
      <c r="X69" s="3">
        <f t="shared" si="4"/>
        <v>10.00371869</v>
      </c>
      <c r="Y69" s="3">
        <f t="shared" si="5"/>
        <v>9.951976912</v>
      </c>
      <c r="Z69" s="3">
        <f t="shared" ref="Z69:AA69" si="72">_xlfn.NORM.S.DIST(X69)</f>
        <v>1</v>
      </c>
      <c r="AA69" s="3">
        <f t="shared" si="72"/>
        <v>1</v>
      </c>
    </row>
    <row r="70" ht="14.25" customHeight="1">
      <c r="A70" s="3" t="s">
        <v>126</v>
      </c>
      <c r="B70" s="3" t="s">
        <v>127</v>
      </c>
      <c r="C70" s="3" t="s">
        <v>129</v>
      </c>
      <c r="D70" s="3" t="s">
        <v>29</v>
      </c>
      <c r="E70" s="3">
        <v>260.0</v>
      </c>
      <c r="F70" s="3" t="s">
        <v>27</v>
      </c>
      <c r="G70" s="3">
        <v>174.0</v>
      </c>
      <c r="I70" s="3">
        <v>174.75</v>
      </c>
      <c r="K70" s="3">
        <v>0.0</v>
      </c>
      <c r="L70" s="3">
        <v>369.0</v>
      </c>
      <c r="M70" s="3" t="s">
        <v>99</v>
      </c>
      <c r="N70" s="3">
        <v>1.0</v>
      </c>
      <c r="O70" s="3">
        <v>0.0</v>
      </c>
      <c r="P70" s="3">
        <v>-0.7212</v>
      </c>
      <c r="Q70" s="3">
        <v>0.0</v>
      </c>
      <c r="R70" s="3">
        <v>0.2892</v>
      </c>
      <c r="S70" s="3">
        <v>434.329994</v>
      </c>
      <c r="T70" s="3">
        <v>7.0</v>
      </c>
      <c r="U70" s="3">
        <f t="shared" si="2"/>
        <v>174.375</v>
      </c>
      <c r="V70" s="3"/>
      <c r="W70" s="3">
        <f t="shared" si="3"/>
        <v>174.3350495</v>
      </c>
      <c r="X70" s="3">
        <f t="shared" si="4"/>
        <v>10.67020816</v>
      </c>
      <c r="Y70" s="3">
        <f t="shared" si="5"/>
        <v>10.62200816</v>
      </c>
      <c r="Z70" s="3">
        <f t="shared" ref="Z70:AA70" si="73">_xlfn.NORM.S.DIST(X70)</f>
        <v>1</v>
      </c>
      <c r="AA70" s="3">
        <f t="shared" si="73"/>
        <v>1</v>
      </c>
    </row>
    <row r="71" ht="14.25" customHeight="1">
      <c r="A71" s="3" t="s">
        <v>126</v>
      </c>
      <c r="B71" s="3" t="s">
        <v>127</v>
      </c>
      <c r="C71" s="3" t="s">
        <v>129</v>
      </c>
      <c r="D71" s="3" t="s">
        <v>29</v>
      </c>
      <c r="E71" s="3">
        <v>260.0</v>
      </c>
      <c r="F71" s="3" t="s">
        <v>27</v>
      </c>
      <c r="G71" s="3">
        <v>169.4</v>
      </c>
      <c r="I71" s="3">
        <v>170.15</v>
      </c>
      <c r="K71" s="3">
        <v>0.0</v>
      </c>
      <c r="L71" s="3">
        <v>369.0</v>
      </c>
      <c r="M71" s="3" t="s">
        <v>100</v>
      </c>
      <c r="N71" s="3">
        <v>1.0</v>
      </c>
      <c r="O71" s="3">
        <v>0.0</v>
      </c>
      <c r="P71" s="3">
        <v>-0.7212</v>
      </c>
      <c r="Q71" s="3">
        <v>0.0</v>
      </c>
      <c r="R71" s="3">
        <v>0.2687</v>
      </c>
      <c r="S71" s="3">
        <v>429.800011</v>
      </c>
      <c r="T71" s="3">
        <v>6.0</v>
      </c>
      <c r="U71" s="3">
        <f t="shared" si="2"/>
        <v>169.775</v>
      </c>
      <c r="V71" s="3"/>
      <c r="W71" s="3">
        <f t="shared" si="3"/>
        <v>169.8043443</v>
      </c>
      <c r="X71" s="3">
        <f t="shared" si="4"/>
        <v>12.14420297</v>
      </c>
      <c r="Y71" s="3">
        <f t="shared" si="5"/>
        <v>12.10274166</v>
      </c>
      <c r="Z71" s="3">
        <f t="shared" ref="Z71:AA71" si="74">_xlfn.NORM.S.DIST(X71)</f>
        <v>1</v>
      </c>
      <c r="AA71" s="3">
        <f t="shared" si="74"/>
        <v>1</v>
      </c>
    </row>
    <row r="72" ht="14.25" customHeight="1">
      <c r="A72" s="3" t="s">
        <v>126</v>
      </c>
      <c r="B72" s="3" t="s">
        <v>127</v>
      </c>
      <c r="C72" s="3" t="s">
        <v>129</v>
      </c>
      <c r="D72" s="3" t="s">
        <v>29</v>
      </c>
      <c r="E72" s="3">
        <v>260.0</v>
      </c>
      <c r="F72" s="3" t="s">
        <v>27</v>
      </c>
      <c r="G72" s="3">
        <v>159.55</v>
      </c>
      <c r="I72" s="3">
        <v>160.65</v>
      </c>
      <c r="K72" s="3">
        <v>0.0</v>
      </c>
      <c r="L72" s="3">
        <v>369.0</v>
      </c>
      <c r="M72" s="3" t="s">
        <v>101</v>
      </c>
      <c r="N72" s="3">
        <v>1.0</v>
      </c>
      <c r="O72" s="3">
        <v>0.0</v>
      </c>
      <c r="P72" s="3">
        <v>-0.7212</v>
      </c>
      <c r="Q72" s="3">
        <v>0.0</v>
      </c>
      <c r="R72" s="3">
        <v>0.3776</v>
      </c>
      <c r="S72" s="3">
        <v>419.85001</v>
      </c>
      <c r="T72" s="3">
        <v>5.0</v>
      </c>
      <c r="U72" s="3">
        <f t="shared" si="2"/>
        <v>160.1</v>
      </c>
      <c r="V72" s="3"/>
      <c r="W72" s="3">
        <f t="shared" si="3"/>
        <v>159.8536211</v>
      </c>
      <c r="X72" s="3">
        <f t="shared" si="4"/>
        <v>9.036641805</v>
      </c>
      <c r="Y72" s="3">
        <f t="shared" si="5"/>
        <v>8.98345343</v>
      </c>
      <c r="Z72" s="3">
        <f t="shared" ref="Z72:AA72" si="75">_xlfn.NORM.S.DIST(X72)</f>
        <v>1</v>
      </c>
      <c r="AA72" s="3">
        <f t="shared" si="75"/>
        <v>1</v>
      </c>
    </row>
    <row r="73" ht="14.25" customHeight="1">
      <c r="A73" s="3" t="s">
        <v>126</v>
      </c>
      <c r="B73" s="3" t="s">
        <v>127</v>
      </c>
      <c r="C73" s="3" t="s">
        <v>129</v>
      </c>
      <c r="D73" s="3" t="s">
        <v>29</v>
      </c>
      <c r="E73" s="3">
        <v>260.0</v>
      </c>
      <c r="F73" s="3" t="s">
        <v>27</v>
      </c>
      <c r="G73" s="3">
        <v>165.8</v>
      </c>
      <c r="I73" s="3">
        <v>166.75</v>
      </c>
      <c r="K73" s="3">
        <v>0.0</v>
      </c>
      <c r="L73" s="3">
        <v>369.0</v>
      </c>
      <c r="M73" s="3" t="s">
        <v>102</v>
      </c>
      <c r="N73" s="3">
        <v>1.0</v>
      </c>
      <c r="O73" s="3">
        <v>0.0</v>
      </c>
      <c r="P73" s="3">
        <v>-0.7212</v>
      </c>
      <c r="Q73" s="3">
        <v>0.0</v>
      </c>
      <c r="R73" s="3">
        <v>0.2634</v>
      </c>
      <c r="S73" s="3">
        <v>426.240009</v>
      </c>
      <c r="T73" s="3">
        <v>4.0</v>
      </c>
      <c r="U73" s="3">
        <f t="shared" si="2"/>
        <v>166.275</v>
      </c>
      <c r="V73" s="3"/>
      <c r="W73" s="3">
        <f t="shared" si="3"/>
        <v>166.2428979</v>
      </c>
      <c r="X73" s="3">
        <f t="shared" si="4"/>
        <v>14.91271701</v>
      </c>
      <c r="Y73" s="3">
        <f t="shared" si="5"/>
        <v>14.87953173</v>
      </c>
      <c r="Z73" s="3">
        <f t="shared" ref="Z73:AA73" si="76">_xlfn.NORM.S.DIST(X73)</f>
        <v>1</v>
      </c>
      <c r="AA73" s="3">
        <f t="shared" si="76"/>
        <v>1</v>
      </c>
    </row>
    <row r="74" ht="14.25" customHeight="1">
      <c r="A74" s="3" t="s">
        <v>126</v>
      </c>
      <c r="B74" s="3" t="s">
        <v>127</v>
      </c>
      <c r="C74" s="3" t="s">
        <v>129</v>
      </c>
      <c r="D74" s="3" t="s">
        <v>29</v>
      </c>
      <c r="E74" s="3">
        <v>260.0</v>
      </c>
      <c r="F74" s="3" t="s">
        <v>27</v>
      </c>
      <c r="G74" s="3">
        <v>141.7</v>
      </c>
      <c r="I74" s="3">
        <v>143.9</v>
      </c>
      <c r="K74" s="3">
        <v>0.0</v>
      </c>
      <c r="L74" s="3">
        <v>369.0</v>
      </c>
      <c r="M74" s="3" t="s">
        <v>103</v>
      </c>
      <c r="N74" s="3">
        <v>1.0</v>
      </c>
      <c r="O74" s="3">
        <v>0.0</v>
      </c>
      <c r="P74" s="3">
        <v>-0.7212</v>
      </c>
      <c r="Q74" s="3">
        <v>0.0</v>
      </c>
      <c r="R74" s="3">
        <v>0.4942</v>
      </c>
      <c r="S74" s="3">
        <v>402.800007</v>
      </c>
      <c r="T74" s="3">
        <v>3.0</v>
      </c>
      <c r="U74" s="3">
        <f t="shared" si="2"/>
        <v>142.8</v>
      </c>
      <c r="V74" s="3"/>
      <c r="W74" s="3">
        <f t="shared" si="3"/>
        <v>142.8021737</v>
      </c>
      <c r="X74" s="3">
        <f t="shared" si="4"/>
        <v>8.145535757</v>
      </c>
      <c r="Y74" s="3">
        <f t="shared" si="5"/>
        <v>8.091614116</v>
      </c>
      <c r="Z74" s="3">
        <f t="shared" ref="Z74:AA74" si="77">_xlfn.NORM.S.DIST(X74)</f>
        <v>1</v>
      </c>
      <c r="AA74" s="3">
        <f t="shared" si="77"/>
        <v>1</v>
      </c>
    </row>
    <row r="75" ht="14.25" customHeight="1">
      <c r="A75" s="3" t="s">
        <v>126</v>
      </c>
      <c r="B75" s="3" t="s">
        <v>127</v>
      </c>
      <c r="C75" s="3" t="s">
        <v>129</v>
      </c>
      <c r="D75" s="3" t="s">
        <v>29</v>
      </c>
      <c r="E75" s="3">
        <v>260.0</v>
      </c>
      <c r="F75" s="3" t="s">
        <v>27</v>
      </c>
      <c r="G75" s="3">
        <v>131.75</v>
      </c>
      <c r="I75" s="3">
        <v>132.6</v>
      </c>
      <c r="K75" s="3">
        <v>0.0</v>
      </c>
      <c r="L75" s="3">
        <v>369.0</v>
      </c>
      <c r="M75" s="3" t="s">
        <v>104</v>
      </c>
      <c r="N75" s="3">
        <v>1.0</v>
      </c>
      <c r="O75" s="3">
        <v>0.0</v>
      </c>
      <c r="P75" s="3">
        <v>-0.7212</v>
      </c>
      <c r="Q75" s="3">
        <v>0.0</v>
      </c>
      <c r="R75" s="3">
        <v>0.4285</v>
      </c>
      <c r="S75" s="3">
        <v>392.049988</v>
      </c>
      <c r="T75" s="3">
        <v>2.0</v>
      </c>
      <c r="U75" s="3">
        <f t="shared" si="2"/>
        <v>132.175</v>
      </c>
      <c r="V75" s="3"/>
      <c r="W75" s="3">
        <f t="shared" si="3"/>
        <v>132.0514324</v>
      </c>
      <c r="X75" s="3">
        <f t="shared" si="4"/>
        <v>10.77811864</v>
      </c>
      <c r="Y75" s="3">
        <f t="shared" si="5"/>
        <v>10.73994482</v>
      </c>
      <c r="Z75" s="3">
        <f t="shared" ref="Z75:AA75" si="78">_xlfn.NORM.S.DIST(X75)</f>
        <v>1</v>
      </c>
      <c r="AA75" s="3">
        <f t="shared" si="78"/>
        <v>1</v>
      </c>
    </row>
    <row r="76" ht="14.25" customHeight="1">
      <c r="A76" s="3" t="s">
        <v>126</v>
      </c>
      <c r="B76" s="3" t="s">
        <v>127</v>
      </c>
      <c r="C76" s="3" t="s">
        <v>129</v>
      </c>
      <c r="D76" s="3" t="s">
        <v>29</v>
      </c>
      <c r="E76" s="3">
        <v>260.0</v>
      </c>
      <c r="F76" s="3" t="s">
        <v>27</v>
      </c>
      <c r="G76" s="3">
        <v>130.15</v>
      </c>
      <c r="I76" s="3">
        <v>131.0</v>
      </c>
      <c r="K76" s="3">
        <v>0.0</v>
      </c>
      <c r="L76" s="3">
        <v>369.0</v>
      </c>
      <c r="M76" s="3" t="s">
        <v>105</v>
      </c>
      <c r="N76" s="3">
        <v>1.0</v>
      </c>
      <c r="O76" s="3">
        <v>0.0</v>
      </c>
      <c r="P76" s="3">
        <v>-0.7212</v>
      </c>
      <c r="Q76" s="3">
        <v>0.0</v>
      </c>
      <c r="R76" s="3">
        <v>0.4939</v>
      </c>
      <c r="S76" s="3">
        <v>390.530006</v>
      </c>
      <c r="T76" s="3">
        <v>1.0</v>
      </c>
      <c r="U76" s="3">
        <f t="shared" si="2"/>
        <v>130.575</v>
      </c>
      <c r="V76" s="3"/>
      <c r="W76" s="3">
        <f t="shared" si="3"/>
        <v>130.5307282</v>
      </c>
      <c r="X76" s="3">
        <f t="shared" si="4"/>
        <v>13.09140533</v>
      </c>
      <c r="Y76" s="3">
        <f t="shared" si="5"/>
        <v>13.06029255</v>
      </c>
      <c r="Z76" s="3">
        <f t="shared" ref="Z76:AA76" si="79">_xlfn.NORM.S.DIST(X76)</f>
        <v>1</v>
      </c>
      <c r="AA76" s="3">
        <f t="shared" si="79"/>
        <v>1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  <col customWidth="1" min="18" max="18" width="15.57"/>
    <col customWidth="1" min="19" max="20" width="8.71"/>
    <col customWidth="1" min="21" max="21" width="11.57"/>
    <col customWidth="1" min="22" max="22" width="12.29"/>
    <col customWidth="1" min="23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130</v>
      </c>
      <c r="B2" s="3" t="s">
        <v>131</v>
      </c>
      <c r="C2" s="3" t="s">
        <v>132</v>
      </c>
      <c r="D2" s="3" t="s">
        <v>29</v>
      </c>
      <c r="E2" s="3">
        <v>310.0</v>
      </c>
      <c r="F2" s="3" t="s">
        <v>27</v>
      </c>
      <c r="G2" s="3">
        <v>410.9</v>
      </c>
      <c r="I2" s="3">
        <v>414.5</v>
      </c>
      <c r="K2" s="3">
        <v>0.0</v>
      </c>
      <c r="L2" s="3">
        <v>2.0</v>
      </c>
      <c r="M2" s="3" t="s">
        <v>30</v>
      </c>
      <c r="N2" s="3">
        <v>0.9996</v>
      </c>
      <c r="O2" s="3">
        <v>0.0</v>
      </c>
      <c r="P2" s="3">
        <v>0.5192</v>
      </c>
      <c r="Q2" s="3">
        <v>0.0</v>
      </c>
      <c r="R2" s="3">
        <v>0.2569</v>
      </c>
      <c r="S2" s="3">
        <v>723.250034</v>
      </c>
      <c r="T2" s="3">
        <v>51.0</v>
      </c>
      <c r="U2" s="3">
        <f t="shared" ref="U2:U52" si="2">(I2+G2)*0.5</f>
        <v>412.7</v>
      </c>
      <c r="V2" s="3"/>
      <c r="W2" s="3">
        <f t="shared" ref="W2:W52" si="3">( S2*Z2 ) - ( E2 * EXP(-0.0007*T2/$AC$2) * AA2)</f>
        <v>413.2939476</v>
      </c>
      <c r="X2" s="3">
        <f t="shared" ref="X2:X52" si="4">((LN(S2/E2) + (0.0007 + (R2^2)/2) * T2/$AC$2)) / (R2 * SQRT(T2/$AC$2))</f>
        <v>7.389419402</v>
      </c>
      <c r="Y2" s="3">
        <f t="shared" ref="Y2:Y52" si="5">X2-(R2*SQRT(T2/$AC$2))</f>
        <v>7.273848389</v>
      </c>
      <c r="Z2" s="3">
        <f t="shared" ref="Z2:AA2" si="1">_xlfn.NORM.S.DIST(X2)</f>
        <v>1</v>
      </c>
      <c r="AA2" s="3">
        <f t="shared" si="1"/>
        <v>1</v>
      </c>
      <c r="AC2" s="6">
        <v>252.0</v>
      </c>
    </row>
    <row r="3" ht="14.25" customHeight="1">
      <c r="A3" s="3" t="s">
        <v>130</v>
      </c>
      <c r="B3" s="3" t="s">
        <v>131</v>
      </c>
      <c r="C3" s="3" t="s">
        <v>132</v>
      </c>
      <c r="D3" s="3" t="s">
        <v>29</v>
      </c>
      <c r="E3" s="3">
        <v>310.0</v>
      </c>
      <c r="F3" s="3" t="s">
        <v>27</v>
      </c>
      <c r="G3" s="3">
        <v>412.9</v>
      </c>
      <c r="I3" s="3">
        <v>414.7</v>
      </c>
      <c r="K3" s="3">
        <v>0.0</v>
      </c>
      <c r="L3" s="3">
        <v>2.0</v>
      </c>
      <c r="M3" s="3" t="s">
        <v>31</v>
      </c>
      <c r="N3" s="3">
        <v>0.9996</v>
      </c>
      <c r="O3" s="3">
        <v>0.0</v>
      </c>
      <c r="P3" s="3">
        <v>0.52</v>
      </c>
      <c r="Q3" s="3">
        <v>0.0</v>
      </c>
      <c r="R3" s="3">
        <v>0.3205</v>
      </c>
      <c r="S3" s="3">
        <v>723.670024</v>
      </c>
      <c r="T3" s="3">
        <v>50.0</v>
      </c>
      <c r="U3" s="3">
        <f t="shared" si="2"/>
        <v>413.8</v>
      </c>
      <c r="V3" s="3"/>
      <c r="W3" s="3">
        <f t="shared" si="3"/>
        <v>413.7130766</v>
      </c>
      <c r="X3" s="3">
        <f t="shared" si="4"/>
        <v>6.010649417</v>
      </c>
      <c r="Y3" s="3">
        <f t="shared" si="5"/>
        <v>5.867887371</v>
      </c>
      <c r="Z3" s="3">
        <f t="shared" ref="Z3:AA3" si="6">_xlfn.NORM.S.DIST(X3)</f>
        <v>0.9999999991</v>
      </c>
      <c r="AA3" s="3">
        <f t="shared" si="6"/>
        <v>0.9999999978</v>
      </c>
    </row>
    <row r="4" ht="14.25" customHeight="1">
      <c r="A4" s="3" t="s">
        <v>130</v>
      </c>
      <c r="B4" s="3" t="s">
        <v>131</v>
      </c>
      <c r="C4" s="3" t="s">
        <v>132</v>
      </c>
      <c r="D4" s="3" t="s">
        <v>29</v>
      </c>
      <c r="E4" s="3">
        <v>310.0</v>
      </c>
      <c r="F4" s="3" t="s">
        <v>27</v>
      </c>
      <c r="G4" s="3">
        <v>426.0</v>
      </c>
      <c r="I4" s="3">
        <v>429.6</v>
      </c>
      <c r="K4" s="3">
        <v>0.0</v>
      </c>
      <c r="L4" s="3">
        <v>2.0</v>
      </c>
      <c r="M4" s="3" t="s">
        <v>32</v>
      </c>
      <c r="N4" s="3">
        <v>0.9996</v>
      </c>
      <c r="O4" s="3">
        <v>0.0</v>
      </c>
      <c r="P4" s="3">
        <v>0.586</v>
      </c>
      <c r="Q4" s="3">
        <v>0.0</v>
      </c>
      <c r="R4" s="3">
        <v>0.2794</v>
      </c>
      <c r="S4" s="3">
        <v>737.96998</v>
      </c>
      <c r="T4" s="3">
        <v>49.0</v>
      </c>
      <c r="U4" s="3">
        <f t="shared" si="2"/>
        <v>427.8</v>
      </c>
      <c r="V4" s="3"/>
      <c r="W4" s="3">
        <f t="shared" si="3"/>
        <v>428.0121716</v>
      </c>
      <c r="X4" s="3">
        <f t="shared" si="4"/>
        <v>7.102511552</v>
      </c>
      <c r="Y4" s="3">
        <f t="shared" si="5"/>
        <v>6.979307733</v>
      </c>
      <c r="Z4" s="3">
        <f t="shared" ref="Z4:AA4" si="7">_xlfn.NORM.S.DIST(X4)</f>
        <v>1</v>
      </c>
      <c r="AA4" s="3">
        <f t="shared" si="7"/>
        <v>1</v>
      </c>
    </row>
    <row r="5" ht="14.25" customHeight="1">
      <c r="A5" s="3" t="s">
        <v>130</v>
      </c>
      <c r="B5" s="3" t="s">
        <v>131</v>
      </c>
      <c r="C5" s="3" t="s">
        <v>132</v>
      </c>
      <c r="D5" s="3" t="s">
        <v>29</v>
      </c>
      <c r="E5" s="3">
        <v>310.0</v>
      </c>
      <c r="F5" s="3" t="s">
        <v>27</v>
      </c>
      <c r="G5" s="3">
        <v>423.6</v>
      </c>
      <c r="I5" s="3">
        <v>425.6</v>
      </c>
      <c r="K5" s="3">
        <v>0.0</v>
      </c>
      <c r="L5" s="3">
        <v>2.0</v>
      </c>
      <c r="M5" s="3" t="s">
        <v>33</v>
      </c>
      <c r="N5" s="3">
        <v>0.9998</v>
      </c>
      <c r="O5" s="3">
        <v>0.0</v>
      </c>
      <c r="P5" s="3">
        <v>-0.1978</v>
      </c>
      <c r="Q5" s="3">
        <v>0.0</v>
      </c>
      <c r="R5" s="3">
        <v>0.2708</v>
      </c>
      <c r="S5" s="3">
        <v>734.749998</v>
      </c>
      <c r="T5" s="3">
        <v>48.0</v>
      </c>
      <c r="U5" s="3">
        <f t="shared" si="2"/>
        <v>424.6</v>
      </c>
      <c r="V5" s="3"/>
      <c r="W5" s="3">
        <f t="shared" si="3"/>
        <v>424.7913286</v>
      </c>
      <c r="X5" s="3">
        <f t="shared" si="4"/>
        <v>7.361865543</v>
      </c>
      <c r="Y5" s="3">
        <f t="shared" si="5"/>
        <v>7.243678733</v>
      </c>
      <c r="Z5" s="3">
        <f t="shared" ref="Z5:AA5" si="8">_xlfn.NORM.S.DIST(X5)</f>
        <v>1</v>
      </c>
      <c r="AA5" s="3">
        <f t="shared" si="8"/>
        <v>1</v>
      </c>
    </row>
    <row r="6" ht="14.25" customHeight="1">
      <c r="A6" s="3" t="s">
        <v>130</v>
      </c>
      <c r="B6" s="3" t="s">
        <v>131</v>
      </c>
      <c r="C6" s="3" t="s">
        <v>132</v>
      </c>
      <c r="D6" s="3" t="s">
        <v>29</v>
      </c>
      <c r="E6" s="3">
        <v>310.0</v>
      </c>
      <c r="F6" s="3" t="s">
        <v>27</v>
      </c>
      <c r="G6" s="3">
        <v>422.4</v>
      </c>
      <c r="I6" s="3">
        <v>424.3</v>
      </c>
      <c r="K6" s="3">
        <v>0.0</v>
      </c>
      <c r="L6" s="3">
        <v>2.0</v>
      </c>
      <c r="M6" s="3" t="s">
        <v>34</v>
      </c>
      <c r="N6" s="3">
        <v>0.9996</v>
      </c>
      <c r="O6" s="3">
        <v>0.0</v>
      </c>
      <c r="P6" s="3">
        <v>0.5394</v>
      </c>
      <c r="Q6" s="3">
        <v>0.0</v>
      </c>
      <c r="R6" s="3">
        <v>0.2927</v>
      </c>
      <c r="S6" s="3">
        <v>733.300033</v>
      </c>
      <c r="T6" s="3">
        <v>47.0</v>
      </c>
      <c r="U6" s="3">
        <f t="shared" si="2"/>
        <v>423.35</v>
      </c>
      <c r="V6" s="3"/>
      <c r="W6" s="3">
        <f t="shared" si="3"/>
        <v>423.3405026</v>
      </c>
      <c r="X6" s="3">
        <f t="shared" si="4"/>
        <v>6.875426669</v>
      </c>
      <c r="Y6" s="3">
        <f t="shared" si="5"/>
        <v>6.749019594</v>
      </c>
      <c r="Z6" s="3">
        <f t="shared" ref="Z6:AA6" si="9">_xlfn.NORM.S.DIST(X6)</f>
        <v>1</v>
      </c>
      <c r="AA6" s="3">
        <f t="shared" si="9"/>
        <v>1</v>
      </c>
    </row>
    <row r="7" ht="14.25" customHeight="1">
      <c r="A7" s="3" t="s">
        <v>130</v>
      </c>
      <c r="B7" s="3" t="s">
        <v>131</v>
      </c>
      <c r="C7" s="3" t="s">
        <v>132</v>
      </c>
      <c r="D7" s="3" t="s">
        <v>29</v>
      </c>
      <c r="E7" s="3">
        <v>310.0</v>
      </c>
      <c r="F7" s="3" t="s">
        <v>27</v>
      </c>
      <c r="G7" s="3">
        <v>426.6</v>
      </c>
      <c r="I7" s="3">
        <v>428.9</v>
      </c>
      <c r="K7" s="3">
        <v>0.0</v>
      </c>
      <c r="L7" s="3">
        <v>2.0</v>
      </c>
      <c r="M7" s="3" t="s">
        <v>35</v>
      </c>
      <c r="N7" s="3">
        <v>0.9998</v>
      </c>
      <c r="O7" s="3">
        <v>0.0</v>
      </c>
      <c r="P7" s="3">
        <v>-0.1572</v>
      </c>
      <c r="Q7" s="3">
        <v>0.0</v>
      </c>
      <c r="R7" s="3">
        <v>0.2808</v>
      </c>
      <c r="S7" s="3">
        <v>738.120037</v>
      </c>
      <c r="T7" s="3">
        <v>46.0</v>
      </c>
      <c r="U7" s="3">
        <f t="shared" si="2"/>
        <v>427.75</v>
      </c>
      <c r="V7" s="3"/>
      <c r="W7" s="3">
        <f t="shared" si="3"/>
        <v>428.1596456</v>
      </c>
      <c r="X7" s="3">
        <f t="shared" si="4"/>
        <v>7.292258245</v>
      </c>
      <c r="Y7" s="3">
        <f t="shared" si="5"/>
        <v>7.172287391</v>
      </c>
      <c r="Z7" s="3">
        <f t="shared" ref="Z7:AA7" si="10">_xlfn.NORM.S.DIST(X7)</f>
        <v>1</v>
      </c>
      <c r="AA7" s="3">
        <f t="shared" si="10"/>
        <v>1</v>
      </c>
    </row>
    <row r="8" ht="14.25" customHeight="1">
      <c r="A8" s="3" t="s">
        <v>130</v>
      </c>
      <c r="B8" s="3" t="s">
        <v>131</v>
      </c>
      <c r="C8" s="3" t="s">
        <v>132</v>
      </c>
      <c r="D8" s="3" t="s">
        <v>29</v>
      </c>
      <c r="E8" s="3">
        <v>310.0</v>
      </c>
      <c r="F8" s="3" t="s">
        <v>27</v>
      </c>
      <c r="G8" s="3">
        <v>430.6</v>
      </c>
      <c r="I8" s="3">
        <v>432.6</v>
      </c>
      <c r="K8" s="3">
        <v>0.0</v>
      </c>
      <c r="L8" s="3">
        <v>2.0</v>
      </c>
      <c r="M8" s="3" t="s">
        <v>36</v>
      </c>
      <c r="N8" s="3">
        <v>0.9998</v>
      </c>
      <c r="O8" s="3">
        <v>0.0</v>
      </c>
      <c r="P8" s="3">
        <v>-0.0759</v>
      </c>
      <c r="Q8" s="3">
        <v>0.0</v>
      </c>
      <c r="R8" s="3">
        <v>0.293</v>
      </c>
      <c r="S8" s="3">
        <v>741.480016</v>
      </c>
      <c r="T8" s="3">
        <v>45.0</v>
      </c>
      <c r="U8" s="3">
        <f t="shared" si="2"/>
        <v>431.6</v>
      </c>
      <c r="V8" s="3"/>
      <c r="W8" s="3">
        <f t="shared" si="3"/>
        <v>431.5187636</v>
      </c>
      <c r="X8" s="3">
        <f t="shared" si="4"/>
        <v>7.106290058</v>
      </c>
      <c r="Y8" s="3">
        <f t="shared" si="5"/>
        <v>6.98247496</v>
      </c>
      <c r="Z8" s="3">
        <f t="shared" ref="Z8:AA8" si="11">_xlfn.NORM.S.DIST(X8)</f>
        <v>1</v>
      </c>
      <c r="AA8" s="3">
        <f t="shared" si="11"/>
        <v>1</v>
      </c>
    </row>
    <row r="9" ht="14.25" customHeight="1">
      <c r="A9" s="3" t="s">
        <v>130</v>
      </c>
      <c r="B9" s="3" t="s">
        <v>131</v>
      </c>
      <c r="C9" s="3" t="s">
        <v>132</v>
      </c>
      <c r="D9" s="3" t="s">
        <v>29</v>
      </c>
      <c r="E9" s="3">
        <v>310.0</v>
      </c>
      <c r="F9" s="3" t="s">
        <v>27</v>
      </c>
      <c r="G9" s="3">
        <v>428.2</v>
      </c>
      <c r="I9" s="3">
        <v>431.4</v>
      </c>
      <c r="K9" s="3">
        <v>0.0</v>
      </c>
      <c r="L9" s="3">
        <v>2.0</v>
      </c>
      <c r="M9" s="3" t="s">
        <v>37</v>
      </c>
      <c r="N9" s="3">
        <v>1.0</v>
      </c>
      <c r="O9" s="3">
        <v>0.0</v>
      </c>
      <c r="P9" s="3">
        <v>-0.9382</v>
      </c>
      <c r="Q9" s="3">
        <v>0.0</v>
      </c>
      <c r="R9" s="3">
        <v>0.2595</v>
      </c>
      <c r="S9" s="3">
        <v>739.989992</v>
      </c>
      <c r="T9" s="3">
        <v>44.0</v>
      </c>
      <c r="U9" s="3">
        <f t="shared" si="2"/>
        <v>429.8</v>
      </c>
      <c r="V9" s="3"/>
      <c r="W9" s="3">
        <f t="shared" si="3"/>
        <v>430.0278786</v>
      </c>
      <c r="X9" s="3">
        <f t="shared" si="4"/>
        <v>8.079289059</v>
      </c>
      <c r="Y9" s="3">
        <f t="shared" si="5"/>
        <v>7.97085557</v>
      </c>
      <c r="Z9" s="3">
        <f t="shared" ref="Z9:AA9" si="12">_xlfn.NORM.S.DIST(X9)</f>
        <v>1</v>
      </c>
      <c r="AA9" s="3">
        <f t="shared" si="12"/>
        <v>1</v>
      </c>
    </row>
    <row r="10" ht="14.25" customHeight="1">
      <c r="A10" s="3" t="s">
        <v>130</v>
      </c>
      <c r="B10" s="3" t="s">
        <v>131</v>
      </c>
      <c r="C10" s="3" t="s">
        <v>132</v>
      </c>
      <c r="D10" s="3" t="s">
        <v>29</v>
      </c>
      <c r="E10" s="3">
        <v>310.0</v>
      </c>
      <c r="F10" s="3" t="s">
        <v>27</v>
      </c>
      <c r="G10" s="3">
        <v>411.8</v>
      </c>
      <c r="I10" s="3">
        <v>414.9</v>
      </c>
      <c r="K10" s="3">
        <v>0.0</v>
      </c>
      <c r="L10" s="3">
        <v>2.0</v>
      </c>
      <c r="M10" s="3" t="s">
        <v>38</v>
      </c>
      <c r="N10" s="3">
        <v>0.9998</v>
      </c>
      <c r="O10" s="3">
        <v>0.0</v>
      </c>
      <c r="P10" s="3">
        <v>-0.1383</v>
      </c>
      <c r="Q10" s="3">
        <v>0.0</v>
      </c>
      <c r="R10" s="3">
        <v>0.2787</v>
      </c>
      <c r="S10" s="3">
        <v>723.250034</v>
      </c>
      <c r="T10" s="3">
        <v>43.0</v>
      </c>
      <c r="U10" s="3">
        <f t="shared" si="2"/>
        <v>413.35</v>
      </c>
      <c r="V10" s="3"/>
      <c r="W10" s="3">
        <f t="shared" si="3"/>
        <v>413.2870596</v>
      </c>
      <c r="X10" s="3">
        <f t="shared" si="4"/>
        <v>7.417385775</v>
      </c>
      <c r="Y10" s="3">
        <f t="shared" si="5"/>
        <v>7.302260434</v>
      </c>
      <c r="Z10" s="3">
        <f t="shared" ref="Z10:AA10" si="13">_xlfn.NORM.S.DIST(X10)</f>
        <v>1</v>
      </c>
      <c r="AA10" s="3">
        <f t="shared" si="13"/>
        <v>1</v>
      </c>
    </row>
    <row r="11" ht="14.25" customHeight="1">
      <c r="A11" s="3" t="s">
        <v>130</v>
      </c>
      <c r="B11" s="3" t="s">
        <v>131</v>
      </c>
      <c r="C11" s="3" t="s">
        <v>132</v>
      </c>
      <c r="D11" s="3" t="s">
        <v>29</v>
      </c>
      <c r="E11" s="3">
        <v>310.0</v>
      </c>
      <c r="F11" s="3" t="s">
        <v>27</v>
      </c>
      <c r="G11" s="3">
        <v>413.2</v>
      </c>
      <c r="I11" s="3">
        <v>416.5</v>
      </c>
      <c r="K11" s="3">
        <v>0.0</v>
      </c>
      <c r="L11" s="3">
        <v>2.0</v>
      </c>
      <c r="M11" s="3" t="s">
        <v>39</v>
      </c>
      <c r="N11" s="3">
        <v>1.0</v>
      </c>
      <c r="O11" s="3">
        <v>0.0</v>
      </c>
      <c r="P11" s="3">
        <v>-0.9382</v>
      </c>
      <c r="Q11" s="3">
        <v>0.0</v>
      </c>
      <c r="R11" s="3">
        <v>0.2548</v>
      </c>
      <c r="S11" s="3">
        <v>724.929993</v>
      </c>
      <c r="T11" s="3">
        <v>42.0</v>
      </c>
      <c r="U11" s="3">
        <f t="shared" si="2"/>
        <v>414.85</v>
      </c>
      <c r="V11" s="3"/>
      <c r="W11" s="3">
        <f t="shared" si="3"/>
        <v>414.9661576</v>
      </c>
      <c r="X11" s="3">
        <f t="shared" si="4"/>
        <v>8.219727267</v>
      </c>
      <c r="Y11" s="3">
        <f t="shared" si="5"/>
        <v>8.115705603</v>
      </c>
      <c r="Z11" s="3">
        <f t="shared" ref="Z11:AA11" si="14">_xlfn.NORM.S.DIST(X11)</f>
        <v>1</v>
      </c>
      <c r="AA11" s="3">
        <f t="shared" si="14"/>
        <v>1</v>
      </c>
    </row>
    <row r="12" ht="14.25" customHeight="1">
      <c r="A12" s="3" t="s">
        <v>130</v>
      </c>
      <c r="B12" s="3" t="s">
        <v>131</v>
      </c>
      <c r="C12" s="3" t="s">
        <v>132</v>
      </c>
      <c r="D12" s="3" t="s">
        <v>29</v>
      </c>
      <c r="E12" s="3">
        <v>310.0</v>
      </c>
      <c r="F12" s="3" t="s">
        <v>27</v>
      </c>
      <c r="G12" s="3">
        <v>404.0</v>
      </c>
      <c r="I12" s="3">
        <v>406.1</v>
      </c>
      <c r="K12" s="3">
        <v>0.0</v>
      </c>
      <c r="L12" s="3">
        <v>2.0</v>
      </c>
      <c r="M12" s="3" t="s">
        <v>40</v>
      </c>
      <c r="N12" s="3">
        <v>0.9998</v>
      </c>
      <c r="O12" s="3">
        <v>0.0</v>
      </c>
      <c r="P12" s="3">
        <v>-0.1472</v>
      </c>
      <c r="Q12" s="3">
        <v>0.0</v>
      </c>
      <c r="R12" s="3">
        <v>0.2778</v>
      </c>
      <c r="S12" s="3">
        <v>715.189987</v>
      </c>
      <c r="T12" s="3">
        <v>41.0</v>
      </c>
      <c r="U12" s="3">
        <f t="shared" si="2"/>
        <v>405.05</v>
      </c>
      <c r="V12" s="3"/>
      <c r="W12" s="3">
        <f t="shared" si="3"/>
        <v>405.2252905</v>
      </c>
      <c r="X12" s="3">
        <f t="shared" si="4"/>
        <v>7.51757621</v>
      </c>
      <c r="Y12" s="3">
        <f t="shared" si="5"/>
        <v>7.405523104</v>
      </c>
      <c r="Z12" s="3">
        <f t="shared" ref="Z12:AA12" si="15">_xlfn.NORM.S.DIST(X12)</f>
        <v>1</v>
      </c>
      <c r="AA12" s="3">
        <f t="shared" si="15"/>
        <v>1</v>
      </c>
    </row>
    <row r="13" ht="14.25" customHeight="1">
      <c r="A13" s="3" t="s">
        <v>130</v>
      </c>
      <c r="B13" s="3" t="s">
        <v>131</v>
      </c>
      <c r="C13" s="3" t="s">
        <v>132</v>
      </c>
      <c r="D13" s="3" t="s">
        <v>29</v>
      </c>
      <c r="E13" s="3">
        <v>310.0</v>
      </c>
      <c r="F13" s="3" t="s">
        <v>27</v>
      </c>
      <c r="G13" s="3">
        <v>400.0</v>
      </c>
      <c r="I13" s="3">
        <v>403.2</v>
      </c>
      <c r="K13" s="3">
        <v>0.0</v>
      </c>
      <c r="L13" s="3">
        <v>2.0</v>
      </c>
      <c r="M13" s="3" t="s">
        <v>41</v>
      </c>
      <c r="N13" s="3">
        <v>0.9997</v>
      </c>
      <c r="O13" s="3">
        <v>0.0</v>
      </c>
      <c r="P13" s="3">
        <v>0.6349</v>
      </c>
      <c r="Q13" s="3">
        <v>0.0</v>
      </c>
      <c r="R13" s="3">
        <v>0.2995</v>
      </c>
      <c r="S13" s="3">
        <v>711.320021</v>
      </c>
      <c r="T13" s="3">
        <v>40.0</v>
      </c>
      <c r="U13" s="3">
        <f t="shared" si="2"/>
        <v>401.6</v>
      </c>
      <c r="V13" s="3"/>
      <c r="W13" s="3">
        <f t="shared" si="3"/>
        <v>401.3544635</v>
      </c>
      <c r="X13" s="3">
        <f t="shared" si="4"/>
        <v>7.021074751</v>
      </c>
      <c r="Y13" s="3">
        <f t="shared" si="5"/>
        <v>6.901751095</v>
      </c>
      <c r="Z13" s="3">
        <f t="shared" ref="Z13:AA13" si="16">_xlfn.NORM.S.DIST(X13)</f>
        <v>1</v>
      </c>
      <c r="AA13" s="3">
        <f t="shared" si="16"/>
        <v>1</v>
      </c>
    </row>
    <row r="14" ht="14.25" customHeight="1">
      <c r="A14" s="3" t="s">
        <v>130</v>
      </c>
      <c r="B14" s="3" t="s">
        <v>131</v>
      </c>
      <c r="C14" s="3" t="s">
        <v>132</v>
      </c>
      <c r="D14" s="3" t="s">
        <v>29</v>
      </c>
      <c r="E14" s="3">
        <v>310.0</v>
      </c>
      <c r="F14" s="3" t="s">
        <v>27</v>
      </c>
      <c r="G14" s="3">
        <v>392.8</v>
      </c>
      <c r="I14" s="3">
        <v>396.4</v>
      </c>
      <c r="K14" s="3">
        <v>0.0</v>
      </c>
      <c r="L14" s="3">
        <v>2.0</v>
      </c>
      <c r="M14" s="3" t="s">
        <v>42</v>
      </c>
      <c r="N14" s="3">
        <v>0.9997</v>
      </c>
      <c r="O14" s="3">
        <v>0.0</v>
      </c>
      <c r="P14" s="3">
        <v>0.6199</v>
      </c>
      <c r="Q14" s="3">
        <v>0.0</v>
      </c>
      <c r="R14" s="3">
        <v>0.2913</v>
      </c>
      <c r="S14" s="3">
        <v>704.510004</v>
      </c>
      <c r="T14" s="3">
        <v>39.0</v>
      </c>
      <c r="U14" s="3">
        <f t="shared" si="2"/>
        <v>394.6</v>
      </c>
      <c r="V14" s="3"/>
      <c r="W14" s="3">
        <f t="shared" si="3"/>
        <v>394.5435855</v>
      </c>
      <c r="X14" s="3">
        <f t="shared" si="4"/>
        <v>7.221883417</v>
      </c>
      <c r="Y14" s="3">
        <f t="shared" si="5"/>
        <v>7.10728661</v>
      </c>
      <c r="Z14" s="3">
        <f t="shared" ref="Z14:AA14" si="17">_xlfn.NORM.S.DIST(X14)</f>
        <v>1</v>
      </c>
      <c r="AA14" s="3">
        <f t="shared" si="17"/>
        <v>1</v>
      </c>
    </row>
    <row r="15" ht="14.25" customHeight="1">
      <c r="A15" s="3" t="s">
        <v>130</v>
      </c>
      <c r="B15" s="3" t="s">
        <v>131</v>
      </c>
      <c r="C15" s="3" t="s">
        <v>132</v>
      </c>
      <c r="D15" s="3" t="s">
        <v>29</v>
      </c>
      <c r="E15" s="3">
        <v>310.0</v>
      </c>
      <c r="F15" s="3" t="s">
        <v>27</v>
      </c>
      <c r="G15" s="3">
        <v>390.4</v>
      </c>
      <c r="I15" s="3">
        <v>393.9</v>
      </c>
      <c r="K15" s="3">
        <v>0.0</v>
      </c>
      <c r="L15" s="3">
        <v>2.0</v>
      </c>
      <c r="M15" s="3" t="s">
        <v>43</v>
      </c>
      <c r="N15" s="3">
        <v>0.9997</v>
      </c>
      <c r="O15" s="3">
        <v>0.0</v>
      </c>
      <c r="P15" s="3">
        <v>0.6222</v>
      </c>
      <c r="Q15" s="3">
        <v>0.0</v>
      </c>
      <c r="R15" s="3">
        <v>0.2642</v>
      </c>
      <c r="S15" s="3">
        <v>702.869983</v>
      </c>
      <c r="T15" s="3">
        <v>38.0</v>
      </c>
      <c r="U15" s="3">
        <f t="shared" si="2"/>
        <v>392.15</v>
      </c>
      <c r="V15" s="3"/>
      <c r="W15" s="3">
        <f t="shared" si="3"/>
        <v>392.9027035</v>
      </c>
      <c r="X15" s="3">
        <f t="shared" si="4"/>
        <v>8.031302964</v>
      </c>
      <c r="Y15" s="3">
        <f t="shared" si="5"/>
        <v>7.928708402</v>
      </c>
      <c r="Z15" s="3">
        <f t="shared" ref="Z15:AA15" si="18">_xlfn.NORM.S.DIST(X15)</f>
        <v>1</v>
      </c>
      <c r="AA15" s="3">
        <f t="shared" si="18"/>
        <v>1</v>
      </c>
    </row>
    <row r="16" ht="14.25" customHeight="1">
      <c r="A16" s="3" t="s">
        <v>130</v>
      </c>
      <c r="B16" s="3" t="s">
        <v>131</v>
      </c>
      <c r="C16" s="3" t="s">
        <v>132</v>
      </c>
      <c r="D16" s="3" t="s">
        <v>29</v>
      </c>
      <c r="E16" s="3">
        <v>310.0</v>
      </c>
      <c r="F16" s="3" t="s">
        <v>27</v>
      </c>
      <c r="G16" s="3">
        <v>430.7</v>
      </c>
      <c r="I16" s="3">
        <v>432.6</v>
      </c>
      <c r="K16" s="3">
        <v>0.0</v>
      </c>
      <c r="L16" s="3">
        <v>2.0</v>
      </c>
      <c r="M16" s="3" t="s">
        <v>44</v>
      </c>
      <c r="N16" s="3">
        <v>0.9997</v>
      </c>
      <c r="O16" s="3">
        <v>0.0</v>
      </c>
      <c r="P16" s="3">
        <v>0.7141</v>
      </c>
      <c r="Q16" s="3">
        <v>0.0</v>
      </c>
      <c r="R16" s="3">
        <v>0.2299</v>
      </c>
      <c r="S16" s="3">
        <v>741.500016</v>
      </c>
      <c r="T16" s="3">
        <v>37.0</v>
      </c>
      <c r="U16" s="3">
        <f t="shared" si="2"/>
        <v>431.65</v>
      </c>
      <c r="V16" s="3"/>
      <c r="W16" s="3">
        <f t="shared" si="3"/>
        <v>431.5318755</v>
      </c>
      <c r="X16" s="3">
        <f t="shared" si="4"/>
        <v>9.945052672</v>
      </c>
      <c r="Y16" s="3">
        <f t="shared" si="5"/>
        <v>9.856960045</v>
      </c>
      <c r="Z16" s="3">
        <f t="shared" ref="Z16:AA16" si="19">_xlfn.NORM.S.DIST(X16)</f>
        <v>1</v>
      </c>
      <c r="AA16" s="3">
        <f t="shared" si="19"/>
        <v>1</v>
      </c>
    </row>
    <row r="17" ht="14.25" customHeight="1">
      <c r="A17" s="3" t="s">
        <v>130</v>
      </c>
      <c r="B17" s="3" t="s">
        <v>131</v>
      </c>
      <c r="C17" s="3" t="s">
        <v>132</v>
      </c>
      <c r="D17" s="3" t="s">
        <v>29</v>
      </c>
      <c r="E17" s="3">
        <v>310.0</v>
      </c>
      <c r="F17" s="3" t="s">
        <v>27</v>
      </c>
      <c r="G17" s="3">
        <v>443.0</v>
      </c>
      <c r="I17" s="3">
        <v>445.1</v>
      </c>
      <c r="K17" s="3">
        <v>0.0</v>
      </c>
      <c r="L17" s="3">
        <v>2.0</v>
      </c>
      <c r="M17" s="3" t="s">
        <v>45</v>
      </c>
      <c r="N17" s="3">
        <v>0.9997</v>
      </c>
      <c r="O17" s="3">
        <v>0.0</v>
      </c>
      <c r="P17" s="3">
        <v>0.7417</v>
      </c>
      <c r="Q17" s="3">
        <v>0.0</v>
      </c>
      <c r="R17" s="3">
        <v>0.2749</v>
      </c>
      <c r="S17" s="3">
        <v>754.210011</v>
      </c>
      <c r="T17" s="3">
        <v>36.0</v>
      </c>
      <c r="U17" s="3">
        <f t="shared" si="2"/>
        <v>444.05</v>
      </c>
      <c r="V17" s="3"/>
      <c r="W17" s="3">
        <f t="shared" si="3"/>
        <v>444.2410095</v>
      </c>
      <c r="X17" s="3">
        <f t="shared" si="4"/>
        <v>8.60996598</v>
      </c>
      <c r="Y17" s="3">
        <f t="shared" si="5"/>
        <v>8.506063546</v>
      </c>
      <c r="Z17" s="3">
        <f t="shared" ref="Z17:AA17" si="20">_xlfn.NORM.S.DIST(X17)</f>
        <v>1</v>
      </c>
      <c r="AA17" s="3">
        <f t="shared" si="20"/>
        <v>1</v>
      </c>
    </row>
    <row r="18" ht="14.25" customHeight="1">
      <c r="A18" s="3" t="s">
        <v>130</v>
      </c>
      <c r="B18" s="3" t="s">
        <v>131</v>
      </c>
      <c r="C18" s="3" t="s">
        <v>132</v>
      </c>
      <c r="D18" s="3" t="s">
        <v>29</v>
      </c>
      <c r="E18" s="3">
        <v>310.0</v>
      </c>
      <c r="F18" s="3" t="s">
        <v>27</v>
      </c>
      <c r="G18" s="3">
        <v>442.1</v>
      </c>
      <c r="I18" s="3">
        <v>445.6</v>
      </c>
      <c r="K18" s="3">
        <v>0.0</v>
      </c>
      <c r="L18" s="3">
        <v>2.0</v>
      </c>
      <c r="M18" s="3" t="s">
        <v>46</v>
      </c>
      <c r="N18" s="3">
        <v>0.9998</v>
      </c>
      <c r="O18" s="3">
        <v>0.0</v>
      </c>
      <c r="P18" s="3">
        <v>-0.0984</v>
      </c>
      <c r="Q18" s="3">
        <v>0.0</v>
      </c>
      <c r="R18" s="3">
        <v>0.2296</v>
      </c>
      <c r="S18" s="3">
        <v>753.670024</v>
      </c>
      <c r="T18" s="3">
        <v>35.0</v>
      </c>
      <c r="U18" s="3">
        <f t="shared" si="2"/>
        <v>443.85</v>
      </c>
      <c r="V18" s="3"/>
      <c r="W18" s="3">
        <f t="shared" si="3"/>
        <v>443.7001614</v>
      </c>
      <c r="X18" s="3">
        <f t="shared" si="4"/>
        <v>10.42623657</v>
      </c>
      <c r="Y18" s="3">
        <f t="shared" si="5"/>
        <v>10.3406697</v>
      </c>
      <c r="Z18" s="3">
        <f t="shared" ref="Z18:AA18" si="21">_xlfn.NORM.S.DIST(X18)</f>
        <v>1</v>
      </c>
      <c r="AA18" s="3">
        <f t="shared" si="21"/>
        <v>1</v>
      </c>
    </row>
    <row r="19" ht="14.25" customHeight="1">
      <c r="A19" s="3" t="s">
        <v>130</v>
      </c>
      <c r="B19" s="3" t="s">
        <v>131</v>
      </c>
      <c r="C19" s="3" t="s">
        <v>132</v>
      </c>
      <c r="D19" s="3" t="s">
        <v>29</v>
      </c>
      <c r="E19" s="3">
        <v>310.0</v>
      </c>
      <c r="F19" s="3" t="s">
        <v>27</v>
      </c>
      <c r="G19" s="3">
        <v>439.9</v>
      </c>
      <c r="I19" s="3">
        <v>441.9</v>
      </c>
      <c r="K19" s="3">
        <v>0.0</v>
      </c>
      <c r="L19" s="3">
        <v>2.0</v>
      </c>
      <c r="M19" s="3" t="s">
        <v>47</v>
      </c>
      <c r="N19" s="3">
        <v>1.0</v>
      </c>
      <c r="O19" s="3">
        <v>0.0</v>
      </c>
      <c r="P19" s="3">
        <v>-0.9383</v>
      </c>
      <c r="Q19" s="3">
        <v>0.0</v>
      </c>
      <c r="R19" s="3">
        <v>0.2306</v>
      </c>
      <c r="S19" s="3">
        <v>750.730035</v>
      </c>
      <c r="T19" s="3">
        <v>34.0</v>
      </c>
      <c r="U19" s="3">
        <f t="shared" si="2"/>
        <v>440.9</v>
      </c>
      <c r="V19" s="3"/>
      <c r="W19" s="3">
        <f t="shared" si="3"/>
        <v>440.7593114</v>
      </c>
      <c r="X19" s="3">
        <f t="shared" si="4"/>
        <v>10.48553381</v>
      </c>
      <c r="Y19" s="3">
        <f t="shared" si="5"/>
        <v>10.40083087</v>
      </c>
      <c r="Z19" s="3">
        <f t="shared" ref="Z19:AA19" si="22">_xlfn.NORM.S.DIST(X19)</f>
        <v>1</v>
      </c>
      <c r="AA19" s="3">
        <f t="shared" si="22"/>
        <v>1</v>
      </c>
    </row>
    <row r="20" ht="14.25" customHeight="1">
      <c r="A20" s="3" t="s">
        <v>130</v>
      </c>
      <c r="B20" s="3" t="s">
        <v>131</v>
      </c>
      <c r="C20" s="3" t="s">
        <v>132</v>
      </c>
      <c r="D20" s="3" t="s">
        <v>29</v>
      </c>
      <c r="E20" s="3">
        <v>310.0</v>
      </c>
      <c r="F20" s="3" t="s">
        <v>27</v>
      </c>
      <c r="G20" s="3">
        <v>442.0</v>
      </c>
      <c r="I20" s="3">
        <v>446.1</v>
      </c>
      <c r="K20" s="3">
        <v>0.0</v>
      </c>
      <c r="L20" s="3">
        <v>2.0</v>
      </c>
      <c r="M20" s="3" t="s">
        <v>48</v>
      </c>
      <c r="N20" s="3">
        <v>1.0</v>
      </c>
      <c r="O20" s="3">
        <v>0.0</v>
      </c>
      <c r="P20" s="3">
        <v>-0.9383</v>
      </c>
      <c r="Q20" s="3">
        <v>0.0</v>
      </c>
      <c r="R20" s="3">
        <v>0.2292</v>
      </c>
      <c r="S20" s="3">
        <v>753.680024</v>
      </c>
      <c r="T20" s="3">
        <v>33.0</v>
      </c>
      <c r="U20" s="3">
        <f t="shared" si="2"/>
        <v>444.05</v>
      </c>
      <c r="V20" s="3"/>
      <c r="W20" s="3">
        <f t="shared" si="3"/>
        <v>443.7084394</v>
      </c>
      <c r="X20" s="3">
        <f t="shared" si="4"/>
        <v>10.75370097</v>
      </c>
      <c r="Y20" s="3">
        <f t="shared" si="5"/>
        <v>10.67075958</v>
      </c>
      <c r="Z20" s="3">
        <f t="shared" ref="Z20:AA20" si="23">_xlfn.NORM.S.DIST(X20)</f>
        <v>1</v>
      </c>
      <c r="AA20" s="3">
        <f t="shared" si="23"/>
        <v>1</v>
      </c>
    </row>
    <row r="21" ht="14.25" customHeight="1">
      <c r="A21" s="3" t="s">
        <v>130</v>
      </c>
      <c r="B21" s="3" t="s">
        <v>131</v>
      </c>
      <c r="C21" s="3" t="s">
        <v>132</v>
      </c>
      <c r="D21" s="3" t="s">
        <v>29</v>
      </c>
      <c r="E21" s="3">
        <v>310.0</v>
      </c>
      <c r="F21" s="3" t="s">
        <v>27</v>
      </c>
      <c r="G21" s="3">
        <v>441.9</v>
      </c>
      <c r="I21" s="3">
        <v>445.5</v>
      </c>
      <c r="K21" s="3">
        <v>0.0</v>
      </c>
      <c r="L21" s="3">
        <v>2.0</v>
      </c>
      <c r="M21" s="3" t="s">
        <v>49</v>
      </c>
      <c r="N21" s="3">
        <v>1.0</v>
      </c>
      <c r="O21" s="3">
        <v>0.0</v>
      </c>
      <c r="P21" s="3">
        <v>-0.9383</v>
      </c>
      <c r="Q21" s="3">
        <v>0.0</v>
      </c>
      <c r="R21" s="3">
        <v>0.2162</v>
      </c>
      <c r="S21" s="3">
        <v>753.83002</v>
      </c>
      <c r="T21" s="3">
        <v>32.0</v>
      </c>
      <c r="U21" s="3">
        <f t="shared" si="2"/>
        <v>443.7</v>
      </c>
      <c r="V21" s="3"/>
      <c r="W21" s="3">
        <f t="shared" si="3"/>
        <v>443.8575743</v>
      </c>
      <c r="X21" s="3">
        <f t="shared" si="4"/>
        <v>11.57349756</v>
      </c>
      <c r="Y21" s="3">
        <f t="shared" si="5"/>
        <v>11.49645505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130</v>
      </c>
      <c r="B22" s="3" t="s">
        <v>131</v>
      </c>
      <c r="C22" s="3" t="s">
        <v>132</v>
      </c>
      <c r="D22" s="3" t="s">
        <v>29</v>
      </c>
      <c r="E22" s="3">
        <v>310.0</v>
      </c>
      <c r="F22" s="3" t="s">
        <v>27</v>
      </c>
      <c r="G22" s="3">
        <v>444.2</v>
      </c>
      <c r="I22" s="3">
        <v>447.8</v>
      </c>
      <c r="K22" s="3">
        <v>0.0</v>
      </c>
      <c r="L22" s="3">
        <v>2.0</v>
      </c>
      <c r="M22" s="3" t="s">
        <v>50</v>
      </c>
      <c r="N22" s="3">
        <v>1.0</v>
      </c>
      <c r="O22" s="3">
        <v>0.0</v>
      </c>
      <c r="P22" s="3">
        <v>-0.9383</v>
      </c>
      <c r="Q22" s="3">
        <v>0.0</v>
      </c>
      <c r="R22" s="3">
        <v>0.2317</v>
      </c>
      <c r="S22" s="3">
        <v>755.690035</v>
      </c>
      <c r="T22" s="3">
        <v>31.0</v>
      </c>
      <c r="U22" s="3">
        <f t="shared" si="2"/>
        <v>446</v>
      </c>
      <c r="V22" s="3"/>
      <c r="W22" s="3">
        <f t="shared" si="3"/>
        <v>445.7167283</v>
      </c>
      <c r="X22" s="3">
        <f t="shared" si="4"/>
        <v>11.00647046</v>
      </c>
      <c r="Y22" s="3">
        <f t="shared" si="5"/>
        <v>10.92520488</v>
      </c>
      <c r="Z22" s="3">
        <f t="shared" ref="Z22:AA22" si="25">_xlfn.NORM.S.DIST(X22)</f>
        <v>1</v>
      </c>
      <c r="AA22" s="3">
        <f t="shared" si="25"/>
        <v>1</v>
      </c>
    </row>
    <row r="23" ht="14.25" customHeight="1">
      <c r="A23" s="3" t="s">
        <v>130</v>
      </c>
      <c r="B23" s="3" t="s">
        <v>131</v>
      </c>
      <c r="C23" s="3" t="s">
        <v>133</v>
      </c>
      <c r="D23" s="3" t="s">
        <v>29</v>
      </c>
      <c r="E23" s="3">
        <v>310.0</v>
      </c>
      <c r="F23" s="3" t="s">
        <v>27</v>
      </c>
      <c r="G23" s="3">
        <v>465.0</v>
      </c>
      <c r="I23" s="3">
        <v>468.2</v>
      </c>
      <c r="K23" s="3">
        <v>0.0</v>
      </c>
      <c r="L23" s="3">
        <v>2.0</v>
      </c>
      <c r="M23" s="3" t="s">
        <v>52</v>
      </c>
      <c r="N23" s="3">
        <v>1.0</v>
      </c>
      <c r="O23" s="3">
        <v>0.0</v>
      </c>
      <c r="P23" s="3">
        <v>-0.9002</v>
      </c>
      <c r="Q23" s="3">
        <v>0.0</v>
      </c>
      <c r="R23" s="3">
        <v>0.299</v>
      </c>
      <c r="S23" s="3">
        <v>775.600037</v>
      </c>
      <c r="T23" s="3">
        <v>30.0</v>
      </c>
      <c r="U23" s="3">
        <f t="shared" si="2"/>
        <v>466.6</v>
      </c>
      <c r="V23" s="3"/>
      <c r="W23" s="3">
        <f t="shared" si="3"/>
        <v>465.6258693</v>
      </c>
      <c r="X23" s="3">
        <f t="shared" si="4"/>
        <v>8.941707685</v>
      </c>
      <c r="Y23" s="3">
        <f t="shared" si="5"/>
        <v>8.838542884</v>
      </c>
      <c r="Z23" s="3">
        <f t="shared" ref="Z23:AA23" si="26">_xlfn.NORM.S.DIST(X23)</f>
        <v>1</v>
      </c>
      <c r="AA23" s="3">
        <f t="shared" si="26"/>
        <v>1</v>
      </c>
    </row>
    <row r="24" ht="14.25" customHeight="1">
      <c r="A24" s="3" t="s">
        <v>130</v>
      </c>
      <c r="B24" s="3" t="s">
        <v>131</v>
      </c>
      <c r="C24" s="3" t="s">
        <v>133</v>
      </c>
      <c r="D24" s="3" t="s">
        <v>29</v>
      </c>
      <c r="E24" s="3">
        <v>310.0</v>
      </c>
      <c r="F24" s="3" t="s">
        <v>27</v>
      </c>
      <c r="G24" s="3">
        <v>447.9</v>
      </c>
      <c r="I24" s="3">
        <v>451.3</v>
      </c>
      <c r="K24" s="3">
        <v>0.0</v>
      </c>
      <c r="L24" s="3">
        <v>2.0</v>
      </c>
      <c r="M24" s="3" t="s">
        <v>53</v>
      </c>
      <c r="N24" s="3">
        <v>0.9998</v>
      </c>
      <c r="O24" s="3">
        <v>0.0</v>
      </c>
      <c r="P24" s="3">
        <v>0.1623</v>
      </c>
      <c r="Q24" s="3">
        <v>0.0</v>
      </c>
      <c r="R24" s="3">
        <v>0.2738</v>
      </c>
      <c r="S24" s="3">
        <v>759.020015</v>
      </c>
      <c r="T24" s="3">
        <v>29.0</v>
      </c>
      <c r="U24" s="3">
        <f t="shared" si="2"/>
        <v>449.6</v>
      </c>
      <c r="V24" s="3"/>
      <c r="W24" s="3">
        <f t="shared" si="3"/>
        <v>449.0449862</v>
      </c>
      <c r="X24" s="3">
        <f t="shared" si="4"/>
        <v>9.688084649</v>
      </c>
      <c r="Y24" s="3">
        <f t="shared" si="5"/>
        <v>9.595202517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130</v>
      </c>
      <c r="B25" s="3" t="s">
        <v>131</v>
      </c>
      <c r="C25" s="3" t="s">
        <v>133</v>
      </c>
      <c r="D25" s="3" t="s">
        <v>29</v>
      </c>
      <c r="E25" s="3">
        <v>310.0</v>
      </c>
      <c r="F25" s="3" t="s">
        <v>27</v>
      </c>
      <c r="G25" s="3">
        <v>454.7</v>
      </c>
      <c r="I25" s="3">
        <v>456.7</v>
      </c>
      <c r="K25" s="3">
        <v>0.0</v>
      </c>
      <c r="L25" s="3">
        <v>2.0</v>
      </c>
      <c r="M25" s="3" t="s">
        <v>54</v>
      </c>
      <c r="N25" s="3">
        <v>1.0</v>
      </c>
      <c r="O25" s="3">
        <v>0.0</v>
      </c>
      <c r="P25" s="3">
        <v>-0.9003</v>
      </c>
      <c r="Q25" s="3">
        <v>0.0</v>
      </c>
      <c r="R25" s="3">
        <v>0.2513</v>
      </c>
      <c r="S25" s="3">
        <v>765.740034</v>
      </c>
      <c r="T25" s="3">
        <v>28.0</v>
      </c>
      <c r="U25" s="3">
        <f t="shared" si="2"/>
        <v>455.7</v>
      </c>
      <c r="V25" s="3"/>
      <c r="W25" s="3">
        <f t="shared" si="3"/>
        <v>455.7641442</v>
      </c>
      <c r="X25" s="3">
        <f t="shared" si="4"/>
        <v>10.83792246</v>
      </c>
      <c r="Y25" s="3">
        <f t="shared" si="5"/>
        <v>10.7541558</v>
      </c>
      <c r="Z25" s="3">
        <f t="shared" ref="Z25:AA25" si="28">_xlfn.NORM.S.DIST(X25)</f>
        <v>1</v>
      </c>
      <c r="AA25" s="3">
        <f t="shared" si="28"/>
        <v>1</v>
      </c>
    </row>
    <row r="26" ht="14.25" customHeight="1">
      <c r="A26" s="3" t="s">
        <v>130</v>
      </c>
      <c r="B26" s="3" t="s">
        <v>131</v>
      </c>
      <c r="C26" s="3" t="s">
        <v>133</v>
      </c>
      <c r="D26" s="3" t="s">
        <v>29</v>
      </c>
      <c r="E26" s="3">
        <v>310.0</v>
      </c>
      <c r="F26" s="3" t="s">
        <v>27</v>
      </c>
      <c r="G26" s="3">
        <v>458.7</v>
      </c>
      <c r="I26" s="3">
        <v>461.6</v>
      </c>
      <c r="K26" s="3">
        <v>0.0</v>
      </c>
      <c r="L26" s="3">
        <v>2.0</v>
      </c>
      <c r="M26" s="3" t="s">
        <v>55</v>
      </c>
      <c r="N26" s="3">
        <v>0.9999</v>
      </c>
      <c r="O26" s="3">
        <v>0.0</v>
      </c>
      <c r="P26" s="3">
        <v>0.1779</v>
      </c>
      <c r="Q26" s="3">
        <v>0.0</v>
      </c>
      <c r="R26" s="3">
        <v>0.2774</v>
      </c>
      <c r="S26" s="3">
        <v>770.169987</v>
      </c>
      <c r="T26" s="3">
        <v>27.0</v>
      </c>
      <c r="U26" s="3">
        <f t="shared" si="2"/>
        <v>460.15</v>
      </c>
      <c r="V26" s="3"/>
      <c r="W26" s="3">
        <f t="shared" si="3"/>
        <v>460.1932361</v>
      </c>
      <c r="X26" s="3">
        <f t="shared" si="4"/>
        <v>10.06863044</v>
      </c>
      <c r="Y26" s="3">
        <f t="shared" si="5"/>
        <v>9.97782998</v>
      </c>
      <c r="Z26" s="3">
        <f t="shared" ref="Z26:AA26" si="29">_xlfn.NORM.S.DIST(X26)</f>
        <v>1</v>
      </c>
      <c r="AA26" s="3">
        <f t="shared" si="29"/>
        <v>1</v>
      </c>
    </row>
    <row r="27" ht="14.25" customHeight="1">
      <c r="A27" s="3" t="s">
        <v>130</v>
      </c>
      <c r="B27" s="3" t="s">
        <v>131</v>
      </c>
      <c r="C27" s="3" t="s">
        <v>133</v>
      </c>
      <c r="D27" s="3" t="s">
        <v>29</v>
      </c>
      <c r="E27" s="3">
        <v>310.0</v>
      </c>
      <c r="F27" s="3" t="s">
        <v>27</v>
      </c>
      <c r="G27" s="3">
        <v>463.1</v>
      </c>
      <c r="I27" s="3">
        <v>464.8</v>
      </c>
      <c r="K27" s="3">
        <v>0.0</v>
      </c>
      <c r="L27" s="3">
        <v>2.0</v>
      </c>
      <c r="M27" s="3" t="s">
        <v>56</v>
      </c>
      <c r="N27" s="3">
        <v>0.9999</v>
      </c>
      <c r="O27" s="3">
        <v>0.0</v>
      </c>
      <c r="P27" s="3">
        <v>0.1832</v>
      </c>
      <c r="Q27" s="3">
        <v>0.0</v>
      </c>
      <c r="R27" s="3">
        <v>0.3098</v>
      </c>
      <c r="S27" s="3">
        <v>773.950017</v>
      </c>
      <c r="T27" s="3">
        <v>26.0</v>
      </c>
      <c r="U27" s="3">
        <f t="shared" si="2"/>
        <v>463.95</v>
      </c>
      <c r="V27" s="3"/>
      <c r="W27" s="3">
        <f t="shared" si="3"/>
        <v>463.9724051</v>
      </c>
      <c r="X27" s="3">
        <f t="shared" si="4"/>
        <v>9.244860346</v>
      </c>
      <c r="Y27" s="3">
        <f t="shared" si="5"/>
        <v>9.145350097</v>
      </c>
      <c r="Z27" s="3">
        <f t="shared" ref="Z27:AA27" si="30">_xlfn.NORM.S.DIST(X27)</f>
        <v>1</v>
      </c>
      <c r="AA27" s="3">
        <f t="shared" si="30"/>
        <v>1</v>
      </c>
    </row>
    <row r="28" ht="14.25" customHeight="1">
      <c r="A28" s="3" t="s">
        <v>130</v>
      </c>
      <c r="B28" s="3" t="s">
        <v>131</v>
      </c>
      <c r="C28" s="3" t="s">
        <v>133</v>
      </c>
      <c r="D28" s="3" t="s">
        <v>29</v>
      </c>
      <c r="E28" s="3">
        <v>310.0</v>
      </c>
      <c r="F28" s="3" t="s">
        <v>27</v>
      </c>
      <c r="G28" s="3">
        <v>474.2</v>
      </c>
      <c r="I28" s="3">
        <v>476.0</v>
      </c>
      <c r="K28" s="3">
        <v>0.0</v>
      </c>
      <c r="L28" s="3">
        <v>2.0</v>
      </c>
      <c r="M28" s="3" t="s">
        <v>57</v>
      </c>
      <c r="N28" s="3">
        <v>0.9997</v>
      </c>
      <c r="O28" s="3">
        <v>0.0</v>
      </c>
      <c r="P28" s="3">
        <v>1.2983</v>
      </c>
      <c r="Q28" s="3">
        <v>0.0</v>
      </c>
      <c r="R28" s="3">
        <v>0.2674</v>
      </c>
      <c r="S28" s="3">
        <v>785.369982</v>
      </c>
      <c r="T28" s="3">
        <v>25.0</v>
      </c>
      <c r="U28" s="3">
        <f t="shared" si="2"/>
        <v>475.1</v>
      </c>
      <c r="V28" s="3"/>
      <c r="W28" s="3">
        <f t="shared" si="3"/>
        <v>475.391509</v>
      </c>
      <c r="X28" s="3">
        <f t="shared" si="4"/>
        <v>11.08008392</v>
      </c>
      <c r="Y28" s="3">
        <f t="shared" si="5"/>
        <v>10.99586084</v>
      </c>
      <c r="Z28" s="3">
        <f t="shared" ref="Z28:AA28" si="31">_xlfn.NORM.S.DIST(X28)</f>
        <v>1</v>
      </c>
      <c r="AA28" s="3">
        <f t="shared" si="31"/>
        <v>1</v>
      </c>
    </row>
    <row r="29" ht="14.25" customHeight="1">
      <c r="A29" s="3" t="s">
        <v>130</v>
      </c>
      <c r="B29" s="3" t="s">
        <v>131</v>
      </c>
      <c r="C29" s="3" t="s">
        <v>133</v>
      </c>
      <c r="D29" s="3" t="s">
        <v>29</v>
      </c>
      <c r="E29" s="3">
        <v>310.0</v>
      </c>
      <c r="F29" s="3" t="s">
        <v>27</v>
      </c>
      <c r="G29" s="3">
        <v>470.6</v>
      </c>
      <c r="I29" s="3">
        <v>474.3</v>
      </c>
      <c r="K29" s="3">
        <v>0.0</v>
      </c>
      <c r="L29" s="3">
        <v>2.0</v>
      </c>
      <c r="M29" s="3" t="s">
        <v>58</v>
      </c>
      <c r="N29" s="3">
        <v>1.0</v>
      </c>
      <c r="O29" s="3">
        <v>0.0</v>
      </c>
      <c r="P29" s="3">
        <v>-0.9003</v>
      </c>
      <c r="Q29" s="3">
        <v>0.0</v>
      </c>
      <c r="R29" s="3">
        <v>0.3187</v>
      </c>
      <c r="S29" s="3">
        <v>782.419993</v>
      </c>
      <c r="T29" s="3">
        <v>24.0</v>
      </c>
      <c r="U29" s="3">
        <f t="shared" si="2"/>
        <v>472.45</v>
      </c>
      <c r="V29" s="3"/>
      <c r="W29" s="3">
        <f t="shared" si="3"/>
        <v>472.440659</v>
      </c>
      <c r="X29" s="3">
        <f t="shared" si="4"/>
        <v>9.463088225</v>
      </c>
      <c r="Y29" s="3">
        <f t="shared" si="5"/>
        <v>9.36473527</v>
      </c>
      <c r="Z29" s="3">
        <f t="shared" ref="Z29:AA29" si="32">_xlfn.NORM.S.DIST(X29)</f>
        <v>1</v>
      </c>
      <c r="AA29" s="3">
        <f t="shared" si="32"/>
        <v>1</v>
      </c>
    </row>
    <row r="30" ht="14.25" customHeight="1">
      <c r="A30" s="3" t="s">
        <v>130</v>
      </c>
      <c r="B30" s="3" t="s">
        <v>131</v>
      </c>
      <c r="C30" s="3" t="s">
        <v>133</v>
      </c>
      <c r="D30" s="3" t="s">
        <v>29</v>
      </c>
      <c r="E30" s="3">
        <v>310.0</v>
      </c>
      <c r="F30" s="3" t="s">
        <v>27</v>
      </c>
      <c r="G30" s="3">
        <v>469.7</v>
      </c>
      <c r="I30" s="3">
        <v>471.6</v>
      </c>
      <c r="K30" s="3">
        <v>0.0</v>
      </c>
      <c r="L30" s="3">
        <v>2.0</v>
      </c>
      <c r="M30" s="3" t="s">
        <v>59</v>
      </c>
      <c r="N30" s="3">
        <v>1.0</v>
      </c>
      <c r="O30" s="3">
        <v>0.0</v>
      </c>
      <c r="P30" s="3">
        <v>-0.9003</v>
      </c>
      <c r="Q30" s="3">
        <v>0.0</v>
      </c>
      <c r="R30" s="3">
        <v>0.2853</v>
      </c>
      <c r="S30" s="3">
        <v>780.700035</v>
      </c>
      <c r="T30" s="3">
        <v>23.0</v>
      </c>
      <c r="U30" s="3">
        <f t="shared" si="2"/>
        <v>470.65</v>
      </c>
      <c r="V30" s="3"/>
      <c r="W30" s="3">
        <f t="shared" si="3"/>
        <v>470.7198399</v>
      </c>
      <c r="X30" s="3">
        <f t="shared" si="4"/>
        <v>10.75970368</v>
      </c>
      <c r="Y30" s="3">
        <f t="shared" si="5"/>
        <v>10.67351199</v>
      </c>
      <c r="Z30" s="3">
        <f t="shared" ref="Z30:AA30" si="33">_xlfn.NORM.S.DIST(X30)</f>
        <v>1</v>
      </c>
      <c r="AA30" s="3">
        <f t="shared" si="33"/>
        <v>1</v>
      </c>
    </row>
    <row r="31" ht="14.25" customHeight="1">
      <c r="A31" s="3" t="s">
        <v>130</v>
      </c>
      <c r="B31" s="3" t="s">
        <v>131</v>
      </c>
      <c r="C31" s="3" t="s">
        <v>133</v>
      </c>
      <c r="D31" s="3" t="s">
        <v>29</v>
      </c>
      <c r="E31" s="3">
        <v>310.0</v>
      </c>
      <c r="F31" s="3" t="s">
        <v>27</v>
      </c>
      <c r="G31" s="3">
        <v>471.9</v>
      </c>
      <c r="I31" s="3">
        <v>473.8</v>
      </c>
      <c r="K31" s="3">
        <v>0.0</v>
      </c>
      <c r="L31" s="3">
        <v>2.0</v>
      </c>
      <c r="M31" s="3" t="s">
        <v>60</v>
      </c>
      <c r="N31" s="3">
        <v>0.9999</v>
      </c>
      <c r="O31" s="3">
        <v>0.0</v>
      </c>
      <c r="P31" s="3">
        <v>0.1956</v>
      </c>
      <c r="Q31" s="3">
        <v>0.0</v>
      </c>
      <c r="R31" s="3">
        <v>0.2436</v>
      </c>
      <c r="S31" s="3">
        <v>782.859982</v>
      </c>
      <c r="T31" s="3">
        <v>22.0</v>
      </c>
      <c r="U31" s="3">
        <f t="shared" si="2"/>
        <v>472.85</v>
      </c>
      <c r="V31" s="3"/>
      <c r="W31" s="3">
        <f t="shared" si="3"/>
        <v>472.8789259</v>
      </c>
      <c r="X31" s="3">
        <f t="shared" si="4"/>
        <v>12.90751873</v>
      </c>
      <c r="Y31" s="3">
        <f t="shared" si="5"/>
        <v>12.83554262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130</v>
      </c>
      <c r="B32" s="3" t="s">
        <v>131</v>
      </c>
      <c r="C32" s="3" t="s">
        <v>133</v>
      </c>
      <c r="D32" s="3" t="s">
        <v>29</v>
      </c>
      <c r="E32" s="3">
        <v>310.0</v>
      </c>
      <c r="F32" s="3" t="s">
        <v>27</v>
      </c>
      <c r="G32" s="3">
        <v>476.6</v>
      </c>
      <c r="I32" s="3">
        <v>478.7</v>
      </c>
      <c r="K32" s="3">
        <v>0.0</v>
      </c>
      <c r="L32" s="3">
        <v>2.0</v>
      </c>
      <c r="M32" s="3" t="s">
        <v>61</v>
      </c>
      <c r="N32" s="3">
        <v>1.0</v>
      </c>
      <c r="O32" s="3">
        <v>0.0</v>
      </c>
      <c r="P32" s="3">
        <v>-0.9003</v>
      </c>
      <c r="Q32" s="3">
        <v>0.0</v>
      </c>
      <c r="R32" s="3">
        <v>0.2366</v>
      </c>
      <c r="S32" s="3">
        <v>787.819983</v>
      </c>
      <c r="T32" s="3">
        <v>21.0</v>
      </c>
      <c r="U32" s="3">
        <f t="shared" si="2"/>
        <v>477.65</v>
      </c>
      <c r="V32" s="3"/>
      <c r="W32" s="3">
        <f t="shared" si="3"/>
        <v>477.8380658</v>
      </c>
      <c r="X32" s="3">
        <f t="shared" si="4"/>
        <v>13.69078746</v>
      </c>
      <c r="Y32" s="3">
        <f t="shared" si="5"/>
        <v>13.62248692</v>
      </c>
      <c r="Z32" s="3">
        <f t="shared" ref="Z32:AA32" si="35">_xlfn.NORM.S.DIST(X32)</f>
        <v>1</v>
      </c>
      <c r="AA32" s="3">
        <f t="shared" si="35"/>
        <v>1</v>
      </c>
    </row>
    <row r="33" ht="14.25" customHeight="1">
      <c r="A33" s="3" t="s">
        <v>130</v>
      </c>
      <c r="B33" s="3" t="s">
        <v>131</v>
      </c>
      <c r="C33" s="3" t="s">
        <v>133</v>
      </c>
      <c r="D33" s="3" t="s">
        <v>29</v>
      </c>
      <c r="E33" s="3">
        <v>310.0</v>
      </c>
      <c r="F33" s="3" t="s">
        <v>27</v>
      </c>
      <c r="G33" s="3">
        <v>481.2</v>
      </c>
      <c r="I33" s="3">
        <v>484.7</v>
      </c>
      <c r="K33" s="3">
        <v>0.0</v>
      </c>
      <c r="L33" s="3">
        <v>2.0</v>
      </c>
      <c r="M33" s="3" t="s">
        <v>62</v>
      </c>
      <c r="N33" s="3">
        <v>0.9999</v>
      </c>
      <c r="O33" s="3">
        <v>0.0</v>
      </c>
      <c r="P33" s="3">
        <v>0.2607</v>
      </c>
      <c r="Q33" s="3">
        <v>0.0</v>
      </c>
      <c r="R33" s="3">
        <v>0.2407</v>
      </c>
      <c r="S33" s="3">
        <v>792.889981</v>
      </c>
      <c r="T33" s="3">
        <v>20.0</v>
      </c>
      <c r="U33" s="3">
        <f t="shared" si="2"/>
        <v>482.95</v>
      </c>
      <c r="V33" s="3"/>
      <c r="W33" s="3">
        <f t="shared" si="3"/>
        <v>482.9072027</v>
      </c>
      <c r="X33" s="3">
        <f t="shared" si="4"/>
        <v>13.88398679</v>
      </c>
      <c r="Y33" s="3">
        <f t="shared" si="5"/>
        <v>13.81617724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130</v>
      </c>
      <c r="B34" s="3" t="s">
        <v>131</v>
      </c>
      <c r="C34" s="3" t="s">
        <v>133</v>
      </c>
      <c r="D34" s="3" t="s">
        <v>29</v>
      </c>
      <c r="E34" s="3">
        <v>310.0</v>
      </c>
      <c r="F34" s="3" t="s">
        <v>27</v>
      </c>
      <c r="G34" s="3">
        <v>495.3</v>
      </c>
      <c r="I34" s="3">
        <v>497.9</v>
      </c>
      <c r="K34" s="3">
        <v>0.0</v>
      </c>
      <c r="L34" s="3">
        <v>2.0</v>
      </c>
      <c r="M34" s="3" t="s">
        <v>63</v>
      </c>
      <c r="N34" s="3">
        <v>0.9999</v>
      </c>
      <c r="O34" s="3">
        <v>0.0</v>
      </c>
      <c r="P34" s="3">
        <v>0.717</v>
      </c>
      <c r="Q34" s="3">
        <v>0.0</v>
      </c>
      <c r="R34" s="3">
        <v>0.2451</v>
      </c>
      <c r="S34" s="3">
        <v>806.850007</v>
      </c>
      <c r="T34" s="3">
        <v>19.0</v>
      </c>
      <c r="U34" s="3">
        <f t="shared" si="2"/>
        <v>496.6</v>
      </c>
      <c r="V34" s="3"/>
      <c r="W34" s="3">
        <f t="shared" si="3"/>
        <v>496.8663677</v>
      </c>
      <c r="X34" s="3">
        <f t="shared" si="4"/>
        <v>14.24773275</v>
      </c>
      <c r="Y34" s="3">
        <f t="shared" si="5"/>
        <v>14.18043201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130</v>
      </c>
      <c r="B35" s="3" t="s">
        <v>131</v>
      </c>
      <c r="C35" s="3" t="s">
        <v>133</v>
      </c>
      <c r="D35" s="3" t="s">
        <v>29</v>
      </c>
      <c r="E35" s="3">
        <v>310.0</v>
      </c>
      <c r="F35" s="3" t="s">
        <v>27</v>
      </c>
      <c r="G35" s="3">
        <v>481.3</v>
      </c>
      <c r="I35" s="3">
        <v>483.4</v>
      </c>
      <c r="K35" s="3">
        <v>0.0</v>
      </c>
      <c r="L35" s="3">
        <v>2.0</v>
      </c>
      <c r="M35" s="3" t="s">
        <v>64</v>
      </c>
      <c r="N35" s="3">
        <v>0.9997</v>
      </c>
      <c r="O35" s="3">
        <v>0.0</v>
      </c>
      <c r="P35" s="3">
        <v>2.2763</v>
      </c>
      <c r="Q35" s="3">
        <v>0.0</v>
      </c>
      <c r="R35" s="3">
        <v>0.2933</v>
      </c>
      <c r="S35" s="3">
        <v>792.459992</v>
      </c>
      <c r="T35" s="3">
        <v>18.0</v>
      </c>
      <c r="U35" s="3">
        <f t="shared" si="2"/>
        <v>482.35</v>
      </c>
      <c r="V35" s="3"/>
      <c r="W35" s="3">
        <f t="shared" si="3"/>
        <v>482.4754916</v>
      </c>
      <c r="X35" s="3">
        <f t="shared" si="4"/>
        <v>12.0132594</v>
      </c>
      <c r="Y35" s="3">
        <f t="shared" si="5"/>
        <v>11.93487168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130</v>
      </c>
      <c r="B36" s="3" t="s">
        <v>131</v>
      </c>
      <c r="C36" s="3" t="s">
        <v>133</v>
      </c>
      <c r="D36" s="3" t="s">
        <v>29</v>
      </c>
      <c r="E36" s="3">
        <v>310.0</v>
      </c>
      <c r="F36" s="3" t="s">
        <v>27</v>
      </c>
      <c r="G36" s="3">
        <v>484.5</v>
      </c>
      <c r="I36" s="3">
        <v>486.4</v>
      </c>
      <c r="K36" s="3">
        <v>0.0</v>
      </c>
      <c r="L36" s="3">
        <v>2.0</v>
      </c>
      <c r="M36" s="3" t="s">
        <v>65</v>
      </c>
      <c r="N36" s="3">
        <v>1.0</v>
      </c>
      <c r="O36" s="3">
        <v>0.0</v>
      </c>
      <c r="P36" s="3">
        <v>-0.9004</v>
      </c>
      <c r="Q36" s="3">
        <v>0.0</v>
      </c>
      <c r="R36" s="3">
        <v>0.3019</v>
      </c>
      <c r="S36" s="3">
        <v>795.530039</v>
      </c>
      <c r="T36" s="3">
        <v>17.0</v>
      </c>
      <c r="U36" s="3">
        <f t="shared" si="2"/>
        <v>485.45</v>
      </c>
      <c r="V36" s="3"/>
      <c r="W36" s="3">
        <f t="shared" si="3"/>
        <v>485.5446775</v>
      </c>
      <c r="X36" s="3">
        <f t="shared" si="4"/>
        <v>12.05870825</v>
      </c>
      <c r="Y36" s="3">
        <f t="shared" si="5"/>
        <v>11.98029539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130</v>
      </c>
      <c r="B37" s="3" t="s">
        <v>131</v>
      </c>
      <c r="C37" s="3" t="s">
        <v>133</v>
      </c>
      <c r="D37" s="3" t="s">
        <v>29</v>
      </c>
      <c r="E37" s="3">
        <v>310.0</v>
      </c>
      <c r="F37" s="3" t="s">
        <v>27</v>
      </c>
      <c r="G37" s="3">
        <v>488.9</v>
      </c>
      <c r="I37" s="3">
        <v>490.8</v>
      </c>
      <c r="K37" s="3">
        <v>0.0</v>
      </c>
      <c r="L37" s="3">
        <v>2.0</v>
      </c>
      <c r="M37" s="3" t="s">
        <v>66</v>
      </c>
      <c r="N37" s="3">
        <v>1.0</v>
      </c>
      <c r="O37" s="3">
        <v>0.0</v>
      </c>
      <c r="P37" s="3">
        <v>-0.9004</v>
      </c>
      <c r="Q37" s="3">
        <v>0.0</v>
      </c>
      <c r="R37" s="3">
        <v>0.3155</v>
      </c>
      <c r="S37" s="3">
        <v>799.709998</v>
      </c>
      <c r="T37" s="3">
        <v>16.0</v>
      </c>
      <c r="U37" s="3">
        <f t="shared" si="2"/>
        <v>489.85</v>
      </c>
      <c r="V37" s="3"/>
      <c r="W37" s="3">
        <f t="shared" si="3"/>
        <v>489.7237755</v>
      </c>
      <c r="X37" s="3">
        <f t="shared" si="4"/>
        <v>11.96099279</v>
      </c>
      <c r="Y37" s="3">
        <f t="shared" si="5"/>
        <v>11.88149427</v>
      </c>
      <c r="Z37" s="3">
        <f t="shared" ref="Z37:AA37" si="40">_xlfn.NORM.S.DIST(X37)</f>
        <v>1</v>
      </c>
      <c r="AA37" s="3">
        <f t="shared" si="40"/>
        <v>1</v>
      </c>
    </row>
    <row r="38" ht="14.25" customHeight="1">
      <c r="A38" s="3" t="s">
        <v>130</v>
      </c>
      <c r="B38" s="3" t="s">
        <v>131</v>
      </c>
      <c r="C38" s="3" t="s">
        <v>133</v>
      </c>
      <c r="D38" s="3" t="s">
        <v>29</v>
      </c>
      <c r="E38" s="3">
        <v>310.0</v>
      </c>
      <c r="F38" s="3" t="s">
        <v>27</v>
      </c>
      <c r="G38" s="3">
        <v>479.2</v>
      </c>
      <c r="I38" s="3">
        <v>483.0</v>
      </c>
      <c r="K38" s="3">
        <v>0.0</v>
      </c>
      <c r="L38" s="3">
        <v>2.0</v>
      </c>
      <c r="M38" s="3" t="s">
        <v>67</v>
      </c>
      <c r="N38" s="3">
        <v>1.0</v>
      </c>
      <c r="O38" s="3">
        <v>0.0</v>
      </c>
      <c r="P38" s="3">
        <v>-0.9004</v>
      </c>
      <c r="Q38" s="3">
        <v>0.0</v>
      </c>
      <c r="R38" s="3">
        <v>0.3649</v>
      </c>
      <c r="S38" s="3">
        <v>790.770033</v>
      </c>
      <c r="T38" s="3">
        <v>15.0</v>
      </c>
      <c r="U38" s="3">
        <f t="shared" si="2"/>
        <v>481.1</v>
      </c>
      <c r="V38" s="3"/>
      <c r="W38" s="3">
        <f t="shared" si="3"/>
        <v>480.7829494</v>
      </c>
      <c r="X38" s="3">
        <f t="shared" si="4"/>
        <v>10.56359163</v>
      </c>
      <c r="Y38" s="3">
        <f t="shared" si="5"/>
        <v>10.47456514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130</v>
      </c>
      <c r="B39" s="3" t="s">
        <v>131</v>
      </c>
      <c r="C39" s="3" t="s">
        <v>133</v>
      </c>
      <c r="D39" s="3" t="s">
        <v>29</v>
      </c>
      <c r="E39" s="3">
        <v>310.0</v>
      </c>
      <c r="F39" s="3" t="s">
        <v>27</v>
      </c>
      <c r="G39" s="3">
        <v>478.9</v>
      </c>
      <c r="I39" s="3">
        <v>481.5</v>
      </c>
      <c r="K39" s="3">
        <v>0.0</v>
      </c>
      <c r="L39" s="3">
        <v>2.0</v>
      </c>
      <c r="M39" s="3" t="s">
        <v>68</v>
      </c>
      <c r="N39" s="3">
        <v>1.0</v>
      </c>
      <c r="O39" s="3">
        <v>0.0</v>
      </c>
      <c r="P39" s="3">
        <v>-0.9004</v>
      </c>
      <c r="Q39" s="3">
        <v>0.0</v>
      </c>
      <c r="R39" s="3">
        <v>0.3256</v>
      </c>
      <c r="S39" s="3">
        <v>790.129988</v>
      </c>
      <c r="T39" s="3">
        <v>14.0</v>
      </c>
      <c r="U39" s="3">
        <f t="shared" si="2"/>
        <v>480.2</v>
      </c>
      <c r="V39" s="3"/>
      <c r="W39" s="3">
        <f t="shared" si="3"/>
        <v>480.1420433</v>
      </c>
      <c r="X39" s="3">
        <f t="shared" si="4"/>
        <v>12.23028397</v>
      </c>
      <c r="Y39" s="3">
        <f t="shared" si="5"/>
        <v>12.15353932</v>
      </c>
      <c r="Z39" s="3">
        <f t="shared" ref="Z39:AA39" si="42">_xlfn.NORM.S.DIST(X39)</f>
        <v>1</v>
      </c>
      <c r="AA39" s="3">
        <f t="shared" si="42"/>
        <v>1</v>
      </c>
    </row>
    <row r="40" ht="14.25" customHeight="1">
      <c r="A40" s="3" t="s">
        <v>130</v>
      </c>
      <c r="B40" s="3" t="s">
        <v>131</v>
      </c>
      <c r="C40" s="3" t="s">
        <v>133</v>
      </c>
      <c r="D40" s="3" t="s">
        <v>29</v>
      </c>
      <c r="E40" s="3">
        <v>310.0</v>
      </c>
      <c r="F40" s="3" t="s">
        <v>27</v>
      </c>
      <c r="G40" s="3">
        <v>488.7</v>
      </c>
      <c r="I40" s="3">
        <v>490.8</v>
      </c>
      <c r="K40" s="3">
        <v>0.0</v>
      </c>
      <c r="L40" s="3">
        <v>2.0</v>
      </c>
      <c r="M40" s="3" t="s">
        <v>69</v>
      </c>
      <c r="N40" s="3">
        <v>1.0</v>
      </c>
      <c r="O40" s="3">
        <v>0.0</v>
      </c>
      <c r="P40" s="3">
        <v>-0.9004</v>
      </c>
      <c r="Q40" s="3">
        <v>0.0</v>
      </c>
      <c r="R40" s="3">
        <v>0.294</v>
      </c>
      <c r="S40" s="3">
        <v>799.779996</v>
      </c>
      <c r="T40" s="3">
        <v>13.0</v>
      </c>
      <c r="U40" s="3">
        <f t="shared" si="2"/>
        <v>489.75</v>
      </c>
      <c r="V40" s="3"/>
      <c r="W40" s="3">
        <f t="shared" si="3"/>
        <v>489.7911902</v>
      </c>
      <c r="X40" s="3">
        <f t="shared" si="4"/>
        <v>14.22717203</v>
      </c>
      <c r="Y40" s="3">
        <f t="shared" si="5"/>
        <v>14.16039628</v>
      </c>
      <c r="Z40" s="3">
        <f t="shared" ref="Z40:AA40" si="43">_xlfn.NORM.S.DIST(X40)</f>
        <v>1</v>
      </c>
      <c r="AA40" s="3">
        <f t="shared" si="43"/>
        <v>1</v>
      </c>
    </row>
    <row r="41" ht="14.25" customHeight="1">
      <c r="A41" s="3" t="s">
        <v>130</v>
      </c>
      <c r="B41" s="3" t="s">
        <v>131</v>
      </c>
      <c r="C41" s="3" t="s">
        <v>133</v>
      </c>
      <c r="D41" s="3" t="s">
        <v>29</v>
      </c>
      <c r="E41" s="3">
        <v>310.0</v>
      </c>
      <c r="F41" s="3" t="s">
        <v>27</v>
      </c>
      <c r="G41" s="3">
        <v>490.4</v>
      </c>
      <c r="I41" s="3">
        <v>493.8</v>
      </c>
      <c r="K41" s="3">
        <v>0.0</v>
      </c>
      <c r="L41" s="3">
        <v>2.0</v>
      </c>
      <c r="M41" s="3" t="s">
        <v>70</v>
      </c>
      <c r="N41" s="3">
        <v>0.9998</v>
      </c>
      <c r="O41" s="3">
        <v>0.0</v>
      </c>
      <c r="P41" s="3">
        <v>2.9992</v>
      </c>
      <c r="Q41" s="3">
        <v>0.0</v>
      </c>
      <c r="R41" s="3">
        <v>0.3885</v>
      </c>
      <c r="S41" s="3">
        <v>801.200022</v>
      </c>
      <c r="T41" s="3">
        <v>12.0</v>
      </c>
      <c r="U41" s="3">
        <f t="shared" si="2"/>
        <v>492.1</v>
      </c>
      <c r="V41" s="3"/>
      <c r="W41" s="3">
        <f t="shared" si="3"/>
        <v>491.2103552</v>
      </c>
      <c r="X41" s="3">
        <f t="shared" si="4"/>
        <v>11.24311995</v>
      </c>
      <c r="Y41" s="3">
        <f t="shared" si="5"/>
        <v>11.1583423</v>
      </c>
      <c r="Z41" s="3">
        <f t="shared" ref="Z41:AA41" si="44">_xlfn.NORM.S.DIST(X41)</f>
        <v>1</v>
      </c>
      <c r="AA41" s="3">
        <f t="shared" si="44"/>
        <v>1</v>
      </c>
    </row>
    <row r="42" ht="14.25" customHeight="1">
      <c r="A42" s="3" t="s">
        <v>130</v>
      </c>
      <c r="B42" s="3" t="s">
        <v>131</v>
      </c>
      <c r="C42" s="3" t="s">
        <v>133</v>
      </c>
      <c r="D42" s="3" t="s">
        <v>29</v>
      </c>
      <c r="E42" s="3">
        <v>310.0</v>
      </c>
      <c r="F42" s="3" t="s">
        <v>27</v>
      </c>
      <c r="G42" s="3">
        <v>494.5</v>
      </c>
      <c r="I42" s="3">
        <v>497.5</v>
      </c>
      <c r="K42" s="3">
        <v>0.0</v>
      </c>
      <c r="L42" s="3">
        <v>2.0</v>
      </c>
      <c r="M42" s="3" t="s">
        <v>71</v>
      </c>
      <c r="N42" s="3">
        <v>0.9996</v>
      </c>
      <c r="O42" s="3">
        <v>0.0</v>
      </c>
      <c r="P42" s="3">
        <v>6.9727</v>
      </c>
      <c r="Q42" s="3">
        <v>0.0</v>
      </c>
      <c r="R42" s="3">
        <v>0.2566</v>
      </c>
      <c r="S42" s="3">
        <v>806.190023</v>
      </c>
      <c r="T42" s="3">
        <v>11.0</v>
      </c>
      <c r="U42" s="3">
        <f t="shared" si="2"/>
        <v>496</v>
      </c>
      <c r="V42" s="3"/>
      <c r="W42" s="3">
        <f t="shared" si="3"/>
        <v>496.1994951</v>
      </c>
      <c r="X42" s="3">
        <f t="shared" si="4"/>
        <v>17.85486942</v>
      </c>
      <c r="Y42" s="3">
        <f t="shared" si="5"/>
        <v>17.80125857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130</v>
      </c>
      <c r="B43" s="3" t="s">
        <v>131</v>
      </c>
      <c r="C43" s="3" t="s">
        <v>133</v>
      </c>
      <c r="D43" s="3" t="s">
        <v>29</v>
      </c>
      <c r="E43" s="3">
        <v>310.0</v>
      </c>
      <c r="F43" s="3" t="s">
        <v>27</v>
      </c>
      <c r="G43" s="3">
        <v>510.4</v>
      </c>
      <c r="I43" s="3">
        <v>513.2</v>
      </c>
      <c r="K43" s="3">
        <v>0.0</v>
      </c>
      <c r="L43" s="3">
        <v>2.0</v>
      </c>
      <c r="M43" s="3" t="s">
        <v>72</v>
      </c>
      <c r="N43" s="3">
        <v>0.9997</v>
      </c>
      <c r="O43" s="3">
        <v>0.0</v>
      </c>
      <c r="P43" s="3">
        <v>8.3572</v>
      </c>
      <c r="Q43" s="3">
        <v>0.0</v>
      </c>
      <c r="R43" s="3">
        <v>0.2784</v>
      </c>
      <c r="S43" s="3">
        <v>821.500015</v>
      </c>
      <c r="T43" s="3">
        <v>10.0</v>
      </c>
      <c r="U43" s="3">
        <f t="shared" si="2"/>
        <v>511.8</v>
      </c>
      <c r="V43" s="3"/>
      <c r="W43" s="3">
        <f t="shared" si="3"/>
        <v>511.508626</v>
      </c>
      <c r="X43" s="3">
        <f t="shared" si="4"/>
        <v>17.60096961</v>
      </c>
      <c r="Y43" s="3">
        <f t="shared" si="5"/>
        <v>17.545511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130</v>
      </c>
      <c r="B44" s="3" t="s">
        <v>131</v>
      </c>
      <c r="C44" s="3" t="s">
        <v>133</v>
      </c>
      <c r="D44" s="3" t="s">
        <v>29</v>
      </c>
      <c r="E44" s="3">
        <v>310.0</v>
      </c>
      <c r="F44" s="3" t="s">
        <v>27</v>
      </c>
      <c r="G44" s="3">
        <v>527.6</v>
      </c>
      <c r="I44" s="3">
        <v>529.6</v>
      </c>
      <c r="K44" s="3">
        <v>0.0</v>
      </c>
      <c r="L44" s="3">
        <v>2.0</v>
      </c>
      <c r="M44" s="3" t="s">
        <v>73</v>
      </c>
      <c r="N44" s="3">
        <v>0.9997</v>
      </c>
      <c r="O44" s="3">
        <v>0.0</v>
      </c>
      <c r="P44" s="3">
        <v>9.2426</v>
      </c>
      <c r="Q44" s="3">
        <v>0.0</v>
      </c>
      <c r="R44" s="3">
        <v>0.2798</v>
      </c>
      <c r="S44" s="3">
        <v>838.600024</v>
      </c>
      <c r="T44" s="3">
        <v>9.0</v>
      </c>
      <c r="U44" s="3">
        <f t="shared" si="2"/>
        <v>528.6</v>
      </c>
      <c r="V44" s="3"/>
      <c r="W44" s="3">
        <f t="shared" si="3"/>
        <v>528.6077739</v>
      </c>
      <c r="X44" s="3">
        <f t="shared" si="4"/>
        <v>18.84714027</v>
      </c>
      <c r="Y44" s="3">
        <f t="shared" si="5"/>
        <v>18.79426304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130</v>
      </c>
      <c r="B45" s="3" t="s">
        <v>131</v>
      </c>
      <c r="C45" s="3" t="s">
        <v>133</v>
      </c>
      <c r="D45" s="3" t="s">
        <v>29</v>
      </c>
      <c r="E45" s="3">
        <v>310.0</v>
      </c>
      <c r="F45" s="3" t="s">
        <v>27</v>
      </c>
      <c r="G45" s="3">
        <v>520.3</v>
      </c>
      <c r="I45" s="3">
        <v>522.2</v>
      </c>
      <c r="K45" s="3">
        <v>0.0</v>
      </c>
      <c r="L45" s="3">
        <v>2.0</v>
      </c>
      <c r="M45" s="3" t="s">
        <v>74</v>
      </c>
      <c r="N45" s="3">
        <v>0.9997</v>
      </c>
      <c r="O45" s="3">
        <v>0.0</v>
      </c>
      <c r="P45" s="3">
        <v>9.1559</v>
      </c>
      <c r="Q45" s="3">
        <v>0.0</v>
      </c>
      <c r="R45" s="3">
        <v>0.2207</v>
      </c>
      <c r="S45" s="3">
        <v>831.380018</v>
      </c>
      <c r="T45" s="3">
        <v>8.0</v>
      </c>
      <c r="U45" s="3">
        <f t="shared" si="2"/>
        <v>521.25</v>
      </c>
      <c r="V45" s="3"/>
      <c r="W45" s="3">
        <f t="shared" si="3"/>
        <v>521.3869068</v>
      </c>
      <c r="X45" s="3">
        <f t="shared" si="4"/>
        <v>25.10767563</v>
      </c>
      <c r="Y45" s="3">
        <f t="shared" si="5"/>
        <v>25.06835259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130</v>
      </c>
      <c r="B46" s="3" t="s">
        <v>131</v>
      </c>
      <c r="C46" s="3" t="s">
        <v>133</v>
      </c>
      <c r="D46" s="3" t="s">
        <v>29</v>
      </c>
      <c r="E46" s="3">
        <v>310.0</v>
      </c>
      <c r="F46" s="3" t="s">
        <v>27</v>
      </c>
      <c r="G46" s="3">
        <v>522.1</v>
      </c>
      <c r="I46" s="3">
        <v>523.6</v>
      </c>
      <c r="K46" s="3">
        <v>0.0</v>
      </c>
      <c r="L46" s="3">
        <v>2.0</v>
      </c>
      <c r="M46" s="3" t="s">
        <v>75</v>
      </c>
      <c r="N46" s="3">
        <v>0.9997</v>
      </c>
      <c r="O46" s="3">
        <v>0.0</v>
      </c>
      <c r="P46" s="3">
        <v>9.1709</v>
      </c>
      <c r="Q46" s="3">
        <v>0.0</v>
      </c>
      <c r="R46" s="3">
        <v>0.3808</v>
      </c>
      <c r="S46" s="3">
        <v>832.599988</v>
      </c>
      <c r="T46" s="3">
        <v>7.0</v>
      </c>
      <c r="U46" s="3">
        <f t="shared" si="2"/>
        <v>522.85</v>
      </c>
      <c r="V46" s="3"/>
      <c r="W46" s="3">
        <f t="shared" si="3"/>
        <v>522.6060157</v>
      </c>
      <c r="X46" s="3">
        <f t="shared" si="4"/>
        <v>15.59896759</v>
      </c>
      <c r="Y46" s="3">
        <f t="shared" si="5"/>
        <v>15.53550092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130</v>
      </c>
      <c r="B47" s="3" t="s">
        <v>131</v>
      </c>
      <c r="C47" s="3" t="s">
        <v>133</v>
      </c>
      <c r="D47" s="3" t="s">
        <v>29</v>
      </c>
      <c r="E47" s="3">
        <v>310.0</v>
      </c>
      <c r="F47" s="3" t="s">
        <v>27</v>
      </c>
      <c r="G47" s="3">
        <v>520.6</v>
      </c>
      <c r="I47" s="3">
        <v>522.3</v>
      </c>
      <c r="K47" s="3">
        <v>0.0</v>
      </c>
      <c r="L47" s="3">
        <v>2.0</v>
      </c>
      <c r="M47" s="3" t="s">
        <v>76</v>
      </c>
      <c r="N47" s="3">
        <v>0.9998</v>
      </c>
      <c r="O47" s="3">
        <v>0.0</v>
      </c>
      <c r="P47" s="3">
        <v>9.1582</v>
      </c>
      <c r="Q47" s="3">
        <v>0.0</v>
      </c>
      <c r="R47" s="3">
        <v>0.298</v>
      </c>
      <c r="S47" s="3">
        <v>831.520014</v>
      </c>
      <c r="T47" s="3">
        <v>6.0</v>
      </c>
      <c r="U47" s="3">
        <f t="shared" si="2"/>
        <v>521.45</v>
      </c>
      <c r="V47" s="3"/>
      <c r="W47" s="3">
        <f t="shared" si="3"/>
        <v>521.5251806</v>
      </c>
      <c r="X47" s="3">
        <f t="shared" si="4"/>
        <v>21.48119638</v>
      </c>
      <c r="Y47" s="3">
        <f t="shared" si="5"/>
        <v>21.43521398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130</v>
      </c>
      <c r="B48" s="3" t="s">
        <v>131</v>
      </c>
      <c r="C48" s="3" t="s">
        <v>133</v>
      </c>
      <c r="D48" s="3" t="s">
        <v>29</v>
      </c>
      <c r="E48" s="3">
        <v>310.0</v>
      </c>
      <c r="F48" s="3" t="s">
        <v>27</v>
      </c>
      <c r="G48" s="3">
        <v>523.8</v>
      </c>
      <c r="I48" s="3">
        <v>525.7</v>
      </c>
      <c r="K48" s="3">
        <v>0.0</v>
      </c>
      <c r="L48" s="3">
        <v>2.0</v>
      </c>
      <c r="M48" s="3" t="s">
        <v>77</v>
      </c>
      <c r="N48" s="3">
        <v>1.0</v>
      </c>
      <c r="O48" s="3">
        <v>0.0</v>
      </c>
      <c r="P48" s="3">
        <v>-0.8739</v>
      </c>
      <c r="Q48" s="3">
        <v>0.0</v>
      </c>
      <c r="R48" s="3">
        <v>0.218</v>
      </c>
      <c r="S48" s="3">
        <v>834.819995</v>
      </c>
      <c r="T48" s="3">
        <v>5.0</v>
      </c>
      <c r="U48" s="3">
        <f t="shared" si="2"/>
        <v>524.75</v>
      </c>
      <c r="V48" s="3"/>
      <c r="W48" s="3">
        <f t="shared" si="3"/>
        <v>524.8243005</v>
      </c>
      <c r="X48" s="3">
        <f t="shared" si="4"/>
        <v>32.27669363</v>
      </c>
      <c r="Y48" s="3">
        <f t="shared" si="5"/>
        <v>32.24598636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130</v>
      </c>
      <c r="B49" s="3" t="s">
        <v>131</v>
      </c>
      <c r="C49" s="3" t="s">
        <v>133</v>
      </c>
      <c r="D49" s="3" t="s">
        <v>29</v>
      </c>
      <c r="E49" s="3">
        <v>310.0</v>
      </c>
      <c r="F49" s="3" t="s">
        <v>27</v>
      </c>
      <c r="G49" s="3">
        <v>516.6</v>
      </c>
      <c r="I49" s="3">
        <v>518.4</v>
      </c>
      <c r="K49" s="3">
        <v>2.0</v>
      </c>
      <c r="L49" s="3">
        <v>2.0</v>
      </c>
      <c r="M49" s="3" t="s">
        <v>78</v>
      </c>
      <c r="N49" s="3">
        <v>1.0</v>
      </c>
      <c r="O49" s="3">
        <v>0.0</v>
      </c>
      <c r="P49" s="3">
        <v>-0.8739</v>
      </c>
      <c r="Q49" s="3">
        <v>0.0</v>
      </c>
      <c r="R49" s="3">
        <v>0.2109</v>
      </c>
      <c r="S49" s="3">
        <v>827.609988</v>
      </c>
      <c r="T49" s="3">
        <v>4.0</v>
      </c>
      <c r="U49" s="3">
        <f t="shared" si="2"/>
        <v>517.5</v>
      </c>
      <c r="V49" s="3"/>
      <c r="W49" s="3">
        <f t="shared" si="3"/>
        <v>517.6134324</v>
      </c>
      <c r="X49" s="3">
        <f t="shared" si="4"/>
        <v>36.97028493</v>
      </c>
      <c r="Y49" s="3">
        <f t="shared" si="5"/>
        <v>36.94371403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130</v>
      </c>
      <c r="B50" s="3" t="s">
        <v>131</v>
      </c>
      <c r="C50" s="3" t="s">
        <v>133</v>
      </c>
      <c r="D50" s="3" t="s">
        <v>29</v>
      </c>
      <c r="E50" s="3">
        <v>310.0</v>
      </c>
      <c r="F50" s="3" t="s">
        <v>27</v>
      </c>
      <c r="G50" s="3">
        <v>514.5</v>
      </c>
      <c r="I50" s="3">
        <v>516.2</v>
      </c>
      <c r="K50" s="3">
        <v>0.0</v>
      </c>
      <c r="L50" s="3">
        <v>0.0</v>
      </c>
      <c r="M50" s="3" t="s">
        <v>79</v>
      </c>
      <c r="N50" s="3">
        <v>1.0</v>
      </c>
      <c r="O50" s="3">
        <v>0.0</v>
      </c>
      <c r="P50" s="3">
        <v>-0.8739</v>
      </c>
      <c r="Q50" s="3">
        <v>0.0</v>
      </c>
      <c r="R50" s="3">
        <v>0.2076</v>
      </c>
      <c r="S50" s="3">
        <v>825.309983</v>
      </c>
      <c r="T50" s="3">
        <v>3.0</v>
      </c>
      <c r="U50" s="3">
        <f t="shared" si="2"/>
        <v>515.35</v>
      </c>
      <c r="V50" s="3"/>
      <c r="W50" s="3">
        <f t="shared" si="3"/>
        <v>515.3125663</v>
      </c>
      <c r="X50" s="3">
        <f t="shared" si="4"/>
        <v>43.2409557</v>
      </c>
      <c r="Y50" s="3">
        <f t="shared" si="5"/>
        <v>43.21830468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130</v>
      </c>
      <c r="B51" s="3" t="s">
        <v>131</v>
      </c>
      <c r="C51" s="3" t="s">
        <v>133</v>
      </c>
      <c r="D51" s="3" t="s">
        <v>29</v>
      </c>
      <c r="E51" s="3">
        <v>310.0</v>
      </c>
      <c r="F51" s="3" t="s">
        <v>27</v>
      </c>
      <c r="G51" s="3">
        <v>510.7</v>
      </c>
      <c r="I51" s="3">
        <v>512.5</v>
      </c>
      <c r="K51" s="3">
        <v>0.0</v>
      </c>
      <c r="L51" s="3">
        <v>0.0</v>
      </c>
      <c r="M51" s="3" t="s">
        <v>80</v>
      </c>
      <c r="N51" s="3">
        <v>1.0</v>
      </c>
      <c r="O51" s="3">
        <v>0.0</v>
      </c>
      <c r="P51" s="3">
        <v>-0.8739</v>
      </c>
      <c r="Q51" s="3">
        <v>0.0</v>
      </c>
      <c r="R51" s="3">
        <v>0.1797</v>
      </c>
      <c r="S51" s="3">
        <v>821.540014</v>
      </c>
      <c r="T51" s="3">
        <v>2.0</v>
      </c>
      <c r="U51" s="3">
        <f t="shared" si="2"/>
        <v>511.6</v>
      </c>
      <c r="V51" s="3"/>
      <c r="W51" s="3">
        <f t="shared" si="3"/>
        <v>511.5417362</v>
      </c>
      <c r="X51" s="3">
        <f t="shared" si="4"/>
        <v>60.88732515</v>
      </c>
      <c r="Y51" s="3">
        <f t="shared" si="5"/>
        <v>60.87131621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130</v>
      </c>
      <c r="B52" s="3" t="s">
        <v>131</v>
      </c>
      <c r="C52" s="3" t="s">
        <v>133</v>
      </c>
      <c r="D52" s="3" t="s">
        <v>29</v>
      </c>
      <c r="E52" s="3">
        <v>310.0</v>
      </c>
      <c r="F52" s="3" t="s">
        <v>27</v>
      </c>
      <c r="G52" s="3">
        <v>502.7</v>
      </c>
      <c r="I52" s="3">
        <v>506.2</v>
      </c>
      <c r="K52" s="3">
        <v>0.0</v>
      </c>
      <c r="L52" s="3">
        <v>0.0</v>
      </c>
      <c r="M52" s="3" t="s">
        <v>81</v>
      </c>
      <c r="N52" s="3">
        <v>1.0</v>
      </c>
      <c r="O52" s="3">
        <v>0.0</v>
      </c>
      <c r="P52" s="3">
        <v>-0.8739</v>
      </c>
      <c r="Q52" s="3">
        <v>0.0</v>
      </c>
      <c r="R52" s="3">
        <v>0.9272</v>
      </c>
      <c r="S52" s="3">
        <v>814.300008</v>
      </c>
      <c r="T52" s="3">
        <v>1.0</v>
      </c>
      <c r="U52" s="3">
        <f t="shared" si="2"/>
        <v>504.45</v>
      </c>
      <c r="V52" s="3"/>
      <c r="W52" s="3">
        <f t="shared" si="3"/>
        <v>504.3008691</v>
      </c>
      <c r="X52" s="3">
        <f t="shared" si="4"/>
        <v>16.56388289</v>
      </c>
      <c r="Y52" s="3">
        <f t="shared" si="5"/>
        <v>16.50547478</v>
      </c>
      <c r="Z52" s="3">
        <f t="shared" ref="Z52:AA52" si="55">_xlfn.NORM.S.DIST(X52)</f>
        <v>1</v>
      </c>
      <c r="AA52" s="3">
        <f t="shared" si="55"/>
        <v>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134</v>
      </c>
      <c r="B2" s="3" t="s">
        <v>135</v>
      </c>
      <c r="C2" s="3" t="s">
        <v>132</v>
      </c>
      <c r="D2" s="3" t="s">
        <v>29</v>
      </c>
      <c r="E2" s="3">
        <v>9.0</v>
      </c>
      <c r="F2" s="3" t="s">
        <v>27</v>
      </c>
      <c r="G2" s="3">
        <v>18.4</v>
      </c>
      <c r="I2" s="3">
        <v>20.5</v>
      </c>
      <c r="K2" s="3">
        <v>0.0</v>
      </c>
      <c r="L2" s="3">
        <v>7.0</v>
      </c>
      <c r="M2" s="3" t="s">
        <v>30</v>
      </c>
      <c r="N2" s="3">
        <v>0.9995</v>
      </c>
      <c r="O2" s="3">
        <v>0.0</v>
      </c>
      <c r="P2" s="3">
        <v>0.045</v>
      </c>
      <c r="Q2" s="3">
        <v>0.0</v>
      </c>
      <c r="R2" s="3">
        <v>0.4598</v>
      </c>
      <c r="S2" s="3">
        <v>28.0</v>
      </c>
      <c r="T2" s="3">
        <v>51.0</v>
      </c>
      <c r="U2" s="3">
        <f t="shared" ref="U2:U52" si="2">(I2+G2)*0.5</f>
        <v>19.45</v>
      </c>
      <c r="V2" s="3"/>
      <c r="W2" s="3">
        <f t="shared" ref="W2:W52" si="3">( S2*Z2 ) - ( E2 * EXP(-0.0007*T2/$AC$2) * AA2)</f>
        <v>19.00127492</v>
      </c>
      <c r="X2" s="3">
        <f t="shared" ref="X2:X52" si="4">((LN(S2/E2) + (0.0007 + (R2^2)/2) * T2/$AC$2)) / (R2 * SQRT(T2/$AC$2))</f>
        <v>5.591102367</v>
      </c>
      <c r="Y2" s="3">
        <f t="shared" ref="Y2:Y52" si="5">X2-(R2*SQRT(T2/$AC$2))</f>
        <v>5.384253196</v>
      </c>
      <c r="Z2" s="3">
        <f t="shared" ref="Z2:AA2" si="1">_xlfn.NORM.S.DIST(X2)</f>
        <v>0.9999999887</v>
      </c>
      <c r="AA2" s="3">
        <f t="shared" si="1"/>
        <v>0.9999999636</v>
      </c>
      <c r="AC2" s="6">
        <v>252.0</v>
      </c>
    </row>
    <row r="3" ht="14.25" customHeight="1">
      <c r="A3" s="3" t="s">
        <v>134</v>
      </c>
      <c r="B3" s="3" t="s">
        <v>135</v>
      </c>
      <c r="C3" s="3" t="s">
        <v>132</v>
      </c>
      <c r="D3" s="3" t="s">
        <v>29</v>
      </c>
      <c r="E3" s="3">
        <v>9.0</v>
      </c>
      <c r="F3" s="3" t="s">
        <v>27</v>
      </c>
      <c r="G3" s="3">
        <v>18.6</v>
      </c>
      <c r="I3" s="3">
        <v>18.95</v>
      </c>
      <c r="K3" s="3">
        <v>0.0</v>
      </c>
      <c r="L3" s="3">
        <v>7.0</v>
      </c>
      <c r="M3" s="3" t="s">
        <v>31</v>
      </c>
      <c r="N3" s="3">
        <v>1.0</v>
      </c>
      <c r="O3" s="3">
        <v>0.0</v>
      </c>
      <c r="P3" s="3">
        <v>-0.0273</v>
      </c>
      <c r="Q3" s="3">
        <v>0.0</v>
      </c>
      <c r="R3" s="3">
        <v>0.5401</v>
      </c>
      <c r="S3" s="3">
        <v>27.77</v>
      </c>
      <c r="T3" s="3">
        <v>50.0</v>
      </c>
      <c r="U3" s="3">
        <f t="shared" si="2"/>
        <v>18.775</v>
      </c>
      <c r="V3" s="3"/>
      <c r="W3" s="3">
        <f t="shared" si="3"/>
        <v>18.77125096</v>
      </c>
      <c r="X3" s="3">
        <f t="shared" si="4"/>
        <v>4.804271041</v>
      </c>
      <c r="Y3" s="3">
        <f t="shared" si="5"/>
        <v>4.563691379</v>
      </c>
      <c r="Z3" s="3">
        <f t="shared" ref="Z3:AA3" si="6">_xlfn.NORM.S.DIST(X3)</f>
        <v>0.9999992234</v>
      </c>
      <c r="AA3" s="3">
        <f t="shared" si="6"/>
        <v>0.9999974869</v>
      </c>
    </row>
    <row r="4" ht="14.25" customHeight="1">
      <c r="A4" s="3" t="s">
        <v>134</v>
      </c>
      <c r="B4" s="3" t="s">
        <v>135</v>
      </c>
      <c r="C4" s="3" t="s">
        <v>132</v>
      </c>
      <c r="D4" s="3" t="s">
        <v>29</v>
      </c>
      <c r="E4" s="3">
        <v>9.0</v>
      </c>
      <c r="F4" s="3" t="s">
        <v>27</v>
      </c>
      <c r="G4" s="3">
        <v>18.25</v>
      </c>
      <c r="I4" s="3">
        <v>21.35</v>
      </c>
      <c r="K4" s="3">
        <v>0.0</v>
      </c>
      <c r="L4" s="3">
        <v>7.0</v>
      </c>
      <c r="M4" s="3" t="s">
        <v>32</v>
      </c>
      <c r="N4" s="3">
        <v>0.9997</v>
      </c>
      <c r="O4" s="3">
        <v>0.0</v>
      </c>
      <c r="P4" s="3">
        <v>0.02</v>
      </c>
      <c r="Q4" s="3">
        <v>0.0</v>
      </c>
      <c r="R4" s="3">
        <v>0.528</v>
      </c>
      <c r="S4" s="3">
        <v>28.76</v>
      </c>
      <c r="T4" s="3">
        <v>49.0</v>
      </c>
      <c r="U4" s="3">
        <f t="shared" si="2"/>
        <v>19.8</v>
      </c>
      <c r="V4" s="3"/>
      <c r="W4" s="3">
        <f t="shared" si="3"/>
        <v>19.76122513</v>
      </c>
      <c r="X4" s="3">
        <f t="shared" si="4"/>
        <v>5.106820018</v>
      </c>
      <c r="Y4" s="3">
        <f t="shared" si="5"/>
        <v>4.873993902</v>
      </c>
      <c r="Z4" s="3">
        <f t="shared" ref="Z4:AA4" si="7">_xlfn.NORM.S.DIST(X4)</f>
        <v>0.9999998362</v>
      </c>
      <c r="AA4" s="3">
        <f t="shared" si="7"/>
        <v>0.9999994532</v>
      </c>
    </row>
    <row r="5" ht="14.25" customHeight="1">
      <c r="A5" s="3" t="s">
        <v>134</v>
      </c>
      <c r="B5" s="3" t="s">
        <v>135</v>
      </c>
      <c r="C5" s="3" t="s">
        <v>132</v>
      </c>
      <c r="D5" s="3" t="s">
        <v>29</v>
      </c>
      <c r="E5" s="3">
        <v>9.0</v>
      </c>
      <c r="F5" s="3" t="s">
        <v>27</v>
      </c>
      <c r="G5" s="3">
        <v>20.25</v>
      </c>
      <c r="I5" s="3">
        <v>20.6</v>
      </c>
      <c r="K5" s="3">
        <v>0.0</v>
      </c>
      <c r="L5" s="3">
        <v>7.0</v>
      </c>
      <c r="M5" s="3" t="s">
        <v>33</v>
      </c>
      <c r="N5" s="3">
        <v>0.9997</v>
      </c>
      <c r="O5" s="3">
        <v>0.0</v>
      </c>
      <c r="P5" s="3">
        <v>0.019</v>
      </c>
      <c r="Q5" s="3">
        <v>0.0</v>
      </c>
      <c r="R5" s="3">
        <v>0.549</v>
      </c>
      <c r="S5" s="3">
        <v>29.42</v>
      </c>
      <c r="T5" s="3">
        <v>48.0</v>
      </c>
      <c r="U5" s="3">
        <f t="shared" si="2"/>
        <v>20.425</v>
      </c>
      <c r="V5" s="3"/>
      <c r="W5" s="3">
        <f t="shared" si="3"/>
        <v>20.4212002</v>
      </c>
      <c r="X5" s="3">
        <f t="shared" si="4"/>
        <v>5.063739166</v>
      </c>
      <c r="Y5" s="3">
        <f t="shared" si="5"/>
        <v>4.824135923</v>
      </c>
      <c r="Z5" s="3">
        <f t="shared" ref="Z5:AA5" si="8">_xlfn.NORM.S.DIST(X5)</f>
        <v>0.9999997944</v>
      </c>
      <c r="AA5" s="3">
        <f t="shared" si="8"/>
        <v>0.9999992969</v>
      </c>
    </row>
    <row r="6" ht="14.25" customHeight="1">
      <c r="A6" s="3" t="s">
        <v>134</v>
      </c>
      <c r="B6" s="3" t="s">
        <v>135</v>
      </c>
      <c r="C6" s="3" t="s">
        <v>132</v>
      </c>
      <c r="D6" s="3" t="s">
        <v>29</v>
      </c>
      <c r="E6" s="3">
        <v>9.0</v>
      </c>
      <c r="F6" s="3" t="s">
        <v>27</v>
      </c>
      <c r="G6" s="3">
        <v>19.9</v>
      </c>
      <c r="I6" s="3">
        <v>20.25</v>
      </c>
      <c r="K6" s="3">
        <v>0.0</v>
      </c>
      <c r="L6" s="3">
        <v>7.0</v>
      </c>
      <c r="M6" s="3" t="s">
        <v>34</v>
      </c>
      <c r="N6" s="3">
        <v>0.9994</v>
      </c>
      <c r="O6" s="3">
        <v>0.0</v>
      </c>
      <c r="P6" s="3">
        <v>0.064</v>
      </c>
      <c r="Q6" s="3">
        <v>0.0</v>
      </c>
      <c r="R6" s="3">
        <v>0.5649</v>
      </c>
      <c r="S6" s="3">
        <v>29.059999</v>
      </c>
      <c r="T6" s="3">
        <v>47.0</v>
      </c>
      <c r="U6" s="3">
        <f t="shared" si="2"/>
        <v>20.075</v>
      </c>
      <c r="V6" s="3"/>
      <c r="W6" s="3">
        <f t="shared" si="3"/>
        <v>20.06117451</v>
      </c>
      <c r="X6" s="3">
        <f t="shared" si="4"/>
        <v>4.927129902</v>
      </c>
      <c r="Y6" s="3">
        <f t="shared" si="5"/>
        <v>4.683168998</v>
      </c>
      <c r="Z6" s="3">
        <f t="shared" ref="Z6:AA6" si="9">_xlfn.NORM.S.DIST(X6)</f>
        <v>0.9999995828</v>
      </c>
      <c r="AA6" s="3">
        <f t="shared" si="9"/>
        <v>0.9999985876</v>
      </c>
    </row>
    <row r="7" ht="14.25" customHeight="1">
      <c r="A7" s="3" t="s">
        <v>134</v>
      </c>
      <c r="B7" s="3" t="s">
        <v>135</v>
      </c>
      <c r="C7" s="3" t="s">
        <v>132</v>
      </c>
      <c r="D7" s="3" t="s">
        <v>29</v>
      </c>
      <c r="E7" s="3">
        <v>9.0</v>
      </c>
      <c r="F7" s="3" t="s">
        <v>27</v>
      </c>
      <c r="G7" s="3">
        <v>21.4</v>
      </c>
      <c r="I7" s="3">
        <v>21.8</v>
      </c>
      <c r="K7" s="3">
        <v>0.0</v>
      </c>
      <c r="L7" s="3">
        <v>7.0</v>
      </c>
      <c r="M7" s="3" t="s">
        <v>35</v>
      </c>
      <c r="N7" s="3">
        <v>0.9994</v>
      </c>
      <c r="O7" s="3">
        <v>0.0</v>
      </c>
      <c r="P7" s="3">
        <v>0.0708</v>
      </c>
      <c r="Q7" s="3">
        <v>0.0</v>
      </c>
      <c r="R7" s="3">
        <v>0.5662</v>
      </c>
      <c r="S7" s="3">
        <v>30.59</v>
      </c>
      <c r="T7" s="3">
        <v>46.0</v>
      </c>
      <c r="U7" s="3">
        <f t="shared" si="2"/>
        <v>21.6</v>
      </c>
      <c r="V7" s="3"/>
      <c r="W7" s="3">
        <f t="shared" si="3"/>
        <v>21.59115008</v>
      </c>
      <c r="X7" s="3">
        <f t="shared" si="4"/>
        <v>5.178997098</v>
      </c>
      <c r="Y7" s="3">
        <f t="shared" si="5"/>
        <v>4.937090057</v>
      </c>
      <c r="Z7" s="3">
        <f t="shared" ref="Z7:AA7" si="10">_xlfn.NORM.S.DIST(X7)</f>
        <v>0.9999998885</v>
      </c>
      <c r="AA7" s="3">
        <f t="shared" si="10"/>
        <v>0.9999996035</v>
      </c>
    </row>
    <row r="8" ht="14.25" customHeight="1">
      <c r="A8" s="3" t="s">
        <v>134</v>
      </c>
      <c r="B8" s="3" t="s">
        <v>135</v>
      </c>
      <c r="C8" s="3" t="s">
        <v>132</v>
      </c>
      <c r="D8" s="3" t="s">
        <v>29</v>
      </c>
      <c r="E8" s="3">
        <v>9.0</v>
      </c>
      <c r="F8" s="3" t="s">
        <v>27</v>
      </c>
      <c r="G8" s="3">
        <v>22.15</v>
      </c>
      <c r="I8" s="3">
        <v>22.5</v>
      </c>
      <c r="K8" s="3">
        <v>0.0</v>
      </c>
      <c r="L8" s="3">
        <v>7.0</v>
      </c>
      <c r="M8" s="3" t="s">
        <v>36</v>
      </c>
      <c r="N8" s="3">
        <v>0.9995</v>
      </c>
      <c r="O8" s="3">
        <v>0.0</v>
      </c>
      <c r="P8" s="3">
        <v>0.0646</v>
      </c>
      <c r="Q8" s="3">
        <v>0.0</v>
      </c>
      <c r="R8" s="3">
        <v>0.5246</v>
      </c>
      <c r="S8" s="3">
        <v>31.299999</v>
      </c>
      <c r="T8" s="3">
        <v>45.0</v>
      </c>
      <c r="U8" s="3">
        <f t="shared" si="2"/>
        <v>22.325</v>
      </c>
      <c r="V8" s="3"/>
      <c r="W8" s="3">
        <f t="shared" si="3"/>
        <v>22.30112394</v>
      </c>
      <c r="X8" s="3">
        <f t="shared" si="4"/>
        <v>5.733794956</v>
      </c>
      <c r="Y8" s="3">
        <f t="shared" si="5"/>
        <v>5.512110995</v>
      </c>
      <c r="Z8" s="3">
        <f t="shared" ref="Z8:AA8" si="11">_xlfn.NORM.S.DIST(X8)</f>
        <v>0.9999999951</v>
      </c>
      <c r="AA8" s="3">
        <f t="shared" si="11"/>
        <v>0.9999999823</v>
      </c>
    </row>
    <row r="9" ht="14.25" customHeight="1">
      <c r="A9" s="3" t="s">
        <v>134</v>
      </c>
      <c r="B9" s="3" t="s">
        <v>135</v>
      </c>
      <c r="C9" s="3" t="s">
        <v>132</v>
      </c>
      <c r="D9" s="3" t="s">
        <v>29</v>
      </c>
      <c r="E9" s="3">
        <v>9.0</v>
      </c>
      <c r="F9" s="3" t="s">
        <v>27</v>
      </c>
      <c r="G9" s="3">
        <v>22.25</v>
      </c>
      <c r="I9" s="3">
        <v>24.2</v>
      </c>
      <c r="K9" s="3">
        <v>0.0</v>
      </c>
      <c r="L9" s="3">
        <v>7.0</v>
      </c>
      <c r="M9" s="3" t="s">
        <v>37</v>
      </c>
      <c r="N9" s="3">
        <v>0.9995</v>
      </c>
      <c r="O9" s="3">
        <v>0.0</v>
      </c>
      <c r="P9" s="3">
        <v>0.0593</v>
      </c>
      <c r="Q9" s="3">
        <v>0.0</v>
      </c>
      <c r="R9" s="3">
        <v>0.538</v>
      </c>
      <c r="S9" s="3">
        <v>31.719999</v>
      </c>
      <c r="T9" s="3">
        <v>44.0</v>
      </c>
      <c r="U9" s="3">
        <f t="shared" si="2"/>
        <v>23.225</v>
      </c>
      <c r="V9" s="3"/>
      <c r="W9" s="3">
        <f t="shared" si="3"/>
        <v>22.72109894</v>
      </c>
      <c r="X9" s="3">
        <f t="shared" si="4"/>
        <v>5.716540542</v>
      </c>
      <c r="Y9" s="3">
        <f t="shared" si="5"/>
        <v>5.491734312</v>
      </c>
      <c r="Z9" s="3">
        <f t="shared" ref="Z9:AA9" si="12">_xlfn.NORM.S.DIST(X9)</f>
        <v>0.9999999946</v>
      </c>
      <c r="AA9" s="3">
        <f t="shared" si="12"/>
        <v>0.9999999801</v>
      </c>
    </row>
    <row r="10" ht="14.25" customHeight="1">
      <c r="A10" s="3" t="s">
        <v>134</v>
      </c>
      <c r="B10" s="3" t="s">
        <v>135</v>
      </c>
      <c r="C10" s="3" t="s">
        <v>132</v>
      </c>
      <c r="D10" s="3" t="s">
        <v>29</v>
      </c>
      <c r="E10" s="3">
        <v>9.0</v>
      </c>
      <c r="F10" s="3" t="s">
        <v>27</v>
      </c>
      <c r="G10" s="3">
        <v>20.35</v>
      </c>
      <c r="I10" s="3">
        <v>23.5</v>
      </c>
      <c r="K10" s="3">
        <v>0.0</v>
      </c>
      <c r="L10" s="3">
        <v>7.0</v>
      </c>
      <c r="M10" s="3" t="s">
        <v>38</v>
      </c>
      <c r="N10" s="3">
        <v>1.0</v>
      </c>
      <c r="O10" s="3">
        <v>0.0</v>
      </c>
      <c r="P10" s="3">
        <v>-0.0272</v>
      </c>
      <c r="Q10" s="3">
        <v>0.0</v>
      </c>
      <c r="R10" s="3">
        <v>0.5484</v>
      </c>
      <c r="S10" s="3">
        <v>30.950001</v>
      </c>
      <c r="T10" s="3">
        <v>43.0</v>
      </c>
      <c r="U10" s="3">
        <f t="shared" si="2"/>
        <v>21.925</v>
      </c>
      <c r="V10" s="3"/>
      <c r="W10" s="3">
        <f t="shared" si="3"/>
        <v>21.95107595</v>
      </c>
      <c r="X10" s="3">
        <f t="shared" si="4"/>
        <v>5.566194337</v>
      </c>
      <c r="Y10" s="3">
        <f t="shared" si="5"/>
        <v>5.339661375</v>
      </c>
      <c r="Z10" s="3">
        <f t="shared" ref="Z10:AA10" si="13">_xlfn.NORM.S.DIST(X10)</f>
        <v>0.999999987</v>
      </c>
      <c r="AA10" s="3">
        <f t="shared" si="13"/>
        <v>0.9999999534</v>
      </c>
    </row>
    <row r="11" ht="14.25" customHeight="1">
      <c r="A11" s="3" t="s">
        <v>134</v>
      </c>
      <c r="B11" s="3" t="s">
        <v>135</v>
      </c>
      <c r="C11" s="3" t="s">
        <v>132</v>
      </c>
      <c r="D11" s="3" t="s">
        <v>29</v>
      </c>
      <c r="E11" s="3">
        <v>9.0</v>
      </c>
      <c r="F11" s="3" t="s">
        <v>27</v>
      </c>
      <c r="G11" s="3">
        <v>19.55</v>
      </c>
      <c r="I11" s="3">
        <v>22.7</v>
      </c>
      <c r="K11" s="3">
        <v>0.0</v>
      </c>
      <c r="L11" s="3">
        <v>7.0</v>
      </c>
      <c r="M11" s="3" t="s">
        <v>39</v>
      </c>
      <c r="N11" s="3">
        <v>1.0</v>
      </c>
      <c r="O11" s="3">
        <v>0.0</v>
      </c>
      <c r="P11" s="3">
        <v>-0.0272</v>
      </c>
      <c r="Q11" s="3">
        <v>0.0</v>
      </c>
      <c r="R11" s="3">
        <v>0.5669</v>
      </c>
      <c r="S11" s="3">
        <v>30.1</v>
      </c>
      <c r="T11" s="3">
        <v>42.0</v>
      </c>
      <c r="U11" s="3">
        <f t="shared" si="2"/>
        <v>21.125</v>
      </c>
      <c r="V11" s="3"/>
      <c r="W11" s="3">
        <f t="shared" si="3"/>
        <v>21.10105</v>
      </c>
      <c r="X11" s="3">
        <f t="shared" si="4"/>
        <v>5.33278659</v>
      </c>
      <c r="Y11" s="3">
        <f t="shared" si="5"/>
        <v>5.101350634</v>
      </c>
      <c r="Z11" s="3">
        <f t="shared" ref="Z11:AA11" si="14">_xlfn.NORM.S.DIST(X11)</f>
        <v>0.9999999516</v>
      </c>
      <c r="AA11" s="3">
        <f t="shared" si="14"/>
        <v>0.9999998314</v>
      </c>
    </row>
    <row r="12" ht="14.25" customHeight="1">
      <c r="A12" s="3" t="s">
        <v>134</v>
      </c>
      <c r="B12" s="3" t="s">
        <v>135</v>
      </c>
      <c r="C12" s="3" t="s">
        <v>132</v>
      </c>
      <c r="D12" s="3" t="s">
        <v>29</v>
      </c>
      <c r="E12" s="3">
        <v>9.0</v>
      </c>
      <c r="F12" s="3" t="s">
        <v>27</v>
      </c>
      <c r="G12" s="3">
        <v>20.65</v>
      </c>
      <c r="I12" s="3">
        <v>21.05</v>
      </c>
      <c r="K12" s="3">
        <v>0.0</v>
      </c>
      <c r="L12" s="3">
        <v>7.0</v>
      </c>
      <c r="M12" s="3" t="s">
        <v>40</v>
      </c>
      <c r="N12" s="3">
        <v>1.0</v>
      </c>
      <c r="O12" s="3">
        <v>0.0</v>
      </c>
      <c r="P12" s="3">
        <v>-0.0272</v>
      </c>
      <c r="Q12" s="3">
        <v>0.0</v>
      </c>
      <c r="R12" s="3">
        <v>0.5629</v>
      </c>
      <c r="S12" s="3">
        <v>29.85</v>
      </c>
      <c r="T12" s="3">
        <v>41.0</v>
      </c>
      <c r="U12" s="3">
        <f t="shared" si="2"/>
        <v>20.85</v>
      </c>
      <c r="V12" s="3"/>
      <c r="W12" s="3">
        <f t="shared" si="3"/>
        <v>20.85102498</v>
      </c>
      <c r="X12" s="3">
        <f t="shared" si="4"/>
        <v>5.394610083</v>
      </c>
      <c r="Y12" s="3">
        <f t="shared" si="5"/>
        <v>5.167559351</v>
      </c>
      <c r="Z12" s="3">
        <f t="shared" ref="Z12:AA12" si="15">_xlfn.NORM.S.DIST(X12)</f>
        <v>0.9999999657</v>
      </c>
      <c r="AA12" s="3">
        <f t="shared" si="15"/>
        <v>0.9999998814</v>
      </c>
    </row>
    <row r="13" ht="14.25" customHeight="1">
      <c r="A13" s="3" t="s">
        <v>134</v>
      </c>
      <c r="B13" s="3" t="s">
        <v>135</v>
      </c>
      <c r="C13" s="3" t="s">
        <v>132</v>
      </c>
      <c r="D13" s="3" t="s">
        <v>29</v>
      </c>
      <c r="E13" s="3">
        <v>9.0</v>
      </c>
      <c r="F13" s="3" t="s">
        <v>27</v>
      </c>
      <c r="G13" s="3">
        <v>20.75</v>
      </c>
      <c r="I13" s="3">
        <v>21.5</v>
      </c>
      <c r="K13" s="3">
        <v>0.0</v>
      </c>
      <c r="L13" s="3">
        <v>7.0</v>
      </c>
      <c r="M13" s="3" t="s">
        <v>41</v>
      </c>
      <c r="N13" s="3">
        <v>1.0</v>
      </c>
      <c r="O13" s="3">
        <v>0.0</v>
      </c>
      <c r="P13" s="3">
        <v>-0.0272</v>
      </c>
      <c r="Q13" s="3">
        <v>0.0</v>
      </c>
      <c r="R13" s="3">
        <v>0.5927</v>
      </c>
      <c r="S13" s="3">
        <v>30.139999</v>
      </c>
      <c r="T13" s="3">
        <v>40.0</v>
      </c>
      <c r="U13" s="3">
        <f t="shared" si="2"/>
        <v>21.125</v>
      </c>
      <c r="V13" s="3"/>
      <c r="W13" s="3">
        <f t="shared" si="3"/>
        <v>21.14099905</v>
      </c>
      <c r="X13" s="3">
        <f t="shared" si="4"/>
        <v>5.236868317</v>
      </c>
      <c r="Y13" s="3">
        <f t="shared" si="5"/>
        <v>5.000730984</v>
      </c>
      <c r="Z13" s="3">
        <f t="shared" ref="Z13:AA13" si="16">_xlfn.NORM.S.DIST(X13)</f>
        <v>0.9999999183</v>
      </c>
      <c r="AA13" s="3">
        <f t="shared" si="16"/>
        <v>0.9999997144</v>
      </c>
    </row>
    <row r="14" ht="14.25" customHeight="1">
      <c r="A14" s="3" t="s">
        <v>134</v>
      </c>
      <c r="B14" s="3" t="s">
        <v>135</v>
      </c>
      <c r="C14" s="3" t="s">
        <v>132</v>
      </c>
      <c r="D14" s="3" t="s">
        <v>29</v>
      </c>
      <c r="E14" s="3">
        <v>9.0</v>
      </c>
      <c r="F14" s="3" t="s">
        <v>27</v>
      </c>
      <c r="G14" s="3">
        <v>19.1</v>
      </c>
      <c r="I14" s="3">
        <v>21.3</v>
      </c>
      <c r="K14" s="3">
        <v>0.0</v>
      </c>
      <c r="L14" s="3">
        <v>7.0</v>
      </c>
      <c r="M14" s="3" t="s">
        <v>42</v>
      </c>
      <c r="N14" s="3">
        <v>1.0</v>
      </c>
      <c r="O14" s="3">
        <v>0.0</v>
      </c>
      <c r="P14" s="3">
        <v>-0.0272</v>
      </c>
      <c r="Q14" s="3">
        <v>0.0</v>
      </c>
      <c r="R14" s="3">
        <v>0.5504</v>
      </c>
      <c r="S14" s="3">
        <v>29.66</v>
      </c>
      <c r="T14" s="3">
        <v>39.0</v>
      </c>
      <c r="U14" s="3">
        <f t="shared" si="2"/>
        <v>20.2</v>
      </c>
      <c r="V14" s="3"/>
      <c r="W14" s="3">
        <f t="shared" si="3"/>
        <v>20.66097496</v>
      </c>
      <c r="X14" s="3">
        <f t="shared" si="4"/>
        <v>5.616525294</v>
      </c>
      <c r="Y14" s="3">
        <f t="shared" si="5"/>
        <v>5.399999092</v>
      </c>
      <c r="Z14" s="3">
        <f t="shared" ref="Z14:AA14" si="17">_xlfn.NORM.S.DIST(X14)</f>
        <v>0.9999999903</v>
      </c>
      <c r="AA14" s="3">
        <f t="shared" si="17"/>
        <v>0.9999999667</v>
      </c>
    </row>
    <row r="15" ht="14.25" customHeight="1">
      <c r="A15" s="3" t="s">
        <v>134</v>
      </c>
      <c r="B15" s="3" t="s">
        <v>135</v>
      </c>
      <c r="C15" s="3" t="s">
        <v>132</v>
      </c>
      <c r="D15" s="3" t="s">
        <v>29</v>
      </c>
      <c r="E15" s="3">
        <v>9.0</v>
      </c>
      <c r="F15" s="3" t="s">
        <v>27</v>
      </c>
      <c r="G15" s="3">
        <v>20.15</v>
      </c>
      <c r="I15" s="3">
        <v>23.2</v>
      </c>
      <c r="K15" s="3">
        <v>0.0</v>
      </c>
      <c r="L15" s="3">
        <v>7.0</v>
      </c>
      <c r="M15" s="3" t="s">
        <v>43</v>
      </c>
      <c r="N15" s="3">
        <v>1.0</v>
      </c>
      <c r="O15" s="3">
        <v>0.0</v>
      </c>
      <c r="P15" s="3">
        <v>-0.0272</v>
      </c>
      <c r="Q15" s="3">
        <v>0.0</v>
      </c>
      <c r="R15" s="3">
        <v>0.5941</v>
      </c>
      <c r="S15" s="3">
        <v>30.73</v>
      </c>
      <c r="T15" s="3">
        <v>38.0</v>
      </c>
      <c r="U15" s="3">
        <f t="shared" si="2"/>
        <v>21.675</v>
      </c>
      <c r="V15" s="3"/>
      <c r="W15" s="3">
        <f t="shared" si="3"/>
        <v>21.73094998</v>
      </c>
      <c r="X15" s="3">
        <f t="shared" si="4"/>
        <v>5.438760103</v>
      </c>
      <c r="Y15" s="3">
        <f t="shared" si="5"/>
        <v>5.208058251</v>
      </c>
      <c r="Z15" s="3">
        <f t="shared" ref="Z15:AA15" si="18">_xlfn.NORM.S.DIST(X15)</f>
        <v>0.9999999732</v>
      </c>
      <c r="AA15" s="3">
        <f t="shared" si="18"/>
        <v>0.9999999046</v>
      </c>
    </row>
    <row r="16" ht="14.25" customHeight="1">
      <c r="A16" s="3" t="s">
        <v>134</v>
      </c>
      <c r="B16" s="3" t="s">
        <v>135</v>
      </c>
      <c r="C16" s="3" t="s">
        <v>132</v>
      </c>
      <c r="D16" s="3" t="s">
        <v>29</v>
      </c>
      <c r="E16" s="3">
        <v>9.0</v>
      </c>
      <c r="F16" s="3" t="s">
        <v>27</v>
      </c>
      <c r="G16" s="3">
        <v>21.65</v>
      </c>
      <c r="I16" s="3">
        <v>22.05</v>
      </c>
      <c r="K16" s="3">
        <v>0.0</v>
      </c>
      <c r="L16" s="3">
        <v>7.0</v>
      </c>
      <c r="M16" s="3" t="s">
        <v>44</v>
      </c>
      <c r="N16" s="3">
        <v>1.0</v>
      </c>
      <c r="O16" s="3">
        <v>0.0</v>
      </c>
      <c r="P16" s="3">
        <v>-0.0272</v>
      </c>
      <c r="Q16" s="3">
        <v>0.0</v>
      </c>
      <c r="R16" s="3">
        <v>0.542</v>
      </c>
      <c r="S16" s="3">
        <v>30.82</v>
      </c>
      <c r="T16" s="3">
        <v>37.0</v>
      </c>
      <c r="U16" s="3">
        <f t="shared" si="2"/>
        <v>21.85</v>
      </c>
      <c r="V16" s="3"/>
      <c r="W16" s="3">
        <f t="shared" si="3"/>
        <v>21.82092495</v>
      </c>
      <c r="X16" s="3">
        <f t="shared" si="4"/>
        <v>6.031360899</v>
      </c>
      <c r="Y16" s="3">
        <f t="shared" si="5"/>
        <v>5.823678411</v>
      </c>
      <c r="Z16" s="3">
        <f t="shared" ref="Z16:AA16" si="19">_xlfn.NORM.S.DIST(X16)</f>
        <v>0.9999999992</v>
      </c>
      <c r="AA16" s="3">
        <f t="shared" si="19"/>
        <v>0.9999999971</v>
      </c>
    </row>
    <row r="17" ht="14.25" customHeight="1">
      <c r="A17" s="3" t="s">
        <v>134</v>
      </c>
      <c r="B17" s="3" t="s">
        <v>135</v>
      </c>
      <c r="C17" s="3" t="s">
        <v>132</v>
      </c>
      <c r="D17" s="3" t="s">
        <v>29</v>
      </c>
      <c r="E17" s="3">
        <v>9.0</v>
      </c>
      <c r="F17" s="3" t="s">
        <v>27</v>
      </c>
      <c r="G17" s="3">
        <v>21.9</v>
      </c>
      <c r="I17" s="3">
        <v>22.3</v>
      </c>
      <c r="K17" s="3">
        <v>0.0</v>
      </c>
      <c r="L17" s="3">
        <v>7.0</v>
      </c>
      <c r="M17" s="3" t="s">
        <v>45</v>
      </c>
      <c r="N17" s="3">
        <v>0.9997</v>
      </c>
      <c r="O17" s="3">
        <v>0.0</v>
      </c>
      <c r="P17" s="3">
        <v>0.0446</v>
      </c>
      <c r="Q17" s="3">
        <v>0.0</v>
      </c>
      <c r="R17" s="3">
        <v>0.5567</v>
      </c>
      <c r="S17" s="3">
        <v>31.08</v>
      </c>
      <c r="T17" s="3">
        <v>36.0</v>
      </c>
      <c r="U17" s="3">
        <f t="shared" si="2"/>
        <v>22.1</v>
      </c>
      <c r="V17" s="3"/>
      <c r="W17" s="3">
        <f t="shared" si="3"/>
        <v>22.08089996</v>
      </c>
      <c r="X17" s="3">
        <f t="shared" si="4"/>
        <v>5.995721712</v>
      </c>
      <c r="Y17" s="3">
        <f t="shared" si="5"/>
        <v>5.78530889</v>
      </c>
      <c r="Z17" s="3">
        <f t="shared" ref="Z17:AA17" si="20">_xlfn.NORM.S.DIST(X17)</f>
        <v>0.999999999</v>
      </c>
      <c r="AA17" s="3">
        <f t="shared" si="20"/>
        <v>0.9999999964</v>
      </c>
    </row>
    <row r="18" ht="14.25" customHeight="1">
      <c r="A18" s="3" t="s">
        <v>134</v>
      </c>
      <c r="B18" s="3" t="s">
        <v>135</v>
      </c>
      <c r="C18" s="3" t="s">
        <v>132</v>
      </c>
      <c r="D18" s="3" t="s">
        <v>29</v>
      </c>
      <c r="E18" s="3">
        <v>9.0</v>
      </c>
      <c r="F18" s="3" t="s">
        <v>27</v>
      </c>
      <c r="G18" s="3">
        <v>21.0</v>
      </c>
      <c r="I18" s="3">
        <v>24.15</v>
      </c>
      <c r="K18" s="3">
        <v>0.0</v>
      </c>
      <c r="L18" s="3">
        <v>7.0</v>
      </c>
      <c r="M18" s="3" t="s">
        <v>46</v>
      </c>
      <c r="N18" s="3">
        <v>0.9997</v>
      </c>
      <c r="O18" s="3">
        <v>0.0</v>
      </c>
      <c r="P18" s="3">
        <v>0.0458</v>
      </c>
      <c r="Q18" s="3">
        <v>0.0</v>
      </c>
      <c r="R18" s="3">
        <v>0.5797</v>
      </c>
      <c r="S18" s="3">
        <v>31.540001</v>
      </c>
      <c r="T18" s="3">
        <v>35.0</v>
      </c>
      <c r="U18" s="3">
        <f t="shared" si="2"/>
        <v>22.575</v>
      </c>
      <c r="V18" s="3"/>
      <c r="W18" s="3">
        <f t="shared" si="3"/>
        <v>22.54087596</v>
      </c>
      <c r="X18" s="3">
        <f t="shared" si="4"/>
        <v>5.913061132</v>
      </c>
      <c r="Y18" s="3">
        <f t="shared" si="5"/>
        <v>5.697019698</v>
      </c>
      <c r="Z18" s="3">
        <f t="shared" ref="Z18:AA18" si="21">_xlfn.NORM.S.DIST(X18)</f>
        <v>0.9999999983</v>
      </c>
      <c r="AA18" s="3">
        <f t="shared" si="21"/>
        <v>0.9999999939</v>
      </c>
    </row>
    <row r="19" ht="14.25" customHeight="1">
      <c r="A19" s="3" t="s">
        <v>134</v>
      </c>
      <c r="B19" s="3" t="s">
        <v>135</v>
      </c>
      <c r="C19" s="3" t="s">
        <v>132</v>
      </c>
      <c r="D19" s="3" t="s">
        <v>29</v>
      </c>
      <c r="E19" s="3">
        <v>9.0</v>
      </c>
      <c r="F19" s="3" t="s">
        <v>27</v>
      </c>
      <c r="G19" s="3">
        <v>23.3</v>
      </c>
      <c r="I19" s="3">
        <v>23.65</v>
      </c>
      <c r="K19" s="3">
        <v>0.0</v>
      </c>
      <c r="L19" s="3">
        <v>7.0</v>
      </c>
      <c r="M19" s="3" t="s">
        <v>47</v>
      </c>
      <c r="N19" s="3">
        <v>0.9997</v>
      </c>
      <c r="O19" s="3">
        <v>0.0</v>
      </c>
      <c r="P19" s="3">
        <v>0.0443</v>
      </c>
      <c r="Q19" s="3">
        <v>0.0</v>
      </c>
      <c r="R19" s="3">
        <v>0.5734</v>
      </c>
      <c r="S19" s="3">
        <v>32.470001</v>
      </c>
      <c r="T19" s="3">
        <v>34.0</v>
      </c>
      <c r="U19" s="3">
        <f t="shared" si="2"/>
        <v>23.475</v>
      </c>
      <c r="V19" s="3"/>
      <c r="W19" s="3">
        <f t="shared" si="3"/>
        <v>23.47085096</v>
      </c>
      <c r="X19" s="3">
        <f t="shared" si="4"/>
        <v>6.197772329</v>
      </c>
      <c r="Y19" s="3">
        <f t="shared" si="5"/>
        <v>5.987153654</v>
      </c>
      <c r="Z19" s="3">
        <f t="shared" ref="Z19:AA19" si="22">_xlfn.NORM.S.DIST(X19)</f>
        <v>0.9999999997</v>
      </c>
      <c r="AA19" s="3">
        <f t="shared" si="22"/>
        <v>0.9999999989</v>
      </c>
    </row>
    <row r="20" ht="14.25" customHeight="1">
      <c r="A20" s="3" t="s">
        <v>134</v>
      </c>
      <c r="B20" s="3" t="s">
        <v>135</v>
      </c>
      <c r="C20" s="3" t="s">
        <v>132</v>
      </c>
      <c r="D20" s="3" t="s">
        <v>29</v>
      </c>
      <c r="E20" s="3">
        <v>9.0</v>
      </c>
      <c r="F20" s="3" t="s">
        <v>27</v>
      </c>
      <c r="G20" s="3">
        <v>21.7</v>
      </c>
      <c r="I20" s="3">
        <v>21.95</v>
      </c>
      <c r="K20" s="3">
        <v>0.0</v>
      </c>
      <c r="L20" s="3">
        <v>7.0</v>
      </c>
      <c r="M20" s="3" t="s">
        <v>48</v>
      </c>
      <c r="N20" s="3">
        <v>0.9997</v>
      </c>
      <c r="O20" s="3">
        <v>0.0</v>
      </c>
      <c r="P20" s="3">
        <v>0.0371</v>
      </c>
      <c r="Q20" s="3">
        <v>0.0</v>
      </c>
      <c r="R20" s="3">
        <v>0.5722</v>
      </c>
      <c r="S20" s="3">
        <v>30.790001</v>
      </c>
      <c r="T20" s="3">
        <v>33.0</v>
      </c>
      <c r="U20" s="3">
        <f t="shared" si="2"/>
        <v>21.825</v>
      </c>
      <c r="V20" s="3"/>
      <c r="W20" s="3">
        <f t="shared" si="3"/>
        <v>21.79082596</v>
      </c>
      <c r="X20" s="3">
        <f t="shared" si="4"/>
        <v>6.044000708</v>
      </c>
      <c r="Y20" s="3">
        <f t="shared" si="5"/>
        <v>5.83693673</v>
      </c>
      <c r="Z20" s="3">
        <f t="shared" ref="Z20:AA20" si="23">_xlfn.NORM.S.DIST(X20)</f>
        <v>0.9999999992</v>
      </c>
      <c r="AA20" s="3">
        <f t="shared" si="23"/>
        <v>0.9999999973</v>
      </c>
    </row>
    <row r="21" ht="14.25" customHeight="1">
      <c r="A21" s="3" t="s">
        <v>134</v>
      </c>
      <c r="B21" s="3" t="s">
        <v>135</v>
      </c>
      <c r="C21" s="3" t="s">
        <v>132</v>
      </c>
      <c r="D21" s="3" t="s">
        <v>29</v>
      </c>
      <c r="E21" s="3">
        <v>9.0</v>
      </c>
      <c r="F21" s="3" t="s">
        <v>27</v>
      </c>
      <c r="G21" s="3">
        <v>20.6</v>
      </c>
      <c r="I21" s="3">
        <v>23.75</v>
      </c>
      <c r="K21" s="3">
        <v>0.0</v>
      </c>
      <c r="L21" s="3">
        <v>7.0</v>
      </c>
      <c r="M21" s="3" t="s">
        <v>49</v>
      </c>
      <c r="N21" s="3">
        <v>0.9998</v>
      </c>
      <c r="O21" s="3">
        <v>0.0</v>
      </c>
      <c r="P21" s="3">
        <v>0.0367</v>
      </c>
      <c r="Q21" s="3">
        <v>0.0</v>
      </c>
      <c r="R21" s="3">
        <v>0.5284</v>
      </c>
      <c r="S21" s="3">
        <v>31.24</v>
      </c>
      <c r="T21" s="3">
        <v>32.0</v>
      </c>
      <c r="U21" s="3">
        <f t="shared" si="2"/>
        <v>22.175</v>
      </c>
      <c r="V21" s="3"/>
      <c r="W21" s="3">
        <f t="shared" si="3"/>
        <v>22.24079996</v>
      </c>
      <c r="X21" s="3">
        <f t="shared" si="4"/>
        <v>6.703814227</v>
      </c>
      <c r="Y21" s="3">
        <f t="shared" si="5"/>
        <v>6.515519773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134</v>
      </c>
      <c r="B22" s="3" t="s">
        <v>135</v>
      </c>
      <c r="C22" s="3" t="s">
        <v>132</v>
      </c>
      <c r="D22" s="3" t="s">
        <v>29</v>
      </c>
      <c r="E22" s="3">
        <v>9.0</v>
      </c>
      <c r="F22" s="3" t="s">
        <v>27</v>
      </c>
      <c r="G22" s="3">
        <v>21.85</v>
      </c>
      <c r="I22" s="3">
        <v>22.15</v>
      </c>
      <c r="K22" s="3">
        <v>0.0</v>
      </c>
      <c r="L22" s="3">
        <v>7.0</v>
      </c>
      <c r="M22" s="3" t="s">
        <v>50</v>
      </c>
      <c r="N22" s="3">
        <v>0.9998</v>
      </c>
      <c r="O22" s="3">
        <v>0.0</v>
      </c>
      <c r="P22" s="3">
        <v>0.0362</v>
      </c>
      <c r="Q22" s="3">
        <v>0.0</v>
      </c>
      <c r="R22" s="3">
        <v>0.4321</v>
      </c>
      <c r="S22" s="3">
        <v>30.98</v>
      </c>
      <c r="T22" s="3">
        <v>31.0</v>
      </c>
      <c r="U22" s="3">
        <f t="shared" si="2"/>
        <v>22</v>
      </c>
      <c r="V22" s="3"/>
      <c r="W22" s="3">
        <f t="shared" si="3"/>
        <v>21.98077497</v>
      </c>
      <c r="X22" s="3">
        <f t="shared" si="4"/>
        <v>8.232675461</v>
      </c>
      <c r="Y22" s="3">
        <f t="shared" si="5"/>
        <v>8.081122354</v>
      </c>
      <c r="Z22" s="3">
        <f t="shared" ref="Z22:AA22" si="25">_xlfn.NORM.S.DIST(X22)</f>
        <v>1</v>
      </c>
      <c r="AA22" s="3">
        <f t="shared" si="25"/>
        <v>1</v>
      </c>
    </row>
    <row r="23" ht="14.25" customHeight="1">
      <c r="A23" s="3" t="s">
        <v>134</v>
      </c>
      <c r="B23" s="3" t="s">
        <v>135</v>
      </c>
      <c r="C23" s="3" t="s">
        <v>133</v>
      </c>
      <c r="D23" s="3" t="s">
        <v>29</v>
      </c>
      <c r="E23" s="3">
        <v>9.0</v>
      </c>
      <c r="F23" s="3" t="s">
        <v>27</v>
      </c>
      <c r="G23" s="3">
        <v>19.25</v>
      </c>
      <c r="I23" s="3">
        <v>22.3</v>
      </c>
      <c r="K23" s="3">
        <v>0.0</v>
      </c>
      <c r="L23" s="3">
        <v>7.0</v>
      </c>
      <c r="M23" s="3" t="s">
        <v>52</v>
      </c>
      <c r="N23" s="3">
        <v>0.9998</v>
      </c>
      <c r="O23" s="3">
        <v>0.0</v>
      </c>
      <c r="P23" s="3">
        <v>0.0361</v>
      </c>
      <c r="Q23" s="3">
        <v>0.0</v>
      </c>
      <c r="R23" s="3">
        <v>0.3645</v>
      </c>
      <c r="S23" s="3">
        <v>29.73</v>
      </c>
      <c r="T23" s="3">
        <v>30.0</v>
      </c>
      <c r="U23" s="3">
        <f t="shared" si="2"/>
        <v>20.775</v>
      </c>
      <c r="V23" s="3"/>
      <c r="W23" s="3">
        <f t="shared" si="3"/>
        <v>20.73074997</v>
      </c>
      <c r="X23" s="3">
        <f t="shared" si="4"/>
        <v>9.564894996</v>
      </c>
      <c r="Y23" s="3">
        <f t="shared" si="5"/>
        <v>9.439130548</v>
      </c>
      <c r="Z23" s="3">
        <f t="shared" ref="Z23:AA23" si="26">_xlfn.NORM.S.DIST(X23)</f>
        <v>1</v>
      </c>
      <c r="AA23" s="3">
        <f t="shared" si="26"/>
        <v>1</v>
      </c>
    </row>
    <row r="24" ht="14.25" customHeight="1">
      <c r="A24" s="3" t="s">
        <v>134</v>
      </c>
      <c r="B24" s="3" t="s">
        <v>135</v>
      </c>
      <c r="C24" s="3" t="s">
        <v>133</v>
      </c>
      <c r="D24" s="3" t="s">
        <v>29</v>
      </c>
      <c r="E24" s="3">
        <v>9.0</v>
      </c>
      <c r="F24" s="3" t="s">
        <v>27</v>
      </c>
      <c r="G24" s="3">
        <v>18.9</v>
      </c>
      <c r="I24" s="3">
        <v>19.3</v>
      </c>
      <c r="K24" s="3">
        <v>0.0</v>
      </c>
      <c r="L24" s="3">
        <v>7.0</v>
      </c>
      <c r="M24" s="3" t="s">
        <v>53</v>
      </c>
      <c r="N24" s="3">
        <v>0.9998</v>
      </c>
      <c r="O24" s="3">
        <v>0.0</v>
      </c>
      <c r="P24" s="3">
        <v>0.0314</v>
      </c>
      <c r="Q24" s="3">
        <v>0.0</v>
      </c>
      <c r="R24" s="3">
        <v>0.4803</v>
      </c>
      <c r="S24" s="3">
        <v>28.110001</v>
      </c>
      <c r="T24" s="3">
        <v>29.0</v>
      </c>
      <c r="U24" s="3">
        <f t="shared" si="2"/>
        <v>19.1</v>
      </c>
      <c r="V24" s="3"/>
      <c r="W24" s="3">
        <f t="shared" si="3"/>
        <v>19.11072597</v>
      </c>
      <c r="X24" s="3">
        <f t="shared" si="4"/>
        <v>7.071919862</v>
      </c>
      <c r="Y24" s="3">
        <f t="shared" si="5"/>
        <v>6.908986014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134</v>
      </c>
      <c r="B25" s="3" t="s">
        <v>135</v>
      </c>
      <c r="C25" s="3" t="s">
        <v>133</v>
      </c>
      <c r="D25" s="3" t="s">
        <v>29</v>
      </c>
      <c r="E25" s="3">
        <v>9.0</v>
      </c>
      <c r="F25" s="3" t="s">
        <v>27</v>
      </c>
      <c r="G25" s="3">
        <v>19.55</v>
      </c>
      <c r="I25" s="3">
        <v>19.7</v>
      </c>
      <c r="K25" s="3">
        <v>0.0</v>
      </c>
      <c r="L25" s="3">
        <v>7.0</v>
      </c>
      <c r="M25" s="3" t="s">
        <v>54</v>
      </c>
      <c r="N25" s="3">
        <v>0.9998</v>
      </c>
      <c r="O25" s="3">
        <v>0.0</v>
      </c>
      <c r="P25" s="3">
        <v>0.0337</v>
      </c>
      <c r="Q25" s="3">
        <v>0.0</v>
      </c>
      <c r="R25" s="3">
        <v>0.437</v>
      </c>
      <c r="S25" s="3">
        <v>28.639999</v>
      </c>
      <c r="T25" s="3">
        <v>28.0</v>
      </c>
      <c r="U25" s="3">
        <f t="shared" si="2"/>
        <v>19.625</v>
      </c>
      <c r="V25" s="3"/>
      <c r="W25" s="3">
        <f t="shared" si="3"/>
        <v>19.64069897</v>
      </c>
      <c r="X25" s="3">
        <f t="shared" si="4"/>
        <v>8.020138878</v>
      </c>
      <c r="Y25" s="3">
        <f t="shared" si="5"/>
        <v>7.874472211</v>
      </c>
      <c r="Z25" s="3">
        <f t="shared" ref="Z25:AA25" si="28">_xlfn.NORM.S.DIST(X25)</f>
        <v>1</v>
      </c>
      <c r="AA25" s="3">
        <f t="shared" si="28"/>
        <v>1</v>
      </c>
    </row>
    <row r="26" ht="14.25" customHeight="1">
      <c r="A26" s="3" t="s">
        <v>134</v>
      </c>
      <c r="B26" s="3" t="s">
        <v>135</v>
      </c>
      <c r="C26" s="3" t="s">
        <v>133</v>
      </c>
      <c r="D26" s="3" t="s">
        <v>29</v>
      </c>
      <c r="E26" s="3">
        <v>9.0</v>
      </c>
      <c r="F26" s="3" t="s">
        <v>27</v>
      </c>
      <c r="G26" s="3">
        <v>19.85</v>
      </c>
      <c r="I26" s="3">
        <v>20.25</v>
      </c>
      <c r="K26" s="3">
        <v>0.0</v>
      </c>
      <c r="L26" s="3">
        <v>7.0</v>
      </c>
      <c r="M26" s="3" t="s">
        <v>55</v>
      </c>
      <c r="N26" s="3">
        <v>0.9998</v>
      </c>
      <c r="O26" s="3">
        <v>0.0</v>
      </c>
      <c r="P26" s="3">
        <v>0.0213</v>
      </c>
      <c r="Q26" s="3">
        <v>0.0</v>
      </c>
      <c r="R26" s="3">
        <v>0.3915</v>
      </c>
      <c r="S26" s="3">
        <v>29.049999</v>
      </c>
      <c r="T26" s="3">
        <v>27.0</v>
      </c>
      <c r="U26" s="3">
        <f t="shared" si="2"/>
        <v>20.05</v>
      </c>
      <c r="V26" s="3"/>
      <c r="W26" s="3">
        <f t="shared" si="3"/>
        <v>20.05067397</v>
      </c>
      <c r="X26" s="3">
        <f t="shared" si="4"/>
        <v>9.20869374</v>
      </c>
      <c r="Y26" s="3">
        <f t="shared" si="5"/>
        <v>9.080545284</v>
      </c>
      <c r="Z26" s="3">
        <f t="shared" ref="Z26:AA26" si="29">_xlfn.NORM.S.DIST(X26)</f>
        <v>1</v>
      </c>
      <c r="AA26" s="3">
        <f t="shared" si="29"/>
        <v>1</v>
      </c>
    </row>
    <row r="27" ht="14.25" customHeight="1">
      <c r="A27" s="3" t="s">
        <v>134</v>
      </c>
      <c r="B27" s="3" t="s">
        <v>135</v>
      </c>
      <c r="C27" s="3" t="s">
        <v>133</v>
      </c>
      <c r="D27" s="3" t="s">
        <v>29</v>
      </c>
      <c r="E27" s="3">
        <v>9.0</v>
      </c>
      <c r="F27" s="3" t="s">
        <v>27</v>
      </c>
      <c r="G27" s="3">
        <v>19.45</v>
      </c>
      <c r="I27" s="3">
        <v>19.8</v>
      </c>
      <c r="K27" s="3">
        <v>0.0</v>
      </c>
      <c r="L27" s="3">
        <v>7.0</v>
      </c>
      <c r="M27" s="3" t="s">
        <v>56</v>
      </c>
      <c r="N27" s="3">
        <v>0.9998</v>
      </c>
      <c r="O27" s="3">
        <v>0.0</v>
      </c>
      <c r="P27" s="3">
        <v>0.0207</v>
      </c>
      <c r="Q27" s="3">
        <v>0.0</v>
      </c>
      <c r="R27" s="3">
        <v>0.3749</v>
      </c>
      <c r="S27" s="3">
        <v>28.65</v>
      </c>
      <c r="T27" s="3">
        <v>26.0</v>
      </c>
      <c r="U27" s="3">
        <f t="shared" si="2"/>
        <v>19.625</v>
      </c>
      <c r="V27" s="3"/>
      <c r="W27" s="3">
        <f t="shared" si="3"/>
        <v>19.65064998</v>
      </c>
      <c r="X27" s="3">
        <f t="shared" si="4"/>
        <v>9.676490958</v>
      </c>
      <c r="Y27" s="3">
        <f t="shared" si="5"/>
        <v>9.556070065</v>
      </c>
      <c r="Z27" s="3">
        <f t="shared" ref="Z27:AA27" si="30">_xlfn.NORM.S.DIST(X27)</f>
        <v>1</v>
      </c>
      <c r="AA27" s="3">
        <f t="shared" si="30"/>
        <v>1</v>
      </c>
    </row>
    <row r="28" ht="14.25" customHeight="1">
      <c r="A28" s="3" t="s">
        <v>134</v>
      </c>
      <c r="B28" s="3" t="s">
        <v>135</v>
      </c>
      <c r="C28" s="3" t="s">
        <v>133</v>
      </c>
      <c r="D28" s="3" t="s">
        <v>29</v>
      </c>
      <c r="E28" s="3">
        <v>9.0</v>
      </c>
      <c r="F28" s="3" t="s">
        <v>27</v>
      </c>
      <c r="G28" s="3">
        <v>19.35</v>
      </c>
      <c r="I28" s="3">
        <v>19.75</v>
      </c>
      <c r="K28" s="3">
        <v>0.0</v>
      </c>
      <c r="L28" s="3">
        <v>7.0</v>
      </c>
      <c r="M28" s="3" t="s">
        <v>57</v>
      </c>
      <c r="N28" s="3">
        <v>0.9997</v>
      </c>
      <c r="O28" s="3">
        <v>0.0</v>
      </c>
      <c r="P28" s="3">
        <v>0.0672</v>
      </c>
      <c r="Q28" s="3">
        <v>0.0</v>
      </c>
      <c r="R28" s="3">
        <v>0.4447</v>
      </c>
      <c r="S28" s="3">
        <v>28.549999</v>
      </c>
      <c r="T28" s="3">
        <v>25.0</v>
      </c>
      <c r="U28" s="3">
        <f t="shared" si="2"/>
        <v>19.55</v>
      </c>
      <c r="V28" s="3"/>
      <c r="W28" s="3">
        <f t="shared" si="3"/>
        <v>19.55062398</v>
      </c>
      <c r="X28" s="3">
        <f t="shared" si="4"/>
        <v>8.312510573</v>
      </c>
      <c r="Y28" s="3">
        <f t="shared" si="5"/>
        <v>8.172443239</v>
      </c>
      <c r="Z28" s="3">
        <f t="shared" ref="Z28:AA28" si="31">_xlfn.NORM.S.DIST(X28)</f>
        <v>1</v>
      </c>
      <c r="AA28" s="3">
        <f t="shared" si="31"/>
        <v>1</v>
      </c>
    </row>
    <row r="29" ht="14.25" customHeight="1">
      <c r="A29" s="3" t="s">
        <v>134</v>
      </c>
      <c r="B29" s="3" t="s">
        <v>135</v>
      </c>
      <c r="C29" s="3" t="s">
        <v>133</v>
      </c>
      <c r="D29" s="3" t="s">
        <v>29</v>
      </c>
      <c r="E29" s="3">
        <v>9.0</v>
      </c>
      <c r="F29" s="3" t="s">
        <v>27</v>
      </c>
      <c r="G29" s="3">
        <v>17.8</v>
      </c>
      <c r="I29" s="3">
        <v>20.75</v>
      </c>
      <c r="K29" s="3">
        <v>0.0</v>
      </c>
      <c r="L29" s="3">
        <v>7.0</v>
      </c>
      <c r="M29" s="3" t="s">
        <v>58</v>
      </c>
      <c r="N29" s="3">
        <v>0.9999</v>
      </c>
      <c r="O29" s="3">
        <v>0.0</v>
      </c>
      <c r="P29" s="3">
        <v>0.0201</v>
      </c>
      <c r="Q29" s="3">
        <v>0.0</v>
      </c>
      <c r="R29" s="3">
        <v>0.4376</v>
      </c>
      <c r="S29" s="3">
        <v>28.26</v>
      </c>
      <c r="T29" s="3">
        <v>24.0</v>
      </c>
      <c r="U29" s="3">
        <f t="shared" si="2"/>
        <v>19.275</v>
      </c>
      <c r="V29" s="3"/>
      <c r="W29" s="3">
        <f t="shared" si="3"/>
        <v>19.26059998</v>
      </c>
      <c r="X29" s="3">
        <f t="shared" si="4"/>
        <v>8.540835894</v>
      </c>
      <c r="Y29" s="3">
        <f t="shared" si="5"/>
        <v>8.405789602</v>
      </c>
      <c r="Z29" s="3">
        <f t="shared" ref="Z29:AA29" si="32">_xlfn.NORM.S.DIST(X29)</f>
        <v>1</v>
      </c>
      <c r="AA29" s="3">
        <f t="shared" si="32"/>
        <v>1</v>
      </c>
    </row>
    <row r="30" ht="14.25" customHeight="1">
      <c r="A30" s="3" t="s">
        <v>134</v>
      </c>
      <c r="B30" s="3" t="s">
        <v>135</v>
      </c>
      <c r="C30" s="3" t="s">
        <v>133</v>
      </c>
      <c r="D30" s="3" t="s">
        <v>29</v>
      </c>
      <c r="E30" s="3">
        <v>9.0</v>
      </c>
      <c r="F30" s="3" t="s">
        <v>27</v>
      </c>
      <c r="G30" s="3">
        <v>17.9</v>
      </c>
      <c r="I30" s="3">
        <v>18.85</v>
      </c>
      <c r="K30" s="3">
        <v>0.0</v>
      </c>
      <c r="L30" s="3">
        <v>7.0</v>
      </c>
      <c r="M30" s="3" t="s">
        <v>59</v>
      </c>
      <c r="N30" s="3">
        <v>1.0</v>
      </c>
      <c r="O30" s="3">
        <v>0.0</v>
      </c>
      <c r="P30" s="3">
        <v>-0.0261</v>
      </c>
      <c r="Q30" s="3">
        <v>0.0</v>
      </c>
      <c r="R30" s="3">
        <v>0.5479</v>
      </c>
      <c r="S30" s="3">
        <v>27.370001</v>
      </c>
      <c r="T30" s="3">
        <v>23.0</v>
      </c>
      <c r="U30" s="3">
        <f t="shared" si="2"/>
        <v>18.375</v>
      </c>
      <c r="V30" s="3"/>
      <c r="W30" s="3">
        <f t="shared" si="3"/>
        <v>18.37057598</v>
      </c>
      <c r="X30" s="3">
        <f t="shared" si="4"/>
        <v>6.802493371</v>
      </c>
      <c r="Y30" s="3">
        <f t="shared" si="5"/>
        <v>6.636967856</v>
      </c>
      <c r="Z30" s="3">
        <f t="shared" ref="Z30:AA30" si="33">_xlfn.NORM.S.DIST(X30)</f>
        <v>1</v>
      </c>
      <c r="AA30" s="3">
        <f t="shared" si="33"/>
        <v>1</v>
      </c>
    </row>
    <row r="31" ht="14.25" customHeight="1">
      <c r="A31" s="3" t="s">
        <v>134</v>
      </c>
      <c r="B31" s="3" t="s">
        <v>135</v>
      </c>
      <c r="C31" s="3" t="s">
        <v>133</v>
      </c>
      <c r="D31" s="3" t="s">
        <v>29</v>
      </c>
      <c r="E31" s="3">
        <v>9.0</v>
      </c>
      <c r="F31" s="3" t="s">
        <v>27</v>
      </c>
      <c r="G31" s="3">
        <v>18.7</v>
      </c>
      <c r="I31" s="3">
        <v>19.1</v>
      </c>
      <c r="K31" s="3">
        <v>0.0</v>
      </c>
      <c r="L31" s="3">
        <v>7.0</v>
      </c>
      <c r="M31" s="3" t="s">
        <v>60</v>
      </c>
      <c r="N31" s="3">
        <v>1.0</v>
      </c>
      <c r="O31" s="3">
        <v>0.0</v>
      </c>
      <c r="P31" s="3">
        <v>-0.0261</v>
      </c>
      <c r="Q31" s="3">
        <v>0.0</v>
      </c>
      <c r="R31" s="3">
        <v>0.4798</v>
      </c>
      <c r="S31" s="3">
        <v>27.91</v>
      </c>
      <c r="T31" s="3">
        <v>22.0</v>
      </c>
      <c r="U31" s="3">
        <f t="shared" si="2"/>
        <v>18.9</v>
      </c>
      <c r="V31" s="3"/>
      <c r="W31" s="3">
        <f t="shared" si="3"/>
        <v>18.91054998</v>
      </c>
      <c r="X31" s="3">
        <f t="shared" si="4"/>
        <v>8.054627872</v>
      </c>
      <c r="Y31" s="3">
        <f t="shared" si="5"/>
        <v>7.912862124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134</v>
      </c>
      <c r="B32" s="3" t="s">
        <v>135</v>
      </c>
      <c r="C32" s="3" t="s">
        <v>133</v>
      </c>
      <c r="D32" s="3" t="s">
        <v>29</v>
      </c>
      <c r="E32" s="3">
        <v>9.0</v>
      </c>
      <c r="F32" s="3" t="s">
        <v>27</v>
      </c>
      <c r="G32" s="3">
        <v>19.3</v>
      </c>
      <c r="I32" s="3">
        <v>19.7</v>
      </c>
      <c r="K32" s="3">
        <v>0.0</v>
      </c>
      <c r="L32" s="3">
        <v>7.0</v>
      </c>
      <c r="M32" s="3" t="s">
        <v>61</v>
      </c>
      <c r="N32" s="3">
        <v>1.0</v>
      </c>
      <c r="O32" s="3">
        <v>0.0</v>
      </c>
      <c r="P32" s="3">
        <v>-0.0261</v>
      </c>
      <c r="Q32" s="3">
        <v>0.0</v>
      </c>
      <c r="R32" s="3">
        <v>0.4042</v>
      </c>
      <c r="S32" s="3">
        <v>28.5</v>
      </c>
      <c r="T32" s="3">
        <v>21.0</v>
      </c>
      <c r="U32" s="3">
        <f t="shared" si="2"/>
        <v>19.5</v>
      </c>
      <c r="V32" s="3"/>
      <c r="W32" s="3">
        <f t="shared" si="3"/>
        <v>19.50052498</v>
      </c>
      <c r="X32" s="3">
        <f t="shared" si="4"/>
        <v>9.937611469</v>
      </c>
      <c r="Y32" s="3">
        <f t="shared" si="5"/>
        <v>9.82092898</v>
      </c>
      <c r="Z32" s="3">
        <f t="shared" ref="Z32:AA32" si="35">_xlfn.NORM.S.DIST(X32)</f>
        <v>1</v>
      </c>
      <c r="AA32" s="3">
        <f t="shared" si="35"/>
        <v>1</v>
      </c>
    </row>
    <row r="33" ht="14.25" customHeight="1">
      <c r="A33" s="3" t="s">
        <v>134</v>
      </c>
      <c r="B33" s="3" t="s">
        <v>135</v>
      </c>
      <c r="C33" s="3" t="s">
        <v>133</v>
      </c>
      <c r="D33" s="3" t="s">
        <v>29</v>
      </c>
      <c r="E33" s="3">
        <v>9.0</v>
      </c>
      <c r="F33" s="3" t="s">
        <v>27</v>
      </c>
      <c r="G33" s="3">
        <v>17.8</v>
      </c>
      <c r="I33" s="3">
        <v>20.85</v>
      </c>
      <c r="K33" s="3">
        <v>0.0</v>
      </c>
      <c r="L33" s="3">
        <v>7.0</v>
      </c>
      <c r="M33" s="3" t="s">
        <v>62</v>
      </c>
      <c r="N33" s="3">
        <v>0.9999</v>
      </c>
      <c r="O33" s="3">
        <v>0.0</v>
      </c>
      <c r="P33" s="3">
        <v>0.023</v>
      </c>
      <c r="Q33" s="3">
        <v>0.0</v>
      </c>
      <c r="R33" s="3">
        <v>0.4291</v>
      </c>
      <c r="S33" s="3">
        <v>28.32</v>
      </c>
      <c r="T33" s="3">
        <v>20.0</v>
      </c>
      <c r="U33" s="3">
        <f t="shared" si="2"/>
        <v>19.325</v>
      </c>
      <c r="V33" s="3"/>
      <c r="W33" s="3">
        <f t="shared" si="3"/>
        <v>19.32049999</v>
      </c>
      <c r="X33" s="3">
        <f t="shared" si="4"/>
        <v>9.543811632</v>
      </c>
      <c r="Y33" s="3">
        <f t="shared" si="5"/>
        <v>9.422926402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134</v>
      </c>
      <c r="B34" s="3" t="s">
        <v>135</v>
      </c>
      <c r="C34" s="3" t="s">
        <v>133</v>
      </c>
      <c r="D34" s="3" t="s">
        <v>29</v>
      </c>
      <c r="E34" s="3">
        <v>9.0</v>
      </c>
      <c r="F34" s="3" t="s">
        <v>27</v>
      </c>
      <c r="G34" s="3">
        <v>19.65</v>
      </c>
      <c r="I34" s="3">
        <v>20.35</v>
      </c>
      <c r="K34" s="3">
        <v>0.0</v>
      </c>
      <c r="L34" s="3">
        <v>7.0</v>
      </c>
      <c r="M34" s="3" t="s">
        <v>63</v>
      </c>
      <c r="N34" s="3">
        <v>0.9999</v>
      </c>
      <c r="O34" s="3">
        <v>0.0</v>
      </c>
      <c r="P34" s="3">
        <v>0.0285</v>
      </c>
      <c r="Q34" s="3">
        <v>0.0</v>
      </c>
      <c r="R34" s="3">
        <v>0.512</v>
      </c>
      <c r="S34" s="3">
        <v>28.93</v>
      </c>
      <c r="T34" s="3">
        <v>19.0</v>
      </c>
      <c r="U34" s="3">
        <f t="shared" si="2"/>
        <v>20</v>
      </c>
      <c r="V34" s="3"/>
      <c r="W34" s="3">
        <f t="shared" si="3"/>
        <v>19.93047499</v>
      </c>
      <c r="X34" s="3">
        <f t="shared" si="4"/>
        <v>8.37620927</v>
      </c>
      <c r="Y34" s="3">
        <f t="shared" si="5"/>
        <v>8.23562184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134</v>
      </c>
      <c r="B35" s="3" t="s">
        <v>135</v>
      </c>
      <c r="C35" s="3" t="s">
        <v>133</v>
      </c>
      <c r="D35" s="3" t="s">
        <v>29</v>
      </c>
      <c r="E35" s="3">
        <v>9.0</v>
      </c>
      <c r="F35" s="3" t="s">
        <v>27</v>
      </c>
      <c r="G35" s="3">
        <v>18.8</v>
      </c>
      <c r="I35" s="3">
        <v>19.9</v>
      </c>
      <c r="K35" s="3">
        <v>0.0</v>
      </c>
      <c r="L35" s="3">
        <v>7.0</v>
      </c>
      <c r="M35" s="3" t="s">
        <v>64</v>
      </c>
      <c r="N35" s="3">
        <v>0.9998</v>
      </c>
      <c r="O35" s="3">
        <v>0.0</v>
      </c>
      <c r="P35" s="3">
        <v>0.0814</v>
      </c>
      <c r="Q35" s="3">
        <v>0.0</v>
      </c>
      <c r="R35" s="3">
        <v>0.5328</v>
      </c>
      <c r="S35" s="3">
        <v>28.459999</v>
      </c>
      <c r="T35" s="3">
        <v>18.0</v>
      </c>
      <c r="U35" s="3">
        <f t="shared" si="2"/>
        <v>19.35</v>
      </c>
      <c r="V35" s="3"/>
      <c r="W35" s="3">
        <f t="shared" si="3"/>
        <v>19.46044899</v>
      </c>
      <c r="X35" s="3">
        <f t="shared" si="4"/>
        <v>8.156528006</v>
      </c>
      <c r="Y35" s="3">
        <f t="shared" si="5"/>
        <v>8.014131216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134</v>
      </c>
      <c r="B36" s="3" t="s">
        <v>135</v>
      </c>
      <c r="C36" s="3" t="s">
        <v>133</v>
      </c>
      <c r="D36" s="3" t="s">
        <v>29</v>
      </c>
      <c r="E36" s="3">
        <v>9.0</v>
      </c>
      <c r="F36" s="3" t="s">
        <v>27</v>
      </c>
      <c r="G36" s="3">
        <v>18.2</v>
      </c>
      <c r="I36" s="3">
        <v>18.45</v>
      </c>
      <c r="K36" s="3">
        <v>0.0</v>
      </c>
      <c r="L36" s="3">
        <v>7.0</v>
      </c>
      <c r="M36" s="3" t="s">
        <v>65</v>
      </c>
      <c r="N36" s="3">
        <v>1.0</v>
      </c>
      <c r="O36" s="3">
        <v>0.0</v>
      </c>
      <c r="P36" s="3">
        <v>-0.0261</v>
      </c>
      <c r="Q36" s="3">
        <v>0.0</v>
      </c>
      <c r="R36" s="3">
        <v>0.498</v>
      </c>
      <c r="S36" s="3">
        <v>27.280001</v>
      </c>
      <c r="T36" s="3">
        <v>17.0</v>
      </c>
      <c r="U36" s="3">
        <f t="shared" si="2"/>
        <v>18.325</v>
      </c>
      <c r="V36" s="3"/>
      <c r="W36" s="3">
        <f t="shared" si="3"/>
        <v>18.28042599</v>
      </c>
      <c r="X36" s="3">
        <f t="shared" si="4"/>
        <v>8.638383595</v>
      </c>
      <c r="Y36" s="3">
        <f t="shared" si="5"/>
        <v>8.509037438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134</v>
      </c>
      <c r="B37" s="3" t="s">
        <v>135</v>
      </c>
      <c r="C37" s="3" t="s">
        <v>133</v>
      </c>
      <c r="D37" s="3" t="s">
        <v>29</v>
      </c>
      <c r="E37" s="3">
        <v>9.0</v>
      </c>
      <c r="F37" s="3" t="s">
        <v>27</v>
      </c>
      <c r="G37" s="3">
        <v>17.95</v>
      </c>
      <c r="I37" s="3">
        <v>18.3</v>
      </c>
      <c r="K37" s="3">
        <v>0.0</v>
      </c>
      <c r="L37" s="3">
        <v>7.0</v>
      </c>
      <c r="M37" s="3" t="s">
        <v>66</v>
      </c>
      <c r="N37" s="3">
        <v>1.0</v>
      </c>
      <c r="O37" s="3">
        <v>0.0</v>
      </c>
      <c r="P37" s="3">
        <v>-0.0261</v>
      </c>
      <c r="Q37" s="3">
        <v>0.0</v>
      </c>
      <c r="R37" s="3">
        <v>0.5073</v>
      </c>
      <c r="S37" s="3">
        <v>27.129999</v>
      </c>
      <c r="T37" s="3">
        <v>16.0</v>
      </c>
      <c r="U37" s="3">
        <f t="shared" si="2"/>
        <v>18.125</v>
      </c>
      <c r="V37" s="3"/>
      <c r="W37" s="3">
        <f t="shared" si="3"/>
        <v>18.13039899</v>
      </c>
      <c r="X37" s="3">
        <f t="shared" si="4"/>
        <v>8.696322508</v>
      </c>
      <c r="Y37" s="3">
        <f t="shared" si="5"/>
        <v>8.568494924</v>
      </c>
      <c r="Z37" s="3">
        <f t="shared" ref="Z37:AA37" si="40">_xlfn.NORM.S.DIST(X37)</f>
        <v>1</v>
      </c>
      <c r="AA37" s="3">
        <f t="shared" si="40"/>
        <v>1</v>
      </c>
    </row>
    <row r="38" ht="14.25" customHeight="1">
      <c r="A38" s="3" t="s">
        <v>134</v>
      </c>
      <c r="B38" s="3" t="s">
        <v>135</v>
      </c>
      <c r="C38" s="3" t="s">
        <v>133</v>
      </c>
      <c r="D38" s="3" t="s">
        <v>29</v>
      </c>
      <c r="E38" s="3">
        <v>9.0</v>
      </c>
      <c r="F38" s="3" t="s">
        <v>27</v>
      </c>
      <c r="G38" s="3">
        <v>18.2</v>
      </c>
      <c r="I38" s="3">
        <v>18.3</v>
      </c>
      <c r="K38" s="3">
        <v>0.0</v>
      </c>
      <c r="L38" s="3">
        <v>7.0</v>
      </c>
      <c r="M38" s="3" t="s">
        <v>67</v>
      </c>
      <c r="N38" s="3">
        <v>1.0</v>
      </c>
      <c r="O38" s="3">
        <v>0.0</v>
      </c>
      <c r="P38" s="3">
        <v>-0.0261</v>
      </c>
      <c r="Q38" s="3">
        <v>0.0</v>
      </c>
      <c r="R38" s="3">
        <v>0.5829</v>
      </c>
      <c r="S38" s="3">
        <v>27.27</v>
      </c>
      <c r="T38" s="3">
        <v>15.0</v>
      </c>
      <c r="U38" s="3">
        <f t="shared" si="2"/>
        <v>18.25</v>
      </c>
      <c r="V38" s="3"/>
      <c r="W38" s="3">
        <f t="shared" si="3"/>
        <v>18.27037499</v>
      </c>
      <c r="X38" s="3">
        <f t="shared" si="4"/>
        <v>7.866483798</v>
      </c>
      <c r="Y38" s="3">
        <f t="shared" si="5"/>
        <v>7.72427076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134</v>
      </c>
      <c r="B39" s="3" t="s">
        <v>135</v>
      </c>
      <c r="C39" s="3" t="s">
        <v>133</v>
      </c>
      <c r="D39" s="3" t="s">
        <v>29</v>
      </c>
      <c r="E39" s="3">
        <v>9.0</v>
      </c>
      <c r="F39" s="3" t="s">
        <v>27</v>
      </c>
      <c r="G39" s="3">
        <v>18.35</v>
      </c>
      <c r="I39" s="3">
        <v>18.45</v>
      </c>
      <c r="K39" s="3">
        <v>0.0</v>
      </c>
      <c r="L39" s="3">
        <v>7.0</v>
      </c>
      <c r="M39" s="3" t="s">
        <v>68</v>
      </c>
      <c r="N39" s="3">
        <v>1.0</v>
      </c>
      <c r="O39" s="3">
        <v>0.0</v>
      </c>
      <c r="P39" s="3">
        <v>-0.0261</v>
      </c>
      <c r="Q39" s="3">
        <v>0.0</v>
      </c>
      <c r="R39" s="3">
        <v>0.4561</v>
      </c>
      <c r="S39" s="3">
        <v>27.389999</v>
      </c>
      <c r="T39" s="3">
        <v>14.0</v>
      </c>
      <c r="U39" s="3">
        <f t="shared" si="2"/>
        <v>18.4</v>
      </c>
      <c r="V39" s="3"/>
      <c r="W39" s="3">
        <f t="shared" si="3"/>
        <v>18.39034899</v>
      </c>
      <c r="X39" s="3">
        <f t="shared" si="4"/>
        <v>10.4068022</v>
      </c>
      <c r="Y39" s="3">
        <f t="shared" si="5"/>
        <v>10.29929839</v>
      </c>
      <c r="Z39" s="3">
        <f t="shared" ref="Z39:AA39" si="42">_xlfn.NORM.S.DIST(X39)</f>
        <v>1</v>
      </c>
      <c r="AA39" s="3">
        <f t="shared" si="42"/>
        <v>1</v>
      </c>
    </row>
    <row r="40" ht="14.25" customHeight="1">
      <c r="A40" s="3" t="s">
        <v>134</v>
      </c>
      <c r="B40" s="3" t="s">
        <v>135</v>
      </c>
      <c r="C40" s="3" t="s">
        <v>133</v>
      </c>
      <c r="D40" s="3" t="s">
        <v>29</v>
      </c>
      <c r="E40" s="3">
        <v>9.0</v>
      </c>
      <c r="F40" s="3" t="s">
        <v>27</v>
      </c>
      <c r="G40" s="3">
        <v>17.7</v>
      </c>
      <c r="I40" s="3">
        <v>18.05</v>
      </c>
      <c r="K40" s="3">
        <v>0.0</v>
      </c>
      <c r="L40" s="3">
        <v>7.0</v>
      </c>
      <c r="M40" s="3" t="s">
        <v>69</v>
      </c>
      <c r="N40" s="3">
        <v>1.0</v>
      </c>
      <c r="O40" s="3">
        <v>0.0</v>
      </c>
      <c r="P40" s="3">
        <v>-0.0261</v>
      </c>
      <c r="Q40" s="3">
        <v>0.0</v>
      </c>
      <c r="R40" s="3">
        <v>0.5741</v>
      </c>
      <c r="S40" s="3">
        <v>26.870001</v>
      </c>
      <c r="T40" s="3">
        <v>13.0</v>
      </c>
      <c r="U40" s="3">
        <f t="shared" si="2"/>
        <v>17.875</v>
      </c>
      <c r="V40" s="3"/>
      <c r="W40" s="3">
        <f t="shared" si="3"/>
        <v>17.87032599</v>
      </c>
      <c r="X40" s="3">
        <f t="shared" si="4"/>
        <v>8.453762682</v>
      </c>
      <c r="Y40" s="3">
        <f t="shared" si="5"/>
        <v>8.323368278</v>
      </c>
      <c r="Z40" s="3">
        <f t="shared" ref="Z40:AA40" si="43">_xlfn.NORM.S.DIST(X40)</f>
        <v>1</v>
      </c>
      <c r="AA40" s="3">
        <f t="shared" si="43"/>
        <v>1</v>
      </c>
    </row>
    <row r="41" ht="14.25" customHeight="1">
      <c r="A41" s="3" t="s">
        <v>134</v>
      </c>
      <c r="B41" s="3" t="s">
        <v>135</v>
      </c>
      <c r="C41" s="3" t="s">
        <v>133</v>
      </c>
      <c r="D41" s="3" t="s">
        <v>29</v>
      </c>
      <c r="E41" s="3">
        <v>9.0</v>
      </c>
      <c r="F41" s="3" t="s">
        <v>27</v>
      </c>
      <c r="G41" s="3">
        <v>18.15</v>
      </c>
      <c r="I41" s="3">
        <v>18.3</v>
      </c>
      <c r="K41" s="3">
        <v>0.0</v>
      </c>
      <c r="L41" s="3">
        <v>7.0</v>
      </c>
      <c r="M41" s="3" t="s">
        <v>70</v>
      </c>
      <c r="N41" s="3">
        <v>0.9998</v>
      </c>
      <c r="O41" s="3">
        <v>0.0</v>
      </c>
      <c r="P41" s="3">
        <v>0.0781</v>
      </c>
      <c r="Q41" s="3">
        <v>0.0</v>
      </c>
      <c r="R41" s="3">
        <v>0.4421</v>
      </c>
      <c r="S41" s="3">
        <v>27.25</v>
      </c>
      <c r="T41" s="3">
        <v>12.0</v>
      </c>
      <c r="U41" s="3">
        <f t="shared" si="2"/>
        <v>18.225</v>
      </c>
      <c r="V41" s="3"/>
      <c r="W41" s="3">
        <f t="shared" si="3"/>
        <v>18.2503</v>
      </c>
      <c r="X41" s="3">
        <f t="shared" si="4"/>
        <v>11.53175379</v>
      </c>
      <c r="Y41" s="3">
        <f t="shared" si="5"/>
        <v>11.43527966</v>
      </c>
      <c r="Z41" s="3">
        <f t="shared" ref="Z41:AA41" si="44">_xlfn.NORM.S.DIST(X41)</f>
        <v>1</v>
      </c>
      <c r="AA41" s="3">
        <f t="shared" si="44"/>
        <v>1</v>
      </c>
    </row>
    <row r="42" ht="14.25" customHeight="1">
      <c r="A42" s="3" t="s">
        <v>134</v>
      </c>
      <c r="B42" s="3" t="s">
        <v>135</v>
      </c>
      <c r="C42" s="3" t="s">
        <v>133</v>
      </c>
      <c r="D42" s="3" t="s">
        <v>29</v>
      </c>
      <c r="E42" s="3">
        <v>9.0</v>
      </c>
      <c r="F42" s="3" t="s">
        <v>27</v>
      </c>
      <c r="G42" s="3">
        <v>18.5</v>
      </c>
      <c r="I42" s="3">
        <v>19.1</v>
      </c>
      <c r="K42" s="3">
        <v>0.0</v>
      </c>
      <c r="L42" s="3">
        <v>7.0</v>
      </c>
      <c r="M42" s="3" t="s">
        <v>71</v>
      </c>
      <c r="N42" s="3">
        <v>1.0</v>
      </c>
      <c r="O42" s="3">
        <v>0.0</v>
      </c>
      <c r="P42" s="3">
        <v>-0.0254</v>
      </c>
      <c r="Q42" s="3">
        <v>0.0</v>
      </c>
      <c r="R42" s="3">
        <v>0.5685</v>
      </c>
      <c r="S42" s="3">
        <v>27.780001</v>
      </c>
      <c r="T42" s="3">
        <v>11.0</v>
      </c>
      <c r="U42" s="3">
        <f t="shared" si="2"/>
        <v>18.8</v>
      </c>
      <c r="V42" s="3"/>
      <c r="W42" s="3">
        <f t="shared" si="3"/>
        <v>18.780276</v>
      </c>
      <c r="X42" s="3">
        <f t="shared" si="4"/>
        <v>9.548913726</v>
      </c>
      <c r="Y42" s="3">
        <f t="shared" si="5"/>
        <v>9.430138315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134</v>
      </c>
      <c r="B43" s="3" t="s">
        <v>135</v>
      </c>
      <c r="C43" s="3" t="s">
        <v>133</v>
      </c>
      <c r="D43" s="3" t="s">
        <v>29</v>
      </c>
      <c r="E43" s="3">
        <v>9.0</v>
      </c>
      <c r="F43" s="3" t="s">
        <v>27</v>
      </c>
      <c r="G43" s="3">
        <v>18.55</v>
      </c>
      <c r="I43" s="3">
        <v>18.9</v>
      </c>
      <c r="K43" s="3">
        <v>0.0</v>
      </c>
      <c r="L43" s="3">
        <v>7.0</v>
      </c>
      <c r="M43" s="3" t="s">
        <v>72</v>
      </c>
      <c r="N43" s="3">
        <v>0.9998</v>
      </c>
      <c r="O43" s="3">
        <v>0.0</v>
      </c>
      <c r="P43" s="3">
        <v>0.1865</v>
      </c>
      <c r="Q43" s="3">
        <v>0.0</v>
      </c>
      <c r="R43" s="3">
        <v>0.5162</v>
      </c>
      <c r="S43" s="3">
        <v>27.719999</v>
      </c>
      <c r="T43" s="3">
        <v>10.0</v>
      </c>
      <c r="U43" s="3">
        <f t="shared" si="2"/>
        <v>18.725</v>
      </c>
      <c r="V43" s="3"/>
      <c r="W43" s="3">
        <f t="shared" si="3"/>
        <v>18.720249</v>
      </c>
      <c r="X43" s="3">
        <f t="shared" si="4"/>
        <v>10.99143998</v>
      </c>
      <c r="Y43" s="3">
        <f t="shared" si="5"/>
        <v>10.88861047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134</v>
      </c>
      <c r="B44" s="3" t="s">
        <v>135</v>
      </c>
      <c r="C44" s="3" t="s">
        <v>133</v>
      </c>
      <c r="D44" s="3" t="s">
        <v>29</v>
      </c>
      <c r="E44" s="3">
        <v>9.0</v>
      </c>
      <c r="F44" s="3" t="s">
        <v>27</v>
      </c>
      <c r="G44" s="3">
        <v>18.45</v>
      </c>
      <c r="I44" s="3">
        <v>18.55</v>
      </c>
      <c r="K44" s="3">
        <v>0.0</v>
      </c>
      <c r="L44" s="3">
        <v>7.0</v>
      </c>
      <c r="M44" s="3" t="s">
        <v>73</v>
      </c>
      <c r="N44" s="3">
        <v>0.9998</v>
      </c>
      <c r="O44" s="3">
        <v>0.0</v>
      </c>
      <c r="P44" s="3">
        <v>0.185</v>
      </c>
      <c r="Q44" s="3">
        <v>0.0</v>
      </c>
      <c r="R44" s="3">
        <v>0.5185</v>
      </c>
      <c r="S44" s="3">
        <v>27.52</v>
      </c>
      <c r="T44" s="3">
        <v>9.0</v>
      </c>
      <c r="U44" s="3">
        <f t="shared" si="2"/>
        <v>18.5</v>
      </c>
      <c r="V44" s="3"/>
      <c r="W44" s="3">
        <f t="shared" si="3"/>
        <v>18.520225</v>
      </c>
      <c r="X44" s="3">
        <f t="shared" si="4"/>
        <v>11.45571221</v>
      </c>
      <c r="Y44" s="3">
        <f t="shared" si="5"/>
        <v>11.35772492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134</v>
      </c>
      <c r="B45" s="3" t="s">
        <v>135</v>
      </c>
      <c r="C45" s="3" t="s">
        <v>133</v>
      </c>
      <c r="D45" s="3" t="s">
        <v>29</v>
      </c>
      <c r="E45" s="3">
        <v>9.0</v>
      </c>
      <c r="F45" s="3" t="s">
        <v>27</v>
      </c>
      <c r="G45" s="3">
        <v>18.35</v>
      </c>
      <c r="I45" s="3">
        <v>18.5</v>
      </c>
      <c r="K45" s="3">
        <v>0.0</v>
      </c>
      <c r="L45" s="3">
        <v>7.0</v>
      </c>
      <c r="M45" s="3" t="s">
        <v>74</v>
      </c>
      <c r="N45" s="3">
        <v>0.9998</v>
      </c>
      <c r="O45" s="3">
        <v>0.0</v>
      </c>
      <c r="P45" s="3">
        <v>0.2113</v>
      </c>
      <c r="Q45" s="3">
        <v>0.0</v>
      </c>
      <c r="R45" s="3">
        <v>0.4697</v>
      </c>
      <c r="S45" s="3">
        <v>27.450001</v>
      </c>
      <c r="T45" s="3">
        <v>8.0</v>
      </c>
      <c r="U45" s="3">
        <f t="shared" si="2"/>
        <v>18.425</v>
      </c>
      <c r="V45" s="3"/>
      <c r="W45" s="3">
        <f t="shared" si="3"/>
        <v>18.450201</v>
      </c>
      <c r="X45" s="3">
        <f t="shared" si="4"/>
        <v>13.36703386</v>
      </c>
      <c r="Y45" s="3">
        <f t="shared" si="5"/>
        <v>13.28334545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134</v>
      </c>
      <c r="B46" s="3" t="s">
        <v>135</v>
      </c>
      <c r="C46" s="3" t="s">
        <v>133</v>
      </c>
      <c r="D46" s="3" t="s">
        <v>29</v>
      </c>
      <c r="E46" s="3">
        <v>9.0</v>
      </c>
      <c r="F46" s="3" t="s">
        <v>27</v>
      </c>
      <c r="G46" s="3">
        <v>19.55</v>
      </c>
      <c r="I46" s="3">
        <v>19.6</v>
      </c>
      <c r="K46" s="3">
        <v>0.0</v>
      </c>
      <c r="L46" s="3">
        <v>7.0</v>
      </c>
      <c r="M46" s="3" t="s">
        <v>75</v>
      </c>
      <c r="N46" s="3">
        <v>0.9999</v>
      </c>
      <c r="O46" s="3">
        <v>0.0</v>
      </c>
      <c r="P46" s="3">
        <v>0.1117</v>
      </c>
      <c r="Q46" s="3">
        <v>0.0</v>
      </c>
      <c r="R46" s="3">
        <v>0.3983</v>
      </c>
      <c r="S46" s="3">
        <v>28.58</v>
      </c>
      <c r="T46" s="3">
        <v>7.0</v>
      </c>
      <c r="U46" s="3">
        <f t="shared" si="2"/>
        <v>19.575</v>
      </c>
      <c r="V46" s="3"/>
      <c r="W46" s="3">
        <f t="shared" si="3"/>
        <v>19.580175</v>
      </c>
      <c r="X46" s="3">
        <f t="shared" si="4"/>
        <v>17.43969992</v>
      </c>
      <c r="Y46" s="3">
        <f t="shared" si="5"/>
        <v>17.37331659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134</v>
      </c>
      <c r="B47" s="3" t="s">
        <v>135</v>
      </c>
      <c r="C47" s="3" t="s">
        <v>133</v>
      </c>
      <c r="D47" s="3" t="s">
        <v>29</v>
      </c>
      <c r="E47" s="3">
        <v>9.0</v>
      </c>
      <c r="F47" s="3" t="s">
        <v>27</v>
      </c>
      <c r="G47" s="3">
        <v>17.45</v>
      </c>
      <c r="I47" s="3">
        <v>20.45</v>
      </c>
      <c r="K47" s="3">
        <v>0.0</v>
      </c>
      <c r="L47" s="3">
        <v>7.0</v>
      </c>
      <c r="M47" s="3" t="s">
        <v>76</v>
      </c>
      <c r="N47" s="3">
        <v>1.0</v>
      </c>
      <c r="O47" s="3">
        <v>0.0</v>
      </c>
      <c r="P47" s="3">
        <v>-0.0254</v>
      </c>
      <c r="Q47" s="3">
        <v>0.0</v>
      </c>
      <c r="R47" s="3">
        <v>0.3264</v>
      </c>
      <c r="S47" s="3">
        <v>27.959999</v>
      </c>
      <c r="T47" s="3">
        <v>6.0</v>
      </c>
      <c r="U47" s="3">
        <f t="shared" si="2"/>
        <v>18.95</v>
      </c>
      <c r="V47" s="3"/>
      <c r="W47" s="3">
        <f t="shared" si="3"/>
        <v>18.960149</v>
      </c>
      <c r="X47" s="3">
        <f t="shared" si="4"/>
        <v>22.5323931</v>
      </c>
      <c r="Y47" s="3">
        <f t="shared" si="5"/>
        <v>22.48202849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134</v>
      </c>
      <c r="B48" s="3" t="s">
        <v>135</v>
      </c>
      <c r="C48" s="3" t="s">
        <v>133</v>
      </c>
      <c r="D48" s="3" t="s">
        <v>29</v>
      </c>
      <c r="E48" s="3">
        <v>9.0</v>
      </c>
      <c r="F48" s="3" t="s">
        <v>27</v>
      </c>
      <c r="G48" s="3">
        <v>19.1</v>
      </c>
      <c r="I48" s="3">
        <v>19.2</v>
      </c>
      <c r="K48" s="3">
        <v>0.0</v>
      </c>
      <c r="L48" s="3">
        <v>7.0</v>
      </c>
      <c r="M48" s="3" t="s">
        <v>77</v>
      </c>
      <c r="N48" s="3">
        <v>1.0</v>
      </c>
      <c r="O48" s="3">
        <v>0.0</v>
      </c>
      <c r="P48" s="3">
        <v>-0.0254</v>
      </c>
      <c r="Q48" s="3">
        <v>0.0</v>
      </c>
      <c r="R48" s="3">
        <v>0.3788</v>
      </c>
      <c r="S48" s="3">
        <v>28.139999</v>
      </c>
      <c r="T48" s="3">
        <v>5.0</v>
      </c>
      <c r="U48" s="3">
        <f t="shared" si="2"/>
        <v>19.15</v>
      </c>
      <c r="V48" s="3"/>
      <c r="W48" s="3">
        <f t="shared" si="3"/>
        <v>19.140124</v>
      </c>
      <c r="X48" s="3">
        <f t="shared" si="4"/>
        <v>21.39168552</v>
      </c>
      <c r="Y48" s="3">
        <f t="shared" si="5"/>
        <v>21.33832812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134</v>
      </c>
      <c r="B49" s="3" t="s">
        <v>135</v>
      </c>
      <c r="C49" s="3" t="s">
        <v>133</v>
      </c>
      <c r="D49" s="3" t="s">
        <v>29</v>
      </c>
      <c r="E49" s="3">
        <v>9.0</v>
      </c>
      <c r="F49" s="3" t="s">
        <v>27</v>
      </c>
      <c r="G49" s="3">
        <v>18.8</v>
      </c>
      <c r="I49" s="3">
        <v>18.9</v>
      </c>
      <c r="K49" s="3">
        <v>0.0</v>
      </c>
      <c r="L49" s="3">
        <v>7.0</v>
      </c>
      <c r="M49" s="3" t="s">
        <v>78</v>
      </c>
      <c r="N49" s="3">
        <v>1.0</v>
      </c>
      <c r="O49" s="3">
        <v>0.0</v>
      </c>
      <c r="P49" s="3">
        <v>-0.0254</v>
      </c>
      <c r="Q49" s="3">
        <v>0.0</v>
      </c>
      <c r="R49" s="3">
        <v>0.3711</v>
      </c>
      <c r="S49" s="3">
        <v>27.83</v>
      </c>
      <c r="T49" s="3">
        <v>4.0</v>
      </c>
      <c r="U49" s="3">
        <f t="shared" si="2"/>
        <v>18.85</v>
      </c>
      <c r="V49" s="3"/>
      <c r="W49" s="3">
        <f t="shared" si="3"/>
        <v>18.8301</v>
      </c>
      <c r="X49" s="3">
        <f t="shared" si="4"/>
        <v>24.16882245</v>
      </c>
      <c r="Y49" s="3">
        <f t="shared" si="5"/>
        <v>24.12206825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134</v>
      </c>
      <c r="B50" s="3" t="s">
        <v>135</v>
      </c>
      <c r="C50" s="3" t="s">
        <v>133</v>
      </c>
      <c r="D50" s="3" t="s">
        <v>29</v>
      </c>
      <c r="E50" s="3">
        <v>9.0</v>
      </c>
      <c r="F50" s="3" t="s">
        <v>27</v>
      </c>
      <c r="G50" s="3">
        <v>18.05</v>
      </c>
      <c r="I50" s="3">
        <v>18.15</v>
      </c>
      <c r="K50" s="3">
        <v>0.0</v>
      </c>
      <c r="L50" s="3">
        <v>7.0</v>
      </c>
      <c r="M50" s="3" t="s">
        <v>79</v>
      </c>
      <c r="N50" s="3">
        <v>1.0</v>
      </c>
      <c r="O50" s="3">
        <v>0.0</v>
      </c>
      <c r="P50" s="3">
        <v>-0.0254</v>
      </c>
      <c r="Q50" s="3">
        <v>0.0</v>
      </c>
      <c r="R50" s="3">
        <v>0.4807</v>
      </c>
      <c r="S50" s="3">
        <v>27.08</v>
      </c>
      <c r="T50" s="3">
        <v>3.0</v>
      </c>
      <c r="U50" s="3">
        <f t="shared" si="2"/>
        <v>18.1</v>
      </c>
      <c r="V50" s="3"/>
      <c r="W50" s="3">
        <f t="shared" si="3"/>
        <v>18.080075</v>
      </c>
      <c r="X50" s="3">
        <f t="shared" si="4"/>
        <v>21.02922033</v>
      </c>
      <c r="Y50" s="3">
        <f t="shared" si="5"/>
        <v>20.97677166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134</v>
      </c>
      <c r="B51" s="3" t="s">
        <v>135</v>
      </c>
      <c r="C51" s="3" t="s">
        <v>133</v>
      </c>
      <c r="D51" s="3" t="s">
        <v>29</v>
      </c>
      <c r="E51" s="3">
        <v>9.0</v>
      </c>
      <c r="F51" s="3" t="s">
        <v>27</v>
      </c>
      <c r="G51" s="3">
        <v>17.85</v>
      </c>
      <c r="I51" s="3">
        <v>18.2</v>
      </c>
      <c r="K51" s="3">
        <v>1.0</v>
      </c>
      <c r="L51" s="3">
        <v>7.0</v>
      </c>
      <c r="M51" s="3" t="s">
        <v>80</v>
      </c>
      <c r="N51" s="3">
        <v>1.0</v>
      </c>
      <c r="O51" s="3">
        <v>0.0</v>
      </c>
      <c r="P51" s="3">
        <v>-0.0254</v>
      </c>
      <c r="Q51" s="3">
        <v>0.0</v>
      </c>
      <c r="R51" s="3">
        <v>0.3032</v>
      </c>
      <c r="S51" s="3">
        <v>27.040001</v>
      </c>
      <c r="T51" s="3">
        <v>2.0</v>
      </c>
      <c r="U51" s="3">
        <f t="shared" si="2"/>
        <v>18.025</v>
      </c>
      <c r="V51" s="3"/>
      <c r="W51" s="3">
        <f t="shared" si="3"/>
        <v>18.040051</v>
      </c>
      <c r="X51" s="3">
        <f t="shared" si="4"/>
        <v>40.74098718</v>
      </c>
      <c r="Y51" s="3">
        <f t="shared" si="5"/>
        <v>40.71397597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134</v>
      </c>
      <c r="B52" s="3" t="s">
        <v>135</v>
      </c>
      <c r="C52" s="3" t="s">
        <v>133</v>
      </c>
      <c r="D52" s="3" t="s">
        <v>29</v>
      </c>
      <c r="E52" s="3">
        <v>9.0</v>
      </c>
      <c r="F52" s="3" t="s">
        <v>27</v>
      </c>
      <c r="G52" s="3">
        <v>17.6</v>
      </c>
      <c r="I52" s="3">
        <v>17.7</v>
      </c>
      <c r="K52" s="3">
        <v>0.0</v>
      </c>
      <c r="L52" s="3">
        <v>7.0</v>
      </c>
      <c r="M52" s="3" t="s">
        <v>81</v>
      </c>
      <c r="N52" s="3">
        <v>1.0</v>
      </c>
      <c r="O52" s="3">
        <v>0.0</v>
      </c>
      <c r="P52" s="3">
        <v>-0.0254</v>
      </c>
      <c r="Q52" s="3">
        <v>0.0</v>
      </c>
      <c r="R52" s="3">
        <v>0.1889</v>
      </c>
      <c r="S52" s="3">
        <v>26.65</v>
      </c>
      <c r="T52" s="3">
        <v>1.0</v>
      </c>
      <c r="U52" s="3">
        <f t="shared" si="2"/>
        <v>17.65</v>
      </c>
      <c r="V52" s="3"/>
      <c r="W52" s="3">
        <f t="shared" si="3"/>
        <v>17.650025</v>
      </c>
      <c r="X52" s="3">
        <f t="shared" si="4"/>
        <v>91.23330529</v>
      </c>
      <c r="Y52" s="3">
        <f t="shared" si="5"/>
        <v>91.22140571</v>
      </c>
      <c r="Z52" s="3">
        <f t="shared" ref="Z52:AA52" si="55">_xlfn.NORM.S.DIST(X52)</f>
        <v>1</v>
      </c>
      <c r="AA52" s="3">
        <f t="shared" si="55"/>
        <v>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136</v>
      </c>
      <c r="B2" s="3" t="s">
        <v>137</v>
      </c>
      <c r="C2" s="3" t="s">
        <v>128</v>
      </c>
      <c r="D2" s="3" t="s">
        <v>29</v>
      </c>
      <c r="E2" s="3">
        <v>45.0</v>
      </c>
      <c r="F2" s="3" t="s">
        <v>27</v>
      </c>
      <c r="G2" s="3">
        <v>41.25</v>
      </c>
      <c r="I2" s="3">
        <v>45.15</v>
      </c>
      <c r="K2" s="3">
        <v>0.0</v>
      </c>
      <c r="L2" s="3">
        <v>0.0</v>
      </c>
      <c r="M2" s="3" t="s">
        <v>30</v>
      </c>
      <c r="N2" s="3">
        <v>0.9945</v>
      </c>
      <c r="O2" s="3">
        <v>0.0</v>
      </c>
      <c r="P2" s="3">
        <v>1.5261</v>
      </c>
      <c r="Q2" s="3">
        <v>0.0</v>
      </c>
      <c r="R2" s="3">
        <v>0.2407</v>
      </c>
      <c r="S2" s="3">
        <v>88.709999</v>
      </c>
      <c r="T2" s="3">
        <v>75.0</v>
      </c>
      <c r="U2" s="3">
        <f t="shared" ref="U2:U76" si="2">(I2+G2)*0.5</f>
        <v>43.2</v>
      </c>
      <c r="V2" s="3"/>
      <c r="W2" s="3">
        <f t="shared" ref="W2:W76" si="3">( S2*Z2 ) - ( E2 * EXP(-0.0007*T2/$AC$2) * AA2)</f>
        <v>43.7193732</v>
      </c>
      <c r="X2" s="3">
        <f t="shared" ref="X2:X76" si="4">((LN(S2/E2) + (0.0007 + (R2^2)/2) * T2/$AC$2)) / (R2 * SQRT(T2/$AC$2))</f>
        <v>5.235901775</v>
      </c>
      <c r="Y2" s="3">
        <f t="shared" ref="Y2:Y76" si="5">X2-(R2*SQRT(T2/$AC$2))</f>
        <v>5.10458916</v>
      </c>
      <c r="Z2" s="3">
        <f t="shared" ref="Z2:AA2" si="1">_xlfn.NORM.S.DIST(X2)</f>
        <v>0.9999999179</v>
      </c>
      <c r="AA2" s="3">
        <f t="shared" si="1"/>
        <v>0.9999998342</v>
      </c>
      <c r="AC2" s="6">
        <v>252.0</v>
      </c>
    </row>
    <row r="3" ht="14.25" customHeight="1">
      <c r="A3" s="3" t="s">
        <v>136</v>
      </c>
      <c r="B3" s="3" t="s">
        <v>137</v>
      </c>
      <c r="C3" s="3" t="s">
        <v>128</v>
      </c>
      <c r="D3" s="3" t="s">
        <v>29</v>
      </c>
      <c r="E3" s="3">
        <v>45.0</v>
      </c>
      <c r="F3" s="3" t="s">
        <v>27</v>
      </c>
      <c r="G3" s="3">
        <v>41.7</v>
      </c>
      <c r="I3" s="3">
        <v>45.35</v>
      </c>
      <c r="K3" s="3">
        <v>0.0</v>
      </c>
      <c r="L3" s="3">
        <v>0.0</v>
      </c>
      <c r="M3" s="3" t="s">
        <v>31</v>
      </c>
      <c r="N3" s="3">
        <v>1.0</v>
      </c>
      <c r="O3" s="3">
        <v>0.0</v>
      </c>
      <c r="P3" s="3">
        <v>-0.1361</v>
      </c>
      <c r="Q3" s="3">
        <v>0.0</v>
      </c>
      <c r="R3" s="3">
        <v>0.1631</v>
      </c>
      <c r="S3" s="3">
        <v>88.550003</v>
      </c>
      <c r="T3" s="3">
        <v>74.0</v>
      </c>
      <c r="U3" s="3">
        <f t="shared" si="2"/>
        <v>43.525</v>
      </c>
      <c r="V3" s="3"/>
      <c r="W3" s="3">
        <f t="shared" si="3"/>
        <v>43.55925205</v>
      </c>
      <c r="X3" s="3">
        <f t="shared" si="4"/>
        <v>7.705271183</v>
      </c>
      <c r="Y3" s="3">
        <f t="shared" si="5"/>
        <v>7.616888018</v>
      </c>
      <c r="Z3" s="3">
        <f t="shared" ref="Z3:AA3" si="6">_xlfn.NORM.S.DIST(X3)</f>
        <v>1</v>
      </c>
      <c r="AA3" s="3">
        <f t="shared" si="6"/>
        <v>1</v>
      </c>
    </row>
    <row r="4" ht="14.25" customHeight="1">
      <c r="A4" s="3" t="s">
        <v>136</v>
      </c>
      <c r="B4" s="3" t="s">
        <v>137</v>
      </c>
      <c r="C4" s="3" t="s">
        <v>128</v>
      </c>
      <c r="D4" s="3" t="s">
        <v>29</v>
      </c>
      <c r="E4" s="3">
        <v>45.0</v>
      </c>
      <c r="F4" s="3" t="s">
        <v>27</v>
      </c>
      <c r="G4" s="3">
        <v>41.6</v>
      </c>
      <c r="I4" s="3">
        <v>45.85</v>
      </c>
      <c r="K4" s="3">
        <v>0.0</v>
      </c>
      <c r="L4" s="3">
        <v>0.0</v>
      </c>
      <c r="M4" s="3" t="s">
        <v>32</v>
      </c>
      <c r="N4" s="3">
        <v>0.9972</v>
      </c>
      <c r="O4" s="3">
        <v>0.0</v>
      </c>
      <c r="P4" s="3">
        <v>0.7401</v>
      </c>
      <c r="Q4" s="3">
        <v>0.0</v>
      </c>
      <c r="R4" s="3">
        <v>0.1884</v>
      </c>
      <c r="S4" s="3">
        <v>88.959999</v>
      </c>
      <c r="T4" s="3">
        <v>73.0</v>
      </c>
      <c r="U4" s="3">
        <f t="shared" si="2"/>
        <v>43.725</v>
      </c>
      <c r="V4" s="3"/>
      <c r="W4" s="3">
        <f t="shared" si="3"/>
        <v>43.96912307</v>
      </c>
      <c r="X4" s="3">
        <f t="shared" si="4"/>
        <v>6.773783975</v>
      </c>
      <c r="Y4" s="3">
        <f t="shared" si="5"/>
        <v>6.672383017</v>
      </c>
      <c r="Z4" s="3">
        <f t="shared" ref="Z4:AA4" si="7">_xlfn.NORM.S.DIST(X4)</f>
        <v>1</v>
      </c>
      <c r="AA4" s="3">
        <f t="shared" si="7"/>
        <v>1</v>
      </c>
    </row>
    <row r="5" ht="14.25" customHeight="1">
      <c r="A5" s="3" t="s">
        <v>136</v>
      </c>
      <c r="B5" s="3" t="s">
        <v>137</v>
      </c>
      <c r="C5" s="3" t="s">
        <v>128</v>
      </c>
      <c r="D5" s="3" t="s">
        <v>29</v>
      </c>
      <c r="E5" s="3">
        <v>45.0</v>
      </c>
      <c r="F5" s="3" t="s">
        <v>27</v>
      </c>
      <c r="G5" s="3">
        <v>40.9</v>
      </c>
      <c r="I5" s="3">
        <v>44.85</v>
      </c>
      <c r="K5" s="3">
        <v>0.0</v>
      </c>
      <c r="L5" s="3">
        <v>0.0</v>
      </c>
      <c r="M5" s="3" t="s">
        <v>33</v>
      </c>
      <c r="N5" s="3">
        <v>0.9971</v>
      </c>
      <c r="O5" s="3">
        <v>0.0</v>
      </c>
      <c r="P5" s="3">
        <v>0.7673</v>
      </c>
      <c r="Q5" s="3">
        <v>0.0</v>
      </c>
      <c r="R5" s="3">
        <v>0.2249</v>
      </c>
      <c r="S5" s="3">
        <v>87.93</v>
      </c>
      <c r="T5" s="3">
        <v>72.0</v>
      </c>
      <c r="U5" s="3">
        <f t="shared" si="2"/>
        <v>42.875</v>
      </c>
      <c r="V5" s="3"/>
      <c r="W5" s="3">
        <f t="shared" si="3"/>
        <v>42.93899912</v>
      </c>
      <c r="X5" s="3">
        <f t="shared" si="4"/>
        <v>5.634149672</v>
      </c>
      <c r="Y5" s="3">
        <f t="shared" si="5"/>
        <v>5.513935565</v>
      </c>
      <c r="Z5" s="3">
        <f t="shared" ref="Z5:AA5" si="8">_xlfn.NORM.S.DIST(X5)</f>
        <v>0.9999999912</v>
      </c>
      <c r="AA5" s="3">
        <f t="shared" si="8"/>
        <v>0.9999999825</v>
      </c>
    </row>
    <row r="6" ht="14.25" customHeight="1">
      <c r="A6" s="3" t="s">
        <v>136</v>
      </c>
      <c r="B6" s="3" t="s">
        <v>137</v>
      </c>
      <c r="C6" s="3" t="s">
        <v>128</v>
      </c>
      <c r="D6" s="3" t="s">
        <v>29</v>
      </c>
      <c r="E6" s="3">
        <v>45.0</v>
      </c>
      <c r="F6" s="3" t="s">
        <v>27</v>
      </c>
      <c r="G6" s="3">
        <v>40.95</v>
      </c>
      <c r="I6" s="3">
        <v>45.0</v>
      </c>
      <c r="K6" s="3">
        <v>0.0</v>
      </c>
      <c r="L6" s="3">
        <v>0.0</v>
      </c>
      <c r="M6" s="3" t="s">
        <v>34</v>
      </c>
      <c r="N6" s="3">
        <v>0.9943</v>
      </c>
      <c r="O6" s="3">
        <v>0.0</v>
      </c>
      <c r="P6" s="3">
        <v>1.6767</v>
      </c>
      <c r="Q6" s="3">
        <v>2.0E-4</v>
      </c>
      <c r="R6" s="3">
        <v>0.2766</v>
      </c>
      <c r="S6" s="3">
        <v>88.480003</v>
      </c>
      <c r="T6" s="3">
        <v>71.0</v>
      </c>
      <c r="U6" s="3">
        <f t="shared" si="2"/>
        <v>42.975</v>
      </c>
      <c r="V6" s="3"/>
      <c r="W6" s="3">
        <f t="shared" si="3"/>
        <v>43.48888091</v>
      </c>
      <c r="X6" s="3">
        <f t="shared" si="4"/>
        <v>4.67985087</v>
      </c>
      <c r="Y6" s="3">
        <f t="shared" si="5"/>
        <v>4.533032269</v>
      </c>
      <c r="Z6" s="3">
        <f t="shared" ref="Z6:AA6" si="9">_xlfn.NORM.S.DIST(X6)</f>
        <v>0.9999985646</v>
      </c>
      <c r="AA6" s="3">
        <f t="shared" si="9"/>
        <v>0.9999970929</v>
      </c>
    </row>
    <row r="7" ht="14.25" customHeight="1">
      <c r="A7" s="3" t="s">
        <v>136</v>
      </c>
      <c r="B7" s="3" t="s">
        <v>137</v>
      </c>
      <c r="C7" s="3" t="s">
        <v>128</v>
      </c>
      <c r="D7" s="3" t="s">
        <v>29</v>
      </c>
      <c r="E7" s="3">
        <v>45.0</v>
      </c>
      <c r="F7" s="3" t="s">
        <v>27</v>
      </c>
      <c r="G7" s="3">
        <v>40.85</v>
      </c>
      <c r="I7" s="3">
        <v>44.8</v>
      </c>
      <c r="K7" s="3">
        <v>0.0</v>
      </c>
      <c r="L7" s="3">
        <v>0.0</v>
      </c>
      <c r="M7" s="3" t="s">
        <v>35</v>
      </c>
      <c r="N7" s="3">
        <v>0.997</v>
      </c>
      <c r="O7" s="3">
        <v>0.0</v>
      </c>
      <c r="P7" s="3">
        <v>0.8186</v>
      </c>
      <c r="Q7" s="3">
        <v>0.0</v>
      </c>
      <c r="R7" s="3">
        <v>0.215</v>
      </c>
      <c r="S7" s="3">
        <v>88.139999</v>
      </c>
      <c r="T7" s="3">
        <v>70.0</v>
      </c>
      <c r="U7" s="3">
        <f t="shared" si="2"/>
        <v>42.825</v>
      </c>
      <c r="V7" s="3"/>
      <c r="W7" s="3">
        <f t="shared" si="3"/>
        <v>43.14874815</v>
      </c>
      <c r="X7" s="3">
        <f t="shared" si="4"/>
        <v>5.991076594</v>
      </c>
      <c r="Y7" s="3">
        <f t="shared" si="5"/>
        <v>5.877761644</v>
      </c>
      <c r="Z7" s="3">
        <f t="shared" ref="Z7:AA7" si="10">_xlfn.NORM.S.DIST(X7)</f>
        <v>0.999999999</v>
      </c>
      <c r="AA7" s="3">
        <f t="shared" si="10"/>
        <v>0.9999999979</v>
      </c>
    </row>
    <row r="8" ht="14.25" customHeight="1">
      <c r="A8" s="3" t="s">
        <v>136</v>
      </c>
      <c r="B8" s="3" t="s">
        <v>137</v>
      </c>
      <c r="C8" s="3" t="s">
        <v>128</v>
      </c>
      <c r="D8" s="3" t="s">
        <v>29</v>
      </c>
      <c r="E8" s="3">
        <v>45.0</v>
      </c>
      <c r="F8" s="3" t="s">
        <v>27</v>
      </c>
      <c r="G8" s="3">
        <v>42.0</v>
      </c>
      <c r="I8" s="3">
        <v>45.95</v>
      </c>
      <c r="K8" s="3">
        <v>0.0</v>
      </c>
      <c r="L8" s="3">
        <v>0.0</v>
      </c>
      <c r="M8" s="3" t="s">
        <v>36</v>
      </c>
      <c r="N8" s="3">
        <v>0.9876</v>
      </c>
      <c r="O8" s="3">
        <v>7.0E-4</v>
      </c>
      <c r="P8" s="3">
        <v>0.9524</v>
      </c>
      <c r="Q8" s="3">
        <v>0.8374</v>
      </c>
      <c r="R8" s="3">
        <v>0.5548</v>
      </c>
      <c r="S8" s="3">
        <v>89.099998</v>
      </c>
      <c r="T8" s="3">
        <v>69.0</v>
      </c>
      <c r="U8" s="3">
        <f t="shared" si="2"/>
        <v>43.975</v>
      </c>
      <c r="V8" s="3"/>
      <c r="W8" s="3">
        <f t="shared" si="3"/>
        <v>44.16557342</v>
      </c>
      <c r="X8" s="3">
        <f t="shared" si="4"/>
        <v>2.498812681</v>
      </c>
      <c r="Y8" s="3">
        <f t="shared" si="5"/>
        <v>2.208503529</v>
      </c>
      <c r="Z8" s="3">
        <f t="shared" ref="Z8:AA8" si="11">_xlfn.NORM.S.DIST(X8)</f>
        <v>0.9937694921</v>
      </c>
      <c r="AA8" s="3">
        <f t="shared" si="11"/>
        <v>0.986395404</v>
      </c>
    </row>
    <row r="9" ht="14.25" customHeight="1">
      <c r="A9" s="3" t="s">
        <v>136</v>
      </c>
      <c r="B9" s="3" t="s">
        <v>137</v>
      </c>
      <c r="C9" s="3" t="s">
        <v>128</v>
      </c>
      <c r="D9" s="3" t="s">
        <v>29</v>
      </c>
      <c r="E9" s="3">
        <v>45.0</v>
      </c>
      <c r="F9" s="3" t="s">
        <v>27</v>
      </c>
      <c r="G9" s="3">
        <v>42.85</v>
      </c>
      <c r="I9" s="3">
        <v>45.95</v>
      </c>
      <c r="K9" s="3">
        <v>0.0</v>
      </c>
      <c r="L9" s="3">
        <v>0.0</v>
      </c>
      <c r="M9" s="3" t="s">
        <v>37</v>
      </c>
      <c r="N9" s="3">
        <v>0.9942</v>
      </c>
      <c r="O9" s="3">
        <v>0.0</v>
      </c>
      <c r="P9" s="3">
        <v>1.799</v>
      </c>
      <c r="Q9" s="3">
        <v>0.0011</v>
      </c>
      <c r="R9" s="3">
        <v>0.3056</v>
      </c>
      <c r="S9" s="3">
        <v>89.610001</v>
      </c>
      <c r="T9" s="3">
        <v>68.0</v>
      </c>
      <c r="U9" s="3">
        <f t="shared" si="2"/>
        <v>44.4</v>
      </c>
      <c r="V9" s="3"/>
      <c r="W9" s="3">
        <f t="shared" si="3"/>
        <v>44.61851527</v>
      </c>
      <c r="X9" s="3">
        <f t="shared" si="4"/>
        <v>4.41955128</v>
      </c>
      <c r="Y9" s="3">
        <f t="shared" si="5"/>
        <v>4.260803546</v>
      </c>
      <c r="Z9" s="3">
        <f t="shared" ref="Z9:AA9" si="12">_xlfn.NORM.S.DIST(X9)</f>
        <v>0.9999950547</v>
      </c>
      <c r="AA9" s="3">
        <f t="shared" si="12"/>
        <v>0.9999898153</v>
      </c>
    </row>
    <row r="10" ht="14.25" customHeight="1">
      <c r="A10" s="3" t="s">
        <v>136</v>
      </c>
      <c r="B10" s="3" t="s">
        <v>137</v>
      </c>
      <c r="C10" s="3" t="s">
        <v>128</v>
      </c>
      <c r="D10" s="3" t="s">
        <v>29</v>
      </c>
      <c r="E10" s="3">
        <v>45.0</v>
      </c>
      <c r="F10" s="3" t="s">
        <v>27</v>
      </c>
      <c r="G10" s="3">
        <v>42.85</v>
      </c>
      <c r="I10" s="3">
        <v>46.05</v>
      </c>
      <c r="K10" s="3">
        <v>0.0</v>
      </c>
      <c r="L10" s="3">
        <v>0.0</v>
      </c>
      <c r="M10" s="3" t="s">
        <v>38</v>
      </c>
      <c r="N10" s="3">
        <v>0.9879</v>
      </c>
      <c r="O10" s="3">
        <v>7.0E-4</v>
      </c>
      <c r="P10" s="3">
        <v>0.969</v>
      </c>
      <c r="Q10" s="3">
        <v>0.8083</v>
      </c>
      <c r="R10" s="3">
        <v>0.5692</v>
      </c>
      <c r="S10" s="3">
        <v>89.580002</v>
      </c>
      <c r="T10" s="3">
        <v>67.0</v>
      </c>
      <c r="U10" s="3">
        <f t="shared" si="2"/>
        <v>44.45</v>
      </c>
      <c r="V10" s="3"/>
      <c r="W10" s="3">
        <f t="shared" si="3"/>
        <v>44.64735706</v>
      </c>
      <c r="X10" s="3">
        <f t="shared" si="4"/>
        <v>2.493137623</v>
      </c>
      <c r="Y10" s="3">
        <f t="shared" si="5"/>
        <v>2.199641734</v>
      </c>
      <c r="Z10" s="3">
        <f t="shared" ref="Z10:AA10" si="13">_xlfn.NORM.S.DIST(X10)</f>
        <v>0.9936690121</v>
      </c>
      <c r="AA10" s="3">
        <f t="shared" si="13"/>
        <v>0.9860838381</v>
      </c>
    </row>
    <row r="11" ht="14.25" customHeight="1">
      <c r="A11" s="3" t="s">
        <v>136</v>
      </c>
      <c r="B11" s="3" t="s">
        <v>137</v>
      </c>
      <c r="C11" s="3" t="s">
        <v>128</v>
      </c>
      <c r="D11" s="3" t="s">
        <v>29</v>
      </c>
      <c r="E11" s="3">
        <v>45.0</v>
      </c>
      <c r="F11" s="3" t="s">
        <v>27</v>
      </c>
      <c r="G11" s="3">
        <v>42.95</v>
      </c>
      <c r="I11" s="3">
        <v>46.05</v>
      </c>
      <c r="K11" s="3">
        <v>0.0</v>
      </c>
      <c r="L11" s="3">
        <v>0.0</v>
      </c>
      <c r="M11" s="3" t="s">
        <v>39</v>
      </c>
      <c r="N11" s="3">
        <v>0.9942</v>
      </c>
      <c r="O11" s="3">
        <v>0.0</v>
      </c>
      <c r="P11" s="3">
        <v>1.8639</v>
      </c>
      <c r="Q11" s="3">
        <v>0.0</v>
      </c>
      <c r="R11" s="3">
        <v>0.1951</v>
      </c>
      <c r="S11" s="3">
        <v>89.529999</v>
      </c>
      <c r="T11" s="3">
        <v>66.0</v>
      </c>
      <c r="U11" s="3">
        <f t="shared" si="2"/>
        <v>44.5</v>
      </c>
      <c r="V11" s="3"/>
      <c r="W11" s="3">
        <f t="shared" si="3"/>
        <v>44.53824824</v>
      </c>
      <c r="X11" s="3">
        <f t="shared" si="4"/>
        <v>6.941508818</v>
      </c>
      <c r="Y11" s="3">
        <f t="shared" si="5"/>
        <v>6.84166321</v>
      </c>
      <c r="Z11" s="3">
        <f t="shared" ref="Z11:AA11" si="14">_xlfn.NORM.S.DIST(X11)</f>
        <v>1</v>
      </c>
      <c r="AA11" s="3">
        <f t="shared" si="14"/>
        <v>1</v>
      </c>
    </row>
    <row r="12" ht="14.25" customHeight="1">
      <c r="A12" s="3" t="s">
        <v>136</v>
      </c>
      <c r="B12" s="3" t="s">
        <v>137</v>
      </c>
      <c r="C12" s="3" t="s">
        <v>128</v>
      </c>
      <c r="D12" s="3" t="s">
        <v>29</v>
      </c>
      <c r="E12" s="3">
        <v>45.0</v>
      </c>
      <c r="F12" s="3" t="s">
        <v>27</v>
      </c>
      <c r="G12" s="3">
        <v>42.5</v>
      </c>
      <c r="I12" s="3">
        <v>45.95</v>
      </c>
      <c r="K12" s="3">
        <v>0.0</v>
      </c>
      <c r="L12" s="3">
        <v>0.0</v>
      </c>
      <c r="M12" s="3" t="s">
        <v>40</v>
      </c>
      <c r="N12" s="3">
        <v>0.9942</v>
      </c>
      <c r="O12" s="3">
        <v>0.0</v>
      </c>
      <c r="P12" s="3">
        <v>1.8931</v>
      </c>
      <c r="Q12" s="3">
        <v>0.0011</v>
      </c>
      <c r="R12" s="3">
        <v>0.3133</v>
      </c>
      <c r="S12" s="3">
        <v>89.470001</v>
      </c>
      <c r="T12" s="3">
        <v>65.0</v>
      </c>
      <c r="U12" s="3">
        <f t="shared" si="2"/>
        <v>44.225</v>
      </c>
      <c r="V12" s="3"/>
      <c r="W12" s="3">
        <f t="shared" si="3"/>
        <v>44.47814186</v>
      </c>
      <c r="X12" s="3">
        <f t="shared" si="4"/>
        <v>4.399782658</v>
      </c>
      <c r="Y12" s="3">
        <f t="shared" si="5"/>
        <v>4.240665578</v>
      </c>
      <c r="Z12" s="3">
        <f t="shared" ref="Z12:AA12" si="15">_xlfn.NORM.S.DIST(X12)</f>
        <v>0.999994582</v>
      </c>
      <c r="AA12" s="3">
        <f t="shared" si="15"/>
        <v>0.9999888571</v>
      </c>
    </row>
    <row r="13" ht="14.25" customHeight="1">
      <c r="A13" s="3" t="s">
        <v>136</v>
      </c>
      <c r="B13" s="3" t="s">
        <v>137</v>
      </c>
      <c r="C13" s="3" t="s">
        <v>128</v>
      </c>
      <c r="D13" s="3" t="s">
        <v>29</v>
      </c>
      <c r="E13" s="3">
        <v>45.0</v>
      </c>
      <c r="F13" s="3" t="s">
        <v>27</v>
      </c>
      <c r="G13" s="3">
        <v>43.6</v>
      </c>
      <c r="I13" s="3">
        <v>47.15</v>
      </c>
      <c r="K13" s="3">
        <v>0.0</v>
      </c>
      <c r="L13" s="3">
        <v>0.0</v>
      </c>
      <c r="M13" s="3" t="s">
        <v>41</v>
      </c>
      <c r="N13" s="3">
        <v>0.9542</v>
      </c>
      <c r="O13" s="3">
        <v>0.0021</v>
      </c>
      <c r="P13" s="3">
        <v>-5.0755</v>
      </c>
      <c r="Q13" s="3">
        <v>3.8985</v>
      </c>
      <c r="R13" s="3">
        <v>0.9016</v>
      </c>
      <c r="S13" s="3">
        <v>90.199997</v>
      </c>
      <c r="T13" s="3">
        <v>64.0</v>
      </c>
      <c r="U13" s="3">
        <f t="shared" si="2"/>
        <v>45.375</v>
      </c>
      <c r="V13" s="3"/>
      <c r="W13" s="3">
        <f t="shared" si="3"/>
        <v>45.98376071</v>
      </c>
      <c r="X13" s="3">
        <f t="shared" si="4"/>
        <v>1.757992283</v>
      </c>
      <c r="Y13" s="3">
        <f t="shared" si="5"/>
        <v>1.303628591</v>
      </c>
      <c r="Z13" s="3">
        <f t="shared" ref="Z13:AA13" si="16">_xlfn.NORM.S.DIST(X13)</f>
        <v>0.9606255888</v>
      </c>
      <c r="AA13" s="3">
        <f t="shared" si="16"/>
        <v>0.9038198763</v>
      </c>
    </row>
    <row r="14" ht="14.25" customHeight="1">
      <c r="A14" s="3" t="s">
        <v>136</v>
      </c>
      <c r="B14" s="3" t="s">
        <v>137</v>
      </c>
      <c r="C14" s="3" t="s">
        <v>128</v>
      </c>
      <c r="D14" s="3" t="s">
        <v>29</v>
      </c>
      <c r="E14" s="3">
        <v>45.0</v>
      </c>
      <c r="F14" s="3" t="s">
        <v>27</v>
      </c>
      <c r="G14" s="3">
        <v>43.95</v>
      </c>
      <c r="I14" s="3">
        <v>46.95</v>
      </c>
      <c r="K14" s="3">
        <v>0.0</v>
      </c>
      <c r="L14" s="3">
        <v>0.0</v>
      </c>
      <c r="M14" s="3" t="s">
        <v>42</v>
      </c>
      <c r="N14" s="3">
        <v>0.994</v>
      </c>
      <c r="O14" s="3">
        <v>0.0</v>
      </c>
      <c r="P14" s="3">
        <v>2.0232</v>
      </c>
      <c r="Q14" s="3">
        <v>0.0</v>
      </c>
      <c r="R14" s="3">
        <v>0.2004</v>
      </c>
      <c r="S14" s="3">
        <v>90.800003</v>
      </c>
      <c r="T14" s="3">
        <v>63.0</v>
      </c>
      <c r="U14" s="3">
        <f t="shared" si="2"/>
        <v>45.45</v>
      </c>
      <c r="V14" s="3"/>
      <c r="W14" s="3">
        <f t="shared" si="3"/>
        <v>45.80787731</v>
      </c>
      <c r="X14" s="3">
        <f t="shared" si="4"/>
        <v>7.057802883</v>
      </c>
      <c r="Y14" s="3">
        <f t="shared" si="5"/>
        <v>6.957602883</v>
      </c>
      <c r="Z14" s="3">
        <f t="shared" ref="Z14:AA14" si="17">_xlfn.NORM.S.DIST(X14)</f>
        <v>1</v>
      </c>
      <c r="AA14" s="3">
        <f t="shared" si="17"/>
        <v>1</v>
      </c>
    </row>
    <row r="15" ht="14.25" customHeight="1">
      <c r="A15" s="3" t="s">
        <v>136</v>
      </c>
      <c r="B15" s="3" t="s">
        <v>137</v>
      </c>
      <c r="C15" s="3" t="s">
        <v>128</v>
      </c>
      <c r="D15" s="3" t="s">
        <v>29</v>
      </c>
      <c r="E15" s="3">
        <v>45.0</v>
      </c>
      <c r="F15" s="3" t="s">
        <v>27</v>
      </c>
      <c r="G15" s="3">
        <v>43.6</v>
      </c>
      <c r="I15" s="3">
        <v>47.5</v>
      </c>
      <c r="K15" s="3">
        <v>0.0</v>
      </c>
      <c r="L15" s="3">
        <v>0.0</v>
      </c>
      <c r="M15" s="3" t="s">
        <v>43</v>
      </c>
      <c r="N15" s="3">
        <v>0.9941</v>
      </c>
      <c r="O15" s="3">
        <v>0.0</v>
      </c>
      <c r="P15" s="3">
        <v>2.0804</v>
      </c>
      <c r="Q15" s="3">
        <v>0.0088</v>
      </c>
      <c r="R15" s="3">
        <v>0.3749</v>
      </c>
      <c r="S15" s="3">
        <v>90.919998</v>
      </c>
      <c r="T15" s="3">
        <v>62.0</v>
      </c>
      <c r="U15" s="3">
        <f t="shared" si="2"/>
        <v>45.55</v>
      </c>
      <c r="V15" s="3"/>
      <c r="W15" s="3">
        <f t="shared" si="3"/>
        <v>45.92796402</v>
      </c>
      <c r="X15" s="3">
        <f t="shared" si="4"/>
        <v>3.876068706</v>
      </c>
      <c r="Y15" s="3">
        <f t="shared" si="5"/>
        <v>3.690112355</v>
      </c>
      <c r="Z15" s="3">
        <f t="shared" ref="Z15:AA15" si="18">_xlfn.NORM.S.DIST(X15)</f>
        <v>0.9999469211</v>
      </c>
      <c r="AA15" s="3">
        <f t="shared" si="18"/>
        <v>0.9998879225</v>
      </c>
    </row>
    <row r="16" ht="14.25" customHeight="1">
      <c r="A16" s="3" t="s">
        <v>136</v>
      </c>
      <c r="B16" s="3" t="s">
        <v>137</v>
      </c>
      <c r="C16" s="3" t="s">
        <v>128</v>
      </c>
      <c r="D16" s="3" t="s">
        <v>29</v>
      </c>
      <c r="E16" s="3">
        <v>45.0</v>
      </c>
      <c r="F16" s="3" t="s">
        <v>27</v>
      </c>
      <c r="G16" s="3">
        <v>43.5</v>
      </c>
      <c r="I16" s="3">
        <v>47.7</v>
      </c>
      <c r="K16" s="3">
        <v>0.0</v>
      </c>
      <c r="L16" s="3">
        <v>0.0</v>
      </c>
      <c r="M16" s="3" t="s">
        <v>44</v>
      </c>
      <c r="N16" s="3">
        <v>0.9942</v>
      </c>
      <c r="O16" s="3">
        <v>0.0</v>
      </c>
      <c r="P16" s="3">
        <v>2.075</v>
      </c>
      <c r="Q16" s="3">
        <v>0.001</v>
      </c>
      <c r="R16" s="3">
        <v>0.3304</v>
      </c>
      <c r="S16" s="3">
        <v>90.699997</v>
      </c>
      <c r="T16" s="3">
        <v>61.0</v>
      </c>
      <c r="U16" s="3">
        <f t="shared" si="2"/>
        <v>45.6</v>
      </c>
      <c r="V16" s="3"/>
      <c r="W16" s="3">
        <f t="shared" si="3"/>
        <v>45.70763904</v>
      </c>
      <c r="X16" s="3">
        <f t="shared" si="4"/>
        <v>4.394017088</v>
      </c>
      <c r="Y16" s="3">
        <f t="shared" si="5"/>
        <v>4.231460459</v>
      </c>
      <c r="Z16" s="3">
        <f t="shared" ref="Z16:AA16" si="19">_xlfn.NORM.S.DIST(X16)</f>
        <v>0.9999944362</v>
      </c>
      <c r="AA16" s="3">
        <f t="shared" si="19"/>
        <v>0.9999883911</v>
      </c>
    </row>
    <row r="17" ht="14.25" customHeight="1">
      <c r="A17" s="3" t="s">
        <v>136</v>
      </c>
      <c r="B17" s="3" t="s">
        <v>137</v>
      </c>
      <c r="C17" s="3" t="s">
        <v>128</v>
      </c>
      <c r="D17" s="3" t="s">
        <v>29</v>
      </c>
      <c r="E17" s="3">
        <v>45.0</v>
      </c>
      <c r="F17" s="3" t="s">
        <v>27</v>
      </c>
      <c r="G17" s="3">
        <v>44.5</v>
      </c>
      <c r="I17" s="3">
        <v>48.35</v>
      </c>
      <c r="K17" s="3">
        <v>0.0</v>
      </c>
      <c r="L17" s="3">
        <v>0.0</v>
      </c>
      <c r="M17" s="3" t="s">
        <v>45</v>
      </c>
      <c r="N17" s="3">
        <v>1.0</v>
      </c>
      <c r="O17" s="3">
        <v>0.0</v>
      </c>
      <c r="P17" s="3">
        <v>-0.1362</v>
      </c>
      <c r="Q17" s="3">
        <v>0.0</v>
      </c>
      <c r="R17" s="3">
        <v>0.1215</v>
      </c>
      <c r="S17" s="3">
        <v>91.349998</v>
      </c>
      <c r="T17" s="3">
        <v>60.0</v>
      </c>
      <c r="U17" s="3">
        <f t="shared" si="2"/>
        <v>46.425</v>
      </c>
      <c r="V17" s="3"/>
      <c r="W17" s="3">
        <f t="shared" si="3"/>
        <v>46.35749738</v>
      </c>
      <c r="X17" s="3">
        <f t="shared" si="4"/>
        <v>11.9751829</v>
      </c>
      <c r="Y17" s="3">
        <f t="shared" si="5"/>
        <v>11.91589697</v>
      </c>
      <c r="Z17" s="3">
        <f t="shared" ref="Z17:AA17" si="20">_xlfn.NORM.S.DIST(X17)</f>
        <v>1</v>
      </c>
      <c r="AA17" s="3">
        <f t="shared" si="20"/>
        <v>1</v>
      </c>
    </row>
    <row r="18" ht="14.25" customHeight="1">
      <c r="A18" s="3" t="s">
        <v>136</v>
      </c>
      <c r="B18" s="3" t="s">
        <v>137</v>
      </c>
      <c r="C18" s="3" t="s">
        <v>128</v>
      </c>
      <c r="D18" s="3" t="s">
        <v>29</v>
      </c>
      <c r="E18" s="3">
        <v>45.0</v>
      </c>
      <c r="F18" s="3" t="s">
        <v>27</v>
      </c>
      <c r="G18" s="3">
        <v>44.3</v>
      </c>
      <c r="I18" s="3">
        <v>48.5</v>
      </c>
      <c r="K18" s="3">
        <v>0.0</v>
      </c>
      <c r="L18" s="3">
        <v>0.0</v>
      </c>
      <c r="M18" s="3" t="s">
        <v>46</v>
      </c>
      <c r="N18" s="3">
        <v>0.9974</v>
      </c>
      <c r="O18" s="3">
        <v>0.0</v>
      </c>
      <c r="P18" s="3">
        <v>0.9099</v>
      </c>
      <c r="Q18" s="3">
        <v>0.0</v>
      </c>
      <c r="R18" s="3">
        <v>0.1637</v>
      </c>
      <c r="S18" s="3">
        <v>91.730003</v>
      </c>
      <c r="T18" s="3">
        <v>59.0</v>
      </c>
      <c r="U18" s="3">
        <f t="shared" si="2"/>
        <v>46.4</v>
      </c>
      <c r="V18" s="3"/>
      <c r="W18" s="3">
        <f t="shared" si="3"/>
        <v>46.7373774</v>
      </c>
      <c r="X18" s="3">
        <f t="shared" si="4"/>
        <v>9.032914605</v>
      </c>
      <c r="Y18" s="3">
        <f t="shared" si="5"/>
        <v>8.953705626</v>
      </c>
      <c r="Z18" s="3">
        <f t="shared" ref="Z18:AA18" si="21">_xlfn.NORM.S.DIST(X18)</f>
        <v>1</v>
      </c>
      <c r="AA18" s="3">
        <f t="shared" si="21"/>
        <v>1</v>
      </c>
    </row>
    <row r="19" ht="14.25" customHeight="1">
      <c r="A19" s="3" t="s">
        <v>136</v>
      </c>
      <c r="B19" s="3" t="s">
        <v>137</v>
      </c>
      <c r="C19" s="3" t="s">
        <v>128</v>
      </c>
      <c r="D19" s="3" t="s">
        <v>29</v>
      </c>
      <c r="E19" s="3">
        <v>45.0</v>
      </c>
      <c r="F19" s="3" t="s">
        <v>27</v>
      </c>
      <c r="G19" s="3">
        <v>44.0</v>
      </c>
      <c r="I19" s="3">
        <v>47.75</v>
      </c>
      <c r="K19" s="3">
        <v>0.0</v>
      </c>
      <c r="L19" s="3">
        <v>0.0</v>
      </c>
      <c r="M19" s="3" t="s">
        <v>47</v>
      </c>
      <c r="N19" s="3">
        <v>0.9977</v>
      </c>
      <c r="O19" s="3">
        <v>0.0</v>
      </c>
      <c r="P19" s="3">
        <v>0.8132</v>
      </c>
      <c r="Q19" s="3">
        <v>0.0</v>
      </c>
      <c r="R19" s="3">
        <v>0.1915</v>
      </c>
      <c r="S19" s="3">
        <v>91.110001</v>
      </c>
      <c r="T19" s="3">
        <v>58.0</v>
      </c>
      <c r="U19" s="3">
        <f t="shared" si="2"/>
        <v>45.875</v>
      </c>
      <c r="V19" s="3"/>
      <c r="W19" s="3">
        <f t="shared" si="3"/>
        <v>46.11725042</v>
      </c>
      <c r="X19" s="3">
        <f t="shared" si="4"/>
        <v>7.72583059</v>
      </c>
      <c r="Y19" s="3">
        <f t="shared" si="5"/>
        <v>7.633958731</v>
      </c>
      <c r="Z19" s="3">
        <f t="shared" ref="Z19:AA19" si="22">_xlfn.NORM.S.DIST(X19)</f>
        <v>1</v>
      </c>
      <c r="AA19" s="3">
        <f t="shared" si="22"/>
        <v>1</v>
      </c>
    </row>
    <row r="20" ht="14.25" customHeight="1">
      <c r="A20" s="3" t="s">
        <v>136</v>
      </c>
      <c r="B20" s="3" t="s">
        <v>137</v>
      </c>
      <c r="C20" s="3" t="s">
        <v>128</v>
      </c>
      <c r="D20" s="3" t="s">
        <v>29</v>
      </c>
      <c r="E20" s="3">
        <v>45.0</v>
      </c>
      <c r="F20" s="3" t="s">
        <v>27</v>
      </c>
      <c r="G20" s="3">
        <v>45.05</v>
      </c>
      <c r="I20" s="3">
        <v>48.45</v>
      </c>
      <c r="K20" s="3">
        <v>0.0</v>
      </c>
      <c r="L20" s="3">
        <v>0.0</v>
      </c>
      <c r="M20" s="3" t="s">
        <v>48</v>
      </c>
      <c r="N20" s="3">
        <v>0.9954</v>
      </c>
      <c r="O20" s="3">
        <v>0.0</v>
      </c>
      <c r="P20" s="3">
        <v>1.7718</v>
      </c>
      <c r="Q20" s="3">
        <v>0.0</v>
      </c>
      <c r="R20" s="3">
        <v>0.101</v>
      </c>
      <c r="S20" s="3">
        <v>91.760002</v>
      </c>
      <c r="T20" s="3">
        <v>57.0</v>
      </c>
      <c r="U20" s="3">
        <f t="shared" si="2"/>
        <v>46.75</v>
      </c>
      <c r="V20" s="3"/>
      <c r="W20" s="3">
        <f t="shared" si="3"/>
        <v>46.76712644</v>
      </c>
      <c r="X20" s="3">
        <f t="shared" si="4"/>
        <v>14.86051447</v>
      </c>
      <c r="Y20" s="3">
        <f t="shared" si="5"/>
        <v>14.81247939</v>
      </c>
      <c r="Z20" s="3">
        <f t="shared" ref="Z20:AA20" si="23">_xlfn.NORM.S.DIST(X20)</f>
        <v>1</v>
      </c>
      <c r="AA20" s="3">
        <f t="shared" si="23"/>
        <v>1</v>
      </c>
    </row>
    <row r="21" ht="14.25" customHeight="1">
      <c r="A21" s="3" t="s">
        <v>136</v>
      </c>
      <c r="B21" s="3" t="s">
        <v>137</v>
      </c>
      <c r="C21" s="3" t="s">
        <v>128</v>
      </c>
      <c r="D21" s="3" t="s">
        <v>29</v>
      </c>
      <c r="E21" s="3">
        <v>45.0</v>
      </c>
      <c r="F21" s="3" t="s">
        <v>27</v>
      </c>
      <c r="G21" s="3">
        <v>43.9</v>
      </c>
      <c r="I21" s="3">
        <v>47.2</v>
      </c>
      <c r="K21" s="3">
        <v>0.0</v>
      </c>
      <c r="L21" s="3">
        <v>0.0</v>
      </c>
      <c r="M21" s="3" t="s">
        <v>49</v>
      </c>
      <c r="N21" s="3">
        <v>0.9977</v>
      </c>
      <c r="O21" s="3">
        <v>0.0</v>
      </c>
      <c r="P21" s="3">
        <v>0.8087</v>
      </c>
      <c r="Q21" s="3">
        <v>0.0</v>
      </c>
      <c r="R21" s="3">
        <v>0.1907</v>
      </c>
      <c r="S21" s="3">
        <v>90.669998</v>
      </c>
      <c r="T21" s="3">
        <v>56.0</v>
      </c>
      <c r="U21" s="3">
        <f t="shared" si="2"/>
        <v>45.55</v>
      </c>
      <c r="V21" s="3"/>
      <c r="W21" s="3">
        <f t="shared" si="3"/>
        <v>45.67699746</v>
      </c>
      <c r="X21" s="3">
        <f t="shared" si="4"/>
        <v>7.839655876</v>
      </c>
      <c r="Y21" s="3">
        <f t="shared" si="5"/>
        <v>7.749759034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136</v>
      </c>
      <c r="B22" s="3" t="s">
        <v>137</v>
      </c>
      <c r="C22" s="3" t="s">
        <v>128</v>
      </c>
      <c r="D22" s="3" t="s">
        <v>29</v>
      </c>
      <c r="E22" s="3">
        <v>45.0</v>
      </c>
      <c r="F22" s="3" t="s">
        <v>27</v>
      </c>
      <c r="G22" s="3">
        <v>43.0</v>
      </c>
      <c r="I22" s="3">
        <v>47.15</v>
      </c>
      <c r="K22" s="3">
        <v>0.0</v>
      </c>
      <c r="L22" s="3">
        <v>0.0</v>
      </c>
      <c r="M22" s="3" t="s">
        <v>50</v>
      </c>
      <c r="N22" s="3">
        <v>0.9955</v>
      </c>
      <c r="O22" s="3">
        <v>0.0</v>
      </c>
      <c r="P22" s="3">
        <v>1.6764</v>
      </c>
      <c r="Q22" s="3">
        <v>0.0144</v>
      </c>
      <c r="R22" s="3">
        <v>0.4064</v>
      </c>
      <c r="S22" s="3">
        <v>89.970001</v>
      </c>
      <c r="T22" s="3">
        <v>55.0</v>
      </c>
      <c r="U22" s="3">
        <f t="shared" si="2"/>
        <v>45.075</v>
      </c>
      <c r="V22" s="3"/>
      <c r="W22" s="3">
        <f t="shared" si="3"/>
        <v>44.97725918</v>
      </c>
      <c r="X22" s="3">
        <f t="shared" si="4"/>
        <v>3.744801298</v>
      </c>
      <c r="Y22" s="3">
        <f t="shared" si="5"/>
        <v>3.554940731</v>
      </c>
      <c r="Z22" s="3">
        <f t="shared" ref="Z22:AA22" si="25">_xlfn.NORM.S.DIST(X22)</f>
        <v>0.9999097317</v>
      </c>
      <c r="AA22" s="3">
        <f t="shared" si="25"/>
        <v>0.9998109678</v>
      </c>
    </row>
    <row r="23" ht="14.25" customHeight="1">
      <c r="A23" s="3" t="s">
        <v>136</v>
      </c>
      <c r="B23" s="3" t="s">
        <v>137</v>
      </c>
      <c r="C23" s="3" t="s">
        <v>129</v>
      </c>
      <c r="D23" s="3" t="s">
        <v>29</v>
      </c>
      <c r="E23" s="3">
        <v>45.0</v>
      </c>
      <c r="F23" s="3" t="s">
        <v>27</v>
      </c>
      <c r="G23" s="3">
        <v>42.8</v>
      </c>
      <c r="I23" s="3">
        <v>47.0</v>
      </c>
      <c r="K23" s="3">
        <v>0.0</v>
      </c>
      <c r="L23" s="3">
        <v>0.0</v>
      </c>
      <c r="M23" s="3" t="s">
        <v>52</v>
      </c>
      <c r="N23" s="3">
        <v>0.9958</v>
      </c>
      <c r="O23" s="3">
        <v>0.0</v>
      </c>
      <c r="P23" s="3">
        <v>1.6525</v>
      </c>
      <c r="Q23" s="3">
        <v>2.0E-4</v>
      </c>
      <c r="R23" s="3">
        <v>0.3175</v>
      </c>
      <c r="S23" s="3">
        <v>90.040001</v>
      </c>
      <c r="T23" s="3">
        <v>54.0</v>
      </c>
      <c r="U23" s="3">
        <f t="shared" si="2"/>
        <v>44.9</v>
      </c>
      <c r="V23" s="3"/>
      <c r="W23" s="3">
        <f t="shared" si="3"/>
        <v>45.04675265</v>
      </c>
      <c r="X23" s="3">
        <f t="shared" si="4"/>
        <v>4.793653916</v>
      </c>
      <c r="Y23" s="3">
        <f t="shared" si="5"/>
        <v>4.646679975</v>
      </c>
      <c r="Z23" s="3">
        <f t="shared" ref="Z23:AA23" si="26">_xlfn.NORM.S.DIST(X23)</f>
        <v>0.9999991811</v>
      </c>
      <c r="AA23" s="3">
        <f t="shared" si="26"/>
        <v>0.9999983134</v>
      </c>
    </row>
    <row r="24" ht="14.25" customHeight="1">
      <c r="A24" s="3" t="s">
        <v>136</v>
      </c>
      <c r="B24" s="3" t="s">
        <v>137</v>
      </c>
      <c r="C24" s="3" t="s">
        <v>129</v>
      </c>
      <c r="D24" s="3" t="s">
        <v>29</v>
      </c>
      <c r="E24" s="3">
        <v>45.0</v>
      </c>
      <c r="F24" s="3" t="s">
        <v>27</v>
      </c>
      <c r="G24" s="3">
        <v>42.5</v>
      </c>
      <c r="I24" s="3">
        <v>45.95</v>
      </c>
      <c r="K24" s="3">
        <v>0.0</v>
      </c>
      <c r="L24" s="3">
        <v>0.0</v>
      </c>
      <c r="M24" s="3" t="s">
        <v>53</v>
      </c>
      <c r="N24" s="3">
        <v>0.9964</v>
      </c>
      <c r="O24" s="3">
        <v>0.0</v>
      </c>
      <c r="P24" s="3">
        <v>1.4555</v>
      </c>
      <c r="Q24" s="3">
        <v>0.0</v>
      </c>
      <c r="R24" s="3">
        <v>0.1775</v>
      </c>
      <c r="S24" s="3">
        <v>89.150002</v>
      </c>
      <c r="T24" s="3">
        <v>53.0</v>
      </c>
      <c r="U24" s="3">
        <f t="shared" si="2"/>
        <v>44.225</v>
      </c>
      <c r="V24" s="3"/>
      <c r="W24" s="3">
        <f t="shared" si="3"/>
        <v>44.15662651</v>
      </c>
      <c r="X24" s="3">
        <f t="shared" si="4"/>
        <v>8.44103043</v>
      </c>
      <c r="Y24" s="3">
        <f t="shared" si="5"/>
        <v>8.359628253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136</v>
      </c>
      <c r="B25" s="3" t="s">
        <v>137</v>
      </c>
      <c r="C25" s="3" t="s">
        <v>129</v>
      </c>
      <c r="D25" s="3" t="s">
        <v>29</v>
      </c>
      <c r="E25" s="3">
        <v>45.0</v>
      </c>
      <c r="F25" s="3" t="s">
        <v>27</v>
      </c>
      <c r="G25" s="3">
        <v>43.15</v>
      </c>
      <c r="I25" s="3">
        <v>46.75</v>
      </c>
      <c r="K25" s="3">
        <v>0.0</v>
      </c>
      <c r="L25" s="3">
        <v>0.0</v>
      </c>
      <c r="M25" s="3" t="s">
        <v>54</v>
      </c>
      <c r="N25" s="3">
        <v>0.9964</v>
      </c>
      <c r="O25" s="3">
        <v>0.0</v>
      </c>
      <c r="P25" s="3">
        <v>1.3262</v>
      </c>
      <c r="Q25" s="3">
        <v>0.0333</v>
      </c>
      <c r="R25" s="3">
        <v>0.4493</v>
      </c>
      <c r="S25" s="3">
        <v>89.739998</v>
      </c>
      <c r="T25" s="3">
        <v>52.0</v>
      </c>
      <c r="U25" s="3">
        <f t="shared" si="2"/>
        <v>44.95</v>
      </c>
      <c r="V25" s="3"/>
      <c r="W25" s="3">
        <f t="shared" si="3"/>
        <v>44.74769397</v>
      </c>
      <c r="X25" s="3">
        <f t="shared" si="4"/>
        <v>3.484737538</v>
      </c>
      <c r="Y25" s="3">
        <f t="shared" si="5"/>
        <v>3.280639974</v>
      </c>
      <c r="Z25" s="3">
        <f t="shared" ref="Z25:AA25" si="28">_xlfn.NORM.S.DIST(X25)</f>
        <v>0.99975369</v>
      </c>
      <c r="AA25" s="3">
        <f t="shared" si="28"/>
        <v>0.9994821407</v>
      </c>
    </row>
    <row r="26" ht="14.25" customHeight="1">
      <c r="A26" s="3" t="s">
        <v>136</v>
      </c>
      <c r="B26" s="3" t="s">
        <v>137</v>
      </c>
      <c r="C26" s="3" t="s">
        <v>129</v>
      </c>
      <c r="D26" s="3" t="s">
        <v>29</v>
      </c>
      <c r="E26" s="3">
        <v>45.0</v>
      </c>
      <c r="F26" s="3" t="s">
        <v>27</v>
      </c>
      <c r="G26" s="3">
        <v>42.5</v>
      </c>
      <c r="I26" s="3">
        <v>46.3</v>
      </c>
      <c r="K26" s="3">
        <v>0.0</v>
      </c>
      <c r="L26" s="3">
        <v>0.0</v>
      </c>
      <c r="M26" s="3" t="s">
        <v>55</v>
      </c>
      <c r="N26" s="3">
        <v>0.9964</v>
      </c>
      <c r="O26" s="3">
        <v>0.0</v>
      </c>
      <c r="P26" s="3">
        <v>1.4522</v>
      </c>
      <c r="Q26" s="3">
        <v>0.0138</v>
      </c>
      <c r="R26" s="3">
        <v>0.4222</v>
      </c>
      <c r="S26" s="3">
        <v>89.790001</v>
      </c>
      <c r="T26" s="3">
        <v>51.0</v>
      </c>
      <c r="U26" s="3">
        <f t="shared" si="2"/>
        <v>44.4</v>
      </c>
      <c r="V26" s="3"/>
      <c r="W26" s="3">
        <f t="shared" si="3"/>
        <v>44.79677843</v>
      </c>
      <c r="X26" s="3">
        <f t="shared" si="4"/>
        <v>3.732821644</v>
      </c>
      <c r="Y26" s="3">
        <f t="shared" si="5"/>
        <v>3.542887499</v>
      </c>
      <c r="Z26" s="3">
        <f t="shared" ref="Z26:AA26" si="29">_xlfn.NORM.S.DIST(X26)</f>
        <v>0.9999053267</v>
      </c>
      <c r="AA26" s="3">
        <f t="shared" si="29"/>
        <v>0.9998021143</v>
      </c>
    </row>
    <row r="27" ht="14.25" customHeight="1">
      <c r="A27" s="3" t="s">
        <v>136</v>
      </c>
      <c r="B27" s="3" t="s">
        <v>137</v>
      </c>
      <c r="C27" s="3" t="s">
        <v>129</v>
      </c>
      <c r="D27" s="3" t="s">
        <v>29</v>
      </c>
      <c r="E27" s="3">
        <v>45.0</v>
      </c>
      <c r="F27" s="3" t="s">
        <v>27</v>
      </c>
      <c r="G27" s="3">
        <v>42.0</v>
      </c>
      <c r="I27" s="3">
        <v>43.35</v>
      </c>
      <c r="K27" s="3">
        <v>0.0</v>
      </c>
      <c r="L27" s="3">
        <v>0.0</v>
      </c>
      <c r="M27" s="3" t="s">
        <v>56</v>
      </c>
      <c r="N27" s="3">
        <v>0.9968</v>
      </c>
      <c r="O27" s="3">
        <v>0.0</v>
      </c>
      <c r="P27" s="3">
        <v>1.2813</v>
      </c>
      <c r="Q27" s="3">
        <v>0.0086</v>
      </c>
      <c r="R27" s="3">
        <v>0.4012</v>
      </c>
      <c r="S27" s="3">
        <v>88.25</v>
      </c>
      <c r="T27" s="3">
        <v>50.0</v>
      </c>
      <c r="U27" s="3">
        <f t="shared" si="2"/>
        <v>42.675</v>
      </c>
      <c r="V27" s="3"/>
      <c r="W27" s="3">
        <f t="shared" si="3"/>
        <v>43.25646689</v>
      </c>
      <c r="X27" s="3">
        <f t="shared" si="4"/>
        <v>3.858897493</v>
      </c>
      <c r="Y27" s="3">
        <f t="shared" si="5"/>
        <v>3.680188809</v>
      </c>
      <c r="Z27" s="3">
        <f t="shared" ref="Z27:AA27" si="30">_xlfn.NORM.S.DIST(X27)</f>
        <v>0.9999430502</v>
      </c>
      <c r="AA27" s="3">
        <f t="shared" si="30"/>
        <v>0.9998834693</v>
      </c>
    </row>
    <row r="28" ht="14.25" customHeight="1">
      <c r="A28" s="3" t="s">
        <v>136</v>
      </c>
      <c r="B28" s="3" t="s">
        <v>137</v>
      </c>
      <c r="C28" s="3" t="s">
        <v>129</v>
      </c>
      <c r="D28" s="3" t="s">
        <v>29</v>
      </c>
      <c r="E28" s="3">
        <v>45.0</v>
      </c>
      <c r="F28" s="3" t="s">
        <v>27</v>
      </c>
      <c r="G28" s="3">
        <v>41.75</v>
      </c>
      <c r="I28" s="3">
        <v>45.15</v>
      </c>
      <c r="K28" s="3">
        <v>0.0</v>
      </c>
      <c r="L28" s="3">
        <v>0.0</v>
      </c>
      <c r="M28" s="3" t="s">
        <v>57</v>
      </c>
      <c r="N28" s="3">
        <v>0.997</v>
      </c>
      <c r="O28" s="3">
        <v>0.0</v>
      </c>
      <c r="P28" s="3">
        <v>1.247</v>
      </c>
      <c r="Q28" s="3">
        <v>0.0</v>
      </c>
      <c r="R28" s="3">
        <v>0.1202</v>
      </c>
      <c r="S28" s="3">
        <v>88.610001</v>
      </c>
      <c r="T28" s="3">
        <v>49.0</v>
      </c>
      <c r="U28" s="3">
        <f t="shared" si="2"/>
        <v>43.45</v>
      </c>
      <c r="V28" s="3"/>
      <c r="W28" s="3">
        <f t="shared" si="3"/>
        <v>43.61612558</v>
      </c>
      <c r="X28" s="3">
        <f t="shared" si="4"/>
        <v>12.81286397</v>
      </c>
      <c r="Y28" s="3">
        <f t="shared" si="5"/>
        <v>12.75986075</v>
      </c>
      <c r="Z28" s="3">
        <f t="shared" ref="Z28:AA28" si="31">_xlfn.NORM.S.DIST(X28)</f>
        <v>1</v>
      </c>
      <c r="AA28" s="3">
        <f t="shared" si="31"/>
        <v>1</v>
      </c>
    </row>
    <row r="29" ht="14.25" customHeight="1">
      <c r="A29" s="3" t="s">
        <v>136</v>
      </c>
      <c r="B29" s="3" t="s">
        <v>137</v>
      </c>
      <c r="C29" s="3" t="s">
        <v>129</v>
      </c>
      <c r="D29" s="3" t="s">
        <v>29</v>
      </c>
      <c r="E29" s="3">
        <v>45.0</v>
      </c>
      <c r="F29" s="3" t="s">
        <v>27</v>
      </c>
      <c r="G29" s="3">
        <v>41.85</v>
      </c>
      <c r="I29" s="3">
        <v>44.9</v>
      </c>
      <c r="K29" s="3">
        <v>0.0</v>
      </c>
      <c r="L29" s="3">
        <v>0.0</v>
      </c>
      <c r="M29" s="3" t="s">
        <v>58</v>
      </c>
      <c r="N29" s="3">
        <v>0.997</v>
      </c>
      <c r="O29" s="3">
        <v>1.0E-4</v>
      </c>
      <c r="P29" s="3">
        <v>0.8003</v>
      </c>
      <c r="Q29" s="3">
        <v>0.0971</v>
      </c>
      <c r="R29" s="3">
        <v>0.5102</v>
      </c>
      <c r="S29" s="3">
        <v>88.279999</v>
      </c>
      <c r="T29" s="3">
        <v>48.0</v>
      </c>
      <c r="U29" s="3">
        <f t="shared" si="2"/>
        <v>43.375</v>
      </c>
      <c r="V29" s="3"/>
      <c r="W29" s="3">
        <f t="shared" si="3"/>
        <v>43.29084887</v>
      </c>
      <c r="X29" s="3">
        <f t="shared" si="4"/>
        <v>3.138171883</v>
      </c>
      <c r="Y29" s="3">
        <f t="shared" si="5"/>
        <v>2.915502348</v>
      </c>
      <c r="Z29" s="3">
        <f t="shared" ref="Z29:AA29" si="32">_xlfn.NORM.S.DIST(X29)</f>
        <v>0.9991499742</v>
      </c>
      <c r="AA29" s="3">
        <f t="shared" si="32"/>
        <v>0.9982244178</v>
      </c>
    </row>
    <row r="30" ht="14.25" customHeight="1">
      <c r="A30" s="3" t="s">
        <v>136</v>
      </c>
      <c r="B30" s="3" t="s">
        <v>137</v>
      </c>
      <c r="C30" s="3" t="s">
        <v>129</v>
      </c>
      <c r="D30" s="3" t="s">
        <v>29</v>
      </c>
      <c r="E30" s="3">
        <v>45.0</v>
      </c>
      <c r="F30" s="3" t="s">
        <v>27</v>
      </c>
      <c r="G30" s="3">
        <v>41.85</v>
      </c>
      <c r="I30" s="3">
        <v>45.1</v>
      </c>
      <c r="K30" s="3">
        <v>0.0</v>
      </c>
      <c r="L30" s="3">
        <v>0.0</v>
      </c>
      <c r="M30" s="3" t="s">
        <v>59</v>
      </c>
      <c r="N30" s="3">
        <v>0.9977</v>
      </c>
      <c r="O30" s="3">
        <v>0.0</v>
      </c>
      <c r="P30" s="3">
        <v>0.9659</v>
      </c>
      <c r="Q30" s="3">
        <v>0.0104</v>
      </c>
      <c r="R30" s="3">
        <v>0.4248</v>
      </c>
      <c r="S30" s="3">
        <v>88.459999</v>
      </c>
      <c r="T30" s="3">
        <v>47.0</v>
      </c>
      <c r="U30" s="3">
        <f t="shared" si="2"/>
        <v>43.475</v>
      </c>
      <c r="V30" s="3"/>
      <c r="W30" s="3">
        <f t="shared" si="3"/>
        <v>43.46619184</v>
      </c>
      <c r="X30" s="3">
        <f t="shared" si="4"/>
        <v>3.776625931</v>
      </c>
      <c r="Y30" s="3">
        <f t="shared" si="5"/>
        <v>3.593169405</v>
      </c>
      <c r="Z30" s="3">
        <f t="shared" ref="Z30:AA30" si="33">_xlfn.NORM.S.DIST(X30)</f>
        <v>0.9999205164</v>
      </c>
      <c r="AA30" s="3">
        <f t="shared" si="33"/>
        <v>0.99983666</v>
      </c>
    </row>
    <row r="31" ht="14.25" customHeight="1">
      <c r="A31" s="3" t="s">
        <v>136</v>
      </c>
      <c r="B31" s="3" t="s">
        <v>137</v>
      </c>
      <c r="C31" s="3" t="s">
        <v>129</v>
      </c>
      <c r="D31" s="3" t="s">
        <v>29</v>
      </c>
      <c r="E31" s="3">
        <v>45.0</v>
      </c>
      <c r="F31" s="3" t="s">
        <v>27</v>
      </c>
      <c r="G31" s="3">
        <v>42.1</v>
      </c>
      <c r="I31" s="3">
        <v>44.75</v>
      </c>
      <c r="K31" s="3">
        <v>0.0</v>
      </c>
      <c r="L31" s="3">
        <v>0.0</v>
      </c>
      <c r="M31" s="3" t="s">
        <v>60</v>
      </c>
      <c r="N31" s="3">
        <v>0.9976</v>
      </c>
      <c r="O31" s="3">
        <v>0.0</v>
      </c>
      <c r="P31" s="3">
        <v>1.0396</v>
      </c>
      <c r="Q31" s="3">
        <v>0.0</v>
      </c>
      <c r="R31" s="3">
        <v>0.1149</v>
      </c>
      <c r="S31" s="3">
        <v>88.669998</v>
      </c>
      <c r="T31" s="3">
        <v>46.0</v>
      </c>
      <c r="U31" s="3">
        <f t="shared" si="2"/>
        <v>43.425</v>
      </c>
      <c r="V31" s="3"/>
      <c r="W31" s="3">
        <f t="shared" si="3"/>
        <v>43.67574763</v>
      </c>
      <c r="X31" s="3">
        <f t="shared" si="4"/>
        <v>13.84361368</v>
      </c>
      <c r="Y31" s="3">
        <f t="shared" si="5"/>
        <v>13.79452304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136</v>
      </c>
      <c r="B32" s="3" t="s">
        <v>137</v>
      </c>
      <c r="C32" s="3" t="s">
        <v>129</v>
      </c>
      <c r="D32" s="3" t="s">
        <v>29</v>
      </c>
      <c r="E32" s="3">
        <v>45.0</v>
      </c>
      <c r="F32" s="3" t="s">
        <v>27</v>
      </c>
      <c r="G32" s="3">
        <v>42.0</v>
      </c>
      <c r="I32" s="3">
        <v>45.15</v>
      </c>
      <c r="K32" s="3">
        <v>0.0</v>
      </c>
      <c r="L32" s="3">
        <v>0.0</v>
      </c>
      <c r="M32" s="3" t="s">
        <v>61</v>
      </c>
      <c r="N32" s="3">
        <v>0.9977</v>
      </c>
      <c r="O32" s="3">
        <v>0.0</v>
      </c>
      <c r="P32" s="3">
        <v>0.9682</v>
      </c>
      <c r="Q32" s="3">
        <v>0.0088</v>
      </c>
      <c r="R32" s="3">
        <v>0.4271</v>
      </c>
      <c r="S32" s="3">
        <v>88.519997</v>
      </c>
      <c r="T32" s="3">
        <v>45.0</v>
      </c>
      <c r="U32" s="3">
        <f t="shared" si="2"/>
        <v>43.575</v>
      </c>
      <c r="V32" s="3"/>
      <c r="W32" s="3">
        <f t="shared" si="3"/>
        <v>43.52586098</v>
      </c>
      <c r="X32" s="3">
        <f t="shared" si="4"/>
        <v>3.839581448</v>
      </c>
      <c r="Y32" s="3">
        <f t="shared" si="5"/>
        <v>3.659098757</v>
      </c>
      <c r="Z32" s="3">
        <f t="shared" ref="Z32:AA32" si="35">_xlfn.NORM.S.DIST(X32)</f>
        <v>0.9999383779</v>
      </c>
      <c r="AA32" s="3">
        <f t="shared" si="35"/>
        <v>0.9998734481</v>
      </c>
    </row>
    <row r="33" ht="14.25" customHeight="1">
      <c r="A33" s="3" t="s">
        <v>136</v>
      </c>
      <c r="B33" s="3" t="s">
        <v>137</v>
      </c>
      <c r="C33" s="3" t="s">
        <v>129</v>
      </c>
      <c r="D33" s="3" t="s">
        <v>29</v>
      </c>
      <c r="E33" s="3">
        <v>45.0</v>
      </c>
      <c r="F33" s="3" t="s">
        <v>27</v>
      </c>
      <c r="G33" s="3">
        <v>41.15</v>
      </c>
      <c r="I33" s="3">
        <v>45.0</v>
      </c>
      <c r="K33" s="3">
        <v>0.0</v>
      </c>
      <c r="L33" s="3">
        <v>0.0</v>
      </c>
      <c r="M33" s="3" t="s">
        <v>62</v>
      </c>
      <c r="N33" s="3">
        <v>0.9979</v>
      </c>
      <c r="O33" s="3">
        <v>0.0</v>
      </c>
      <c r="P33" s="3">
        <v>0.9362</v>
      </c>
      <c r="Q33" s="3">
        <v>0.0</v>
      </c>
      <c r="R33" s="3">
        <v>0.3241</v>
      </c>
      <c r="S33" s="3">
        <v>88.360001</v>
      </c>
      <c r="T33" s="3">
        <v>44.0</v>
      </c>
      <c r="U33" s="3">
        <f t="shared" si="2"/>
        <v>43.075</v>
      </c>
      <c r="V33" s="3"/>
      <c r="W33" s="3">
        <f t="shared" si="3"/>
        <v>43.36550116</v>
      </c>
      <c r="X33" s="3">
        <f t="shared" si="4"/>
        <v>5.051057783</v>
      </c>
      <c r="Y33" s="3">
        <f t="shared" si="5"/>
        <v>4.915630833</v>
      </c>
      <c r="Z33" s="3">
        <f t="shared" ref="Z33:AA33" si="36">_xlfn.NORM.S.DIST(X33)</f>
        <v>0.9999997803</v>
      </c>
      <c r="AA33" s="3">
        <f t="shared" si="36"/>
        <v>0.9999995575</v>
      </c>
    </row>
    <row r="34" ht="14.25" customHeight="1">
      <c r="A34" s="3" t="s">
        <v>136</v>
      </c>
      <c r="B34" s="3" t="s">
        <v>137</v>
      </c>
      <c r="C34" s="3" t="s">
        <v>129</v>
      </c>
      <c r="D34" s="3" t="s">
        <v>29</v>
      </c>
      <c r="E34" s="3">
        <v>45.0</v>
      </c>
      <c r="F34" s="3" t="s">
        <v>27</v>
      </c>
      <c r="G34" s="3">
        <v>42.0</v>
      </c>
      <c r="I34" s="3">
        <v>45.3</v>
      </c>
      <c r="K34" s="3">
        <v>0.0</v>
      </c>
      <c r="L34" s="3">
        <v>0.0</v>
      </c>
      <c r="M34" s="3" t="s">
        <v>63</v>
      </c>
      <c r="N34" s="3">
        <v>0.9989</v>
      </c>
      <c r="O34" s="3">
        <v>0.0</v>
      </c>
      <c r="P34" s="3">
        <v>0.4993</v>
      </c>
      <c r="Q34" s="3">
        <v>0.0</v>
      </c>
      <c r="R34" s="3">
        <v>0.3318</v>
      </c>
      <c r="S34" s="3">
        <v>89.32</v>
      </c>
      <c r="T34" s="3">
        <v>43.0</v>
      </c>
      <c r="U34" s="3">
        <f t="shared" si="2"/>
        <v>43.65</v>
      </c>
      <c r="V34" s="3"/>
      <c r="W34" s="3">
        <f t="shared" si="3"/>
        <v>44.32537514</v>
      </c>
      <c r="X34" s="3">
        <f t="shared" si="4"/>
        <v>5.071324298</v>
      </c>
      <c r="Y34" s="3">
        <f t="shared" si="5"/>
        <v>4.93426442</v>
      </c>
      <c r="Z34" s="3">
        <f t="shared" ref="Z34:AA34" si="37">_xlfn.NORM.S.DIST(X34)</f>
        <v>0.9999998025</v>
      </c>
      <c r="AA34" s="3">
        <f t="shared" si="37"/>
        <v>0.9999995977</v>
      </c>
    </row>
    <row r="35" ht="14.25" customHeight="1">
      <c r="A35" s="3" t="s">
        <v>136</v>
      </c>
      <c r="B35" s="3" t="s">
        <v>137</v>
      </c>
      <c r="C35" s="3" t="s">
        <v>129</v>
      </c>
      <c r="D35" s="3" t="s">
        <v>29</v>
      </c>
      <c r="E35" s="3">
        <v>45.0</v>
      </c>
      <c r="F35" s="3" t="s">
        <v>27</v>
      </c>
      <c r="G35" s="3">
        <v>42.5</v>
      </c>
      <c r="I35" s="3">
        <v>46.0</v>
      </c>
      <c r="K35" s="3">
        <v>0.0</v>
      </c>
      <c r="L35" s="3">
        <v>0.0</v>
      </c>
      <c r="M35" s="3" t="s">
        <v>64</v>
      </c>
      <c r="N35" s="3">
        <v>0.999</v>
      </c>
      <c r="O35" s="3">
        <v>0.0</v>
      </c>
      <c r="P35" s="3">
        <v>0.434</v>
      </c>
      <c r="Q35" s="3">
        <v>0.0</v>
      </c>
      <c r="R35" s="3">
        <v>0.3336</v>
      </c>
      <c r="S35" s="3">
        <v>88.970001</v>
      </c>
      <c r="T35" s="3">
        <v>42.0</v>
      </c>
      <c r="U35" s="3">
        <f t="shared" si="2"/>
        <v>44.25</v>
      </c>
      <c r="V35" s="3"/>
      <c r="W35" s="3">
        <f t="shared" si="3"/>
        <v>43.97525114</v>
      </c>
      <c r="X35" s="3">
        <f t="shared" si="4"/>
        <v>5.073935189</v>
      </c>
      <c r="Y35" s="3">
        <f t="shared" si="5"/>
        <v>4.937743559</v>
      </c>
      <c r="Z35" s="3">
        <f t="shared" ref="Z35:AA35" si="38">_xlfn.NORM.S.DIST(X35)</f>
        <v>0.9999998052</v>
      </c>
      <c r="AA35" s="3">
        <f t="shared" si="38"/>
        <v>0.9999996048</v>
      </c>
    </row>
    <row r="36" ht="14.25" customHeight="1">
      <c r="A36" s="3" t="s">
        <v>136</v>
      </c>
      <c r="B36" s="3" t="s">
        <v>137</v>
      </c>
      <c r="C36" s="3" t="s">
        <v>129</v>
      </c>
      <c r="D36" s="3" t="s">
        <v>29</v>
      </c>
      <c r="E36" s="3">
        <v>45.0</v>
      </c>
      <c r="F36" s="3" t="s">
        <v>27</v>
      </c>
      <c r="G36" s="3">
        <v>42.0</v>
      </c>
      <c r="I36" s="3">
        <v>45.15</v>
      </c>
      <c r="K36" s="3">
        <v>0.0</v>
      </c>
      <c r="L36" s="3">
        <v>0.0</v>
      </c>
      <c r="M36" s="3" t="s">
        <v>65</v>
      </c>
      <c r="N36" s="3">
        <v>0.9992</v>
      </c>
      <c r="O36" s="3">
        <v>0.0</v>
      </c>
      <c r="P36" s="3">
        <v>0.3211</v>
      </c>
      <c r="Q36" s="3">
        <v>0.0</v>
      </c>
      <c r="R36" s="3">
        <v>0.3367</v>
      </c>
      <c r="S36" s="3">
        <v>88.589996</v>
      </c>
      <c r="T36" s="3">
        <v>41.0</v>
      </c>
      <c r="U36" s="3">
        <f t="shared" si="2"/>
        <v>43.575</v>
      </c>
      <c r="V36" s="3"/>
      <c r="W36" s="3">
        <f t="shared" si="3"/>
        <v>43.5951212</v>
      </c>
      <c r="X36" s="3">
        <f t="shared" si="4"/>
        <v>5.056239317</v>
      </c>
      <c r="Y36" s="3">
        <f t="shared" si="5"/>
        <v>4.920428371</v>
      </c>
      <c r="Z36" s="3">
        <f t="shared" ref="Z36:AA36" si="39">_xlfn.NORM.S.DIST(X36)</f>
        <v>0.9999997862</v>
      </c>
      <c r="AA36" s="3">
        <f t="shared" si="39"/>
        <v>0.9999995682</v>
      </c>
    </row>
    <row r="37" ht="14.25" customHeight="1">
      <c r="A37" s="3" t="s">
        <v>136</v>
      </c>
      <c r="B37" s="3" t="s">
        <v>137</v>
      </c>
      <c r="C37" s="3" t="s">
        <v>129</v>
      </c>
      <c r="D37" s="3" t="s">
        <v>29</v>
      </c>
      <c r="E37" s="3">
        <v>45.0</v>
      </c>
      <c r="F37" s="3" t="s">
        <v>27</v>
      </c>
      <c r="G37" s="3">
        <v>42.55</v>
      </c>
      <c r="I37" s="3">
        <v>45.85</v>
      </c>
      <c r="K37" s="3">
        <v>0.0</v>
      </c>
      <c r="L37" s="3">
        <v>0.0</v>
      </c>
      <c r="M37" s="3" t="s">
        <v>66</v>
      </c>
      <c r="N37" s="3">
        <v>0.9994</v>
      </c>
      <c r="O37" s="3">
        <v>0.0</v>
      </c>
      <c r="P37" s="3">
        <v>0.2329</v>
      </c>
      <c r="Q37" s="3">
        <v>0.0</v>
      </c>
      <c r="R37" s="3">
        <v>0.3505</v>
      </c>
      <c r="S37" s="3">
        <v>89.199997</v>
      </c>
      <c r="T37" s="3">
        <v>40.0</v>
      </c>
      <c r="U37" s="3">
        <f t="shared" si="2"/>
        <v>44.2</v>
      </c>
      <c r="V37" s="3"/>
      <c r="W37" s="3">
        <f t="shared" si="3"/>
        <v>44.20499752</v>
      </c>
      <c r="X37" s="3">
        <f t="shared" si="4"/>
        <v>4.970402533</v>
      </c>
      <c r="Y37" s="3">
        <f t="shared" si="5"/>
        <v>4.830759991</v>
      </c>
      <c r="Z37" s="3">
        <f t="shared" ref="Z37:AA37" si="40">_xlfn.NORM.S.DIST(X37)</f>
        <v>0.9999996659</v>
      </c>
      <c r="AA37" s="3">
        <f t="shared" si="40"/>
        <v>0.9999993199</v>
      </c>
    </row>
    <row r="38" ht="14.25" customHeight="1">
      <c r="A38" s="3" t="s">
        <v>136</v>
      </c>
      <c r="B38" s="3" t="s">
        <v>137</v>
      </c>
      <c r="C38" s="3" t="s">
        <v>129</v>
      </c>
      <c r="D38" s="3" t="s">
        <v>29</v>
      </c>
      <c r="E38" s="3">
        <v>45.0</v>
      </c>
      <c r="F38" s="3" t="s">
        <v>27</v>
      </c>
      <c r="G38" s="3">
        <v>41.25</v>
      </c>
      <c r="I38" s="3">
        <v>44.45</v>
      </c>
      <c r="K38" s="3">
        <v>0.0</v>
      </c>
      <c r="L38" s="3">
        <v>0.0</v>
      </c>
      <c r="M38" s="3" t="s">
        <v>67</v>
      </c>
      <c r="N38" s="3">
        <v>0.9991</v>
      </c>
      <c r="O38" s="3">
        <v>1.0E-4</v>
      </c>
      <c r="P38" s="3">
        <v>0.0935</v>
      </c>
      <c r="Q38" s="3">
        <v>0.0427</v>
      </c>
      <c r="R38" s="3">
        <v>0.5306</v>
      </c>
      <c r="S38" s="3">
        <v>87.699997</v>
      </c>
      <c r="T38" s="3">
        <v>39.0</v>
      </c>
      <c r="U38" s="3">
        <f t="shared" si="2"/>
        <v>42.85</v>
      </c>
      <c r="V38" s="3"/>
      <c r="W38" s="3">
        <f t="shared" si="3"/>
        <v>42.70731469</v>
      </c>
      <c r="X38" s="3">
        <f t="shared" si="4"/>
        <v>3.301539795</v>
      </c>
      <c r="Y38" s="3">
        <f t="shared" si="5"/>
        <v>3.092802871</v>
      </c>
      <c r="Z38" s="3">
        <f t="shared" ref="Z38:AA38" si="41">_xlfn.NORM.S.DIST(X38)</f>
        <v>0.9995192215</v>
      </c>
      <c r="AA38" s="3">
        <f t="shared" si="41"/>
        <v>0.999008621</v>
      </c>
    </row>
    <row r="39" ht="14.25" customHeight="1">
      <c r="A39" s="3" t="s">
        <v>136</v>
      </c>
      <c r="B39" s="3" t="s">
        <v>137</v>
      </c>
      <c r="C39" s="3" t="s">
        <v>129</v>
      </c>
      <c r="D39" s="3" t="s">
        <v>29</v>
      </c>
      <c r="E39" s="3">
        <v>45.0</v>
      </c>
      <c r="F39" s="3" t="s">
        <v>27</v>
      </c>
      <c r="G39" s="3">
        <v>42.05</v>
      </c>
      <c r="I39" s="3">
        <v>45.1</v>
      </c>
      <c r="K39" s="3">
        <v>0.0</v>
      </c>
      <c r="L39" s="3">
        <v>0.0</v>
      </c>
      <c r="M39" s="3" t="s">
        <v>68</v>
      </c>
      <c r="N39" s="3">
        <v>0.9996</v>
      </c>
      <c r="O39" s="3">
        <v>0.0</v>
      </c>
      <c r="P39" s="3">
        <v>0.1396</v>
      </c>
      <c r="Q39" s="3">
        <v>0.0</v>
      </c>
      <c r="R39" s="3">
        <v>0.3519</v>
      </c>
      <c r="S39" s="3">
        <v>88.510002</v>
      </c>
      <c r="T39" s="3">
        <v>38.0</v>
      </c>
      <c r="U39" s="3">
        <f t="shared" si="2"/>
        <v>43.575</v>
      </c>
      <c r="V39" s="3"/>
      <c r="W39" s="3">
        <f t="shared" si="3"/>
        <v>43.51475235</v>
      </c>
      <c r="X39" s="3">
        <f t="shared" si="4"/>
        <v>5.019344745</v>
      </c>
      <c r="Y39" s="3">
        <f t="shared" si="5"/>
        <v>4.882694381</v>
      </c>
      <c r="Z39" s="3">
        <f t="shared" ref="Z39:AA39" si="42">_xlfn.NORM.S.DIST(X39)</f>
        <v>0.9999997408</v>
      </c>
      <c r="AA39" s="3">
        <f t="shared" si="42"/>
        <v>0.9999994768</v>
      </c>
    </row>
    <row r="40" ht="14.25" customHeight="1">
      <c r="A40" s="3" t="s">
        <v>136</v>
      </c>
      <c r="B40" s="3" t="s">
        <v>137</v>
      </c>
      <c r="C40" s="3" t="s">
        <v>129</v>
      </c>
      <c r="D40" s="3" t="s">
        <v>29</v>
      </c>
      <c r="E40" s="3">
        <v>45.0</v>
      </c>
      <c r="F40" s="3" t="s">
        <v>27</v>
      </c>
      <c r="G40" s="3">
        <v>42.8</v>
      </c>
      <c r="I40" s="3">
        <v>45.6</v>
      </c>
      <c r="K40" s="3">
        <v>0.0</v>
      </c>
      <c r="L40" s="3">
        <v>0.0</v>
      </c>
      <c r="M40" s="3" t="s">
        <v>69</v>
      </c>
      <c r="N40" s="3">
        <v>0.9998</v>
      </c>
      <c r="O40" s="3">
        <v>0.0</v>
      </c>
      <c r="P40" s="3">
        <v>0.006</v>
      </c>
      <c r="Q40" s="3">
        <v>0.0</v>
      </c>
      <c r="R40" s="3">
        <v>0.2778</v>
      </c>
      <c r="S40" s="3">
        <v>89.529999</v>
      </c>
      <c r="T40" s="3">
        <v>37.0</v>
      </c>
      <c r="U40" s="3">
        <f t="shared" si="2"/>
        <v>44.2</v>
      </c>
      <c r="V40" s="3"/>
      <c r="W40" s="3">
        <f t="shared" si="3"/>
        <v>44.53462376</v>
      </c>
      <c r="X40" s="3">
        <f t="shared" si="4"/>
        <v>6.516674546</v>
      </c>
      <c r="Y40" s="3">
        <f t="shared" si="5"/>
        <v>6.410227691</v>
      </c>
      <c r="Z40" s="3">
        <f t="shared" ref="Z40:AA40" si="43">_xlfn.NORM.S.DIST(X40)</f>
        <v>1</v>
      </c>
      <c r="AA40" s="3">
        <f t="shared" si="43"/>
        <v>0.9999999999</v>
      </c>
    </row>
    <row r="41" ht="14.25" customHeight="1">
      <c r="A41" s="3" t="s">
        <v>136</v>
      </c>
      <c r="B41" s="3" t="s">
        <v>137</v>
      </c>
      <c r="C41" s="3" t="s">
        <v>129</v>
      </c>
      <c r="D41" s="3" t="s">
        <v>29</v>
      </c>
      <c r="E41" s="3">
        <v>45.0</v>
      </c>
      <c r="F41" s="3" t="s">
        <v>27</v>
      </c>
      <c r="G41" s="3">
        <v>42.65</v>
      </c>
      <c r="I41" s="3">
        <v>45.55</v>
      </c>
      <c r="K41" s="3">
        <v>0.0</v>
      </c>
      <c r="L41" s="3">
        <v>0.0</v>
      </c>
      <c r="M41" s="3" t="s">
        <v>70</v>
      </c>
      <c r="N41" s="3">
        <v>0.9995</v>
      </c>
      <c r="O41" s="3">
        <v>0.0</v>
      </c>
      <c r="P41" s="3">
        <v>0.1653</v>
      </c>
      <c r="Q41" s="3">
        <v>0.0</v>
      </c>
      <c r="R41" s="3">
        <v>0.244</v>
      </c>
      <c r="S41" s="3">
        <v>89.550003</v>
      </c>
      <c r="T41" s="3">
        <v>36.0</v>
      </c>
      <c r="U41" s="3">
        <f t="shared" si="2"/>
        <v>44.1</v>
      </c>
      <c r="V41" s="3"/>
      <c r="W41" s="3">
        <f t="shared" si="3"/>
        <v>44.55450278</v>
      </c>
      <c r="X41" s="3">
        <f t="shared" si="4"/>
        <v>7.508807512</v>
      </c>
      <c r="Y41" s="3">
        <f t="shared" si="5"/>
        <v>7.41658418</v>
      </c>
      <c r="Z41" s="3">
        <f t="shared" ref="Z41:AA41" si="44">_xlfn.NORM.S.DIST(X41)</f>
        <v>1</v>
      </c>
      <c r="AA41" s="3">
        <f t="shared" si="44"/>
        <v>1</v>
      </c>
    </row>
    <row r="42" ht="14.25" customHeight="1">
      <c r="A42" s="3" t="s">
        <v>136</v>
      </c>
      <c r="B42" s="3" t="s">
        <v>137</v>
      </c>
      <c r="C42" s="3" t="s">
        <v>129</v>
      </c>
      <c r="D42" s="3" t="s">
        <v>29</v>
      </c>
      <c r="E42" s="3">
        <v>45.0</v>
      </c>
      <c r="F42" s="3" t="s">
        <v>27</v>
      </c>
      <c r="G42" s="3">
        <v>42.5</v>
      </c>
      <c r="I42" s="3">
        <v>45.65</v>
      </c>
      <c r="K42" s="3">
        <v>0.0</v>
      </c>
      <c r="L42" s="3">
        <v>0.0</v>
      </c>
      <c r="M42" s="3" t="s">
        <v>71</v>
      </c>
      <c r="N42" s="3">
        <v>0.9996</v>
      </c>
      <c r="O42" s="3">
        <v>0.0</v>
      </c>
      <c r="P42" s="3">
        <v>0.1463</v>
      </c>
      <c r="Q42" s="3">
        <v>0.0</v>
      </c>
      <c r="R42" s="3">
        <v>0.3357</v>
      </c>
      <c r="S42" s="3">
        <v>89.43</v>
      </c>
      <c r="T42" s="3">
        <v>35.0</v>
      </c>
      <c r="U42" s="3">
        <f t="shared" si="2"/>
        <v>44.075</v>
      </c>
      <c r="V42" s="3"/>
      <c r="W42" s="3">
        <f t="shared" si="3"/>
        <v>44.43437481</v>
      </c>
      <c r="X42" s="3">
        <f t="shared" si="4"/>
        <v>5.552937594</v>
      </c>
      <c r="Y42" s="3">
        <f t="shared" si="5"/>
        <v>5.427829591</v>
      </c>
      <c r="Z42" s="3">
        <f t="shared" ref="Z42:AA42" si="45">_xlfn.NORM.S.DIST(X42)</f>
        <v>0.999999986</v>
      </c>
      <c r="AA42" s="3">
        <f t="shared" si="45"/>
        <v>0.9999999715</v>
      </c>
    </row>
    <row r="43" ht="14.25" customHeight="1">
      <c r="A43" s="3" t="s">
        <v>136</v>
      </c>
      <c r="B43" s="3" t="s">
        <v>137</v>
      </c>
      <c r="C43" s="3" t="s">
        <v>129</v>
      </c>
      <c r="D43" s="3" t="s">
        <v>29</v>
      </c>
      <c r="E43" s="3">
        <v>45.0</v>
      </c>
      <c r="F43" s="3" t="s">
        <v>27</v>
      </c>
      <c r="G43" s="3">
        <v>42.15</v>
      </c>
      <c r="I43" s="3">
        <v>45.15</v>
      </c>
      <c r="K43" s="3">
        <v>0.0</v>
      </c>
      <c r="L43" s="3">
        <v>0.0</v>
      </c>
      <c r="M43" s="3" t="s">
        <v>72</v>
      </c>
      <c r="N43" s="3">
        <v>0.9995</v>
      </c>
      <c r="O43" s="3">
        <v>0.0</v>
      </c>
      <c r="P43" s="3">
        <v>0.1999</v>
      </c>
      <c r="Q43" s="3">
        <v>0.0</v>
      </c>
      <c r="R43" s="3">
        <v>0.3263</v>
      </c>
      <c r="S43" s="3">
        <v>88.949997</v>
      </c>
      <c r="T43" s="3">
        <v>34.0</v>
      </c>
      <c r="U43" s="3">
        <f t="shared" si="2"/>
        <v>43.65</v>
      </c>
      <c r="V43" s="3"/>
      <c r="W43" s="3">
        <f t="shared" si="3"/>
        <v>43.95424681</v>
      </c>
      <c r="X43" s="3">
        <f t="shared" si="4"/>
        <v>5.746016282</v>
      </c>
      <c r="Y43" s="3">
        <f t="shared" si="5"/>
        <v>5.626161253</v>
      </c>
      <c r="Z43" s="3">
        <f t="shared" ref="Z43:AA43" si="46">_xlfn.NORM.S.DIST(X43)</f>
        <v>0.9999999954</v>
      </c>
      <c r="AA43" s="3">
        <f t="shared" si="46"/>
        <v>0.9999999908</v>
      </c>
    </row>
    <row r="44" ht="14.25" customHeight="1">
      <c r="A44" s="3" t="s">
        <v>136</v>
      </c>
      <c r="B44" s="3" t="s">
        <v>137</v>
      </c>
      <c r="C44" s="3" t="s">
        <v>129</v>
      </c>
      <c r="D44" s="3" t="s">
        <v>29</v>
      </c>
      <c r="E44" s="3">
        <v>45.0</v>
      </c>
      <c r="F44" s="3" t="s">
        <v>27</v>
      </c>
      <c r="G44" s="3">
        <v>43.0</v>
      </c>
      <c r="I44" s="3">
        <v>46.15</v>
      </c>
      <c r="K44" s="3">
        <v>0.0</v>
      </c>
      <c r="L44" s="3">
        <v>0.0</v>
      </c>
      <c r="M44" s="3" t="s">
        <v>73</v>
      </c>
      <c r="N44" s="3">
        <v>0.9995</v>
      </c>
      <c r="O44" s="3">
        <v>0.0</v>
      </c>
      <c r="P44" s="3">
        <v>0.2091</v>
      </c>
      <c r="Q44" s="3">
        <v>0.0</v>
      </c>
      <c r="R44" s="3">
        <v>0.2809</v>
      </c>
      <c r="S44" s="3">
        <v>89.610001</v>
      </c>
      <c r="T44" s="3">
        <v>33.0</v>
      </c>
      <c r="U44" s="3">
        <f t="shared" si="2"/>
        <v>44.575</v>
      </c>
      <c r="V44" s="3"/>
      <c r="W44" s="3">
        <f t="shared" si="3"/>
        <v>44.61412581</v>
      </c>
      <c r="X44" s="3">
        <f t="shared" si="4"/>
        <v>6.827946956</v>
      </c>
      <c r="Y44" s="3">
        <f t="shared" si="5"/>
        <v>6.726296709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136</v>
      </c>
      <c r="B45" s="3" t="s">
        <v>137</v>
      </c>
      <c r="C45" s="3" t="s">
        <v>129</v>
      </c>
      <c r="D45" s="3" t="s">
        <v>29</v>
      </c>
      <c r="E45" s="3">
        <v>45.0</v>
      </c>
      <c r="F45" s="3" t="s">
        <v>27</v>
      </c>
      <c r="G45" s="3">
        <v>42.75</v>
      </c>
      <c r="I45" s="3">
        <v>46.0</v>
      </c>
      <c r="K45" s="3">
        <v>0.0</v>
      </c>
      <c r="L45" s="3">
        <v>0.0</v>
      </c>
      <c r="M45" s="3" t="s">
        <v>74</v>
      </c>
      <c r="N45" s="3">
        <v>0.9996</v>
      </c>
      <c r="O45" s="3">
        <v>0.0</v>
      </c>
      <c r="P45" s="3">
        <v>0.2022</v>
      </c>
      <c r="Q45" s="3">
        <v>0.0</v>
      </c>
      <c r="R45" s="3">
        <v>0.2384</v>
      </c>
      <c r="S45" s="3">
        <v>89.559998</v>
      </c>
      <c r="T45" s="3">
        <v>32.0</v>
      </c>
      <c r="U45" s="3">
        <f t="shared" si="2"/>
        <v>44.375</v>
      </c>
      <c r="V45" s="3"/>
      <c r="W45" s="3">
        <f t="shared" si="3"/>
        <v>44.56399782</v>
      </c>
      <c r="X45" s="3">
        <f t="shared" si="4"/>
        <v>8.14497578</v>
      </c>
      <c r="Y45" s="3">
        <f t="shared" si="5"/>
        <v>8.06002234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136</v>
      </c>
      <c r="B46" s="3" t="s">
        <v>137</v>
      </c>
      <c r="C46" s="3" t="s">
        <v>129</v>
      </c>
      <c r="D46" s="3" t="s">
        <v>29</v>
      </c>
      <c r="E46" s="3">
        <v>45.0</v>
      </c>
      <c r="F46" s="3" t="s">
        <v>27</v>
      </c>
      <c r="G46" s="3">
        <v>42.45</v>
      </c>
      <c r="I46" s="3">
        <v>45.4</v>
      </c>
      <c r="K46" s="3">
        <v>0.0</v>
      </c>
      <c r="L46" s="3">
        <v>0.0</v>
      </c>
      <c r="M46" s="3" t="s">
        <v>75</v>
      </c>
      <c r="N46" s="3">
        <v>0.9996</v>
      </c>
      <c r="O46" s="3">
        <v>0.0</v>
      </c>
      <c r="P46" s="3">
        <v>0.1991</v>
      </c>
      <c r="Q46" s="3">
        <v>0.0</v>
      </c>
      <c r="R46" s="3">
        <v>0.3659</v>
      </c>
      <c r="S46" s="3">
        <v>88.709999</v>
      </c>
      <c r="T46" s="3">
        <v>31.0</v>
      </c>
      <c r="U46" s="3">
        <f t="shared" si="2"/>
        <v>43.925</v>
      </c>
      <c r="V46" s="3"/>
      <c r="W46" s="3">
        <f t="shared" si="3"/>
        <v>43.71387392</v>
      </c>
      <c r="X46" s="3">
        <f t="shared" si="4"/>
        <v>5.353445715</v>
      </c>
      <c r="Y46" s="3">
        <f t="shared" si="5"/>
        <v>5.225111344</v>
      </c>
      <c r="Z46" s="3">
        <f t="shared" ref="Z46:AA46" si="49">_xlfn.NORM.S.DIST(X46)</f>
        <v>0.9999999569</v>
      </c>
      <c r="AA46" s="3">
        <f t="shared" si="49"/>
        <v>0.999999913</v>
      </c>
    </row>
    <row r="47" ht="14.25" customHeight="1">
      <c r="A47" s="3" t="s">
        <v>136</v>
      </c>
      <c r="B47" s="3" t="s">
        <v>137</v>
      </c>
      <c r="C47" s="3" t="s">
        <v>129</v>
      </c>
      <c r="D47" s="3" t="s">
        <v>29</v>
      </c>
      <c r="E47" s="3">
        <v>45.0</v>
      </c>
      <c r="F47" s="3" t="s">
        <v>27</v>
      </c>
      <c r="G47" s="3">
        <v>42.25</v>
      </c>
      <c r="I47" s="3">
        <v>45.45</v>
      </c>
      <c r="K47" s="3">
        <v>0.0</v>
      </c>
      <c r="L47" s="3">
        <v>0.0</v>
      </c>
      <c r="M47" s="3" t="s">
        <v>76</v>
      </c>
      <c r="N47" s="3">
        <v>0.9996</v>
      </c>
      <c r="O47" s="3">
        <v>0.0</v>
      </c>
      <c r="P47" s="3">
        <v>0.1933</v>
      </c>
      <c r="Q47" s="3">
        <v>0.0</v>
      </c>
      <c r="R47" s="3">
        <v>0.203</v>
      </c>
      <c r="S47" s="3">
        <v>88.970001</v>
      </c>
      <c r="T47" s="3">
        <v>30.0</v>
      </c>
      <c r="U47" s="3">
        <f t="shared" si="2"/>
        <v>43.85</v>
      </c>
      <c r="V47" s="3"/>
      <c r="W47" s="3">
        <f t="shared" si="3"/>
        <v>43.97375084</v>
      </c>
      <c r="X47" s="3">
        <f t="shared" si="4"/>
        <v>9.768087473</v>
      </c>
      <c r="Y47" s="3">
        <f t="shared" si="5"/>
        <v>9.698045819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136</v>
      </c>
      <c r="B48" s="3" t="s">
        <v>137</v>
      </c>
      <c r="C48" s="3" t="s">
        <v>129</v>
      </c>
      <c r="D48" s="3" t="s">
        <v>29</v>
      </c>
      <c r="E48" s="3">
        <v>45.0</v>
      </c>
      <c r="F48" s="3" t="s">
        <v>27</v>
      </c>
      <c r="G48" s="3">
        <v>42.7</v>
      </c>
      <c r="I48" s="3">
        <v>45.75</v>
      </c>
      <c r="K48" s="3">
        <v>0.0</v>
      </c>
      <c r="L48" s="3">
        <v>0.0</v>
      </c>
      <c r="M48" s="3" t="s">
        <v>77</v>
      </c>
      <c r="N48" s="3">
        <v>0.9996</v>
      </c>
      <c r="O48" s="3">
        <v>0.0</v>
      </c>
      <c r="P48" s="3">
        <v>0.212</v>
      </c>
      <c r="Q48" s="3">
        <v>0.0</v>
      </c>
      <c r="R48" s="3">
        <v>0.2938</v>
      </c>
      <c r="S48" s="3">
        <v>89.160004</v>
      </c>
      <c r="T48" s="3">
        <v>29.0</v>
      </c>
      <c r="U48" s="3">
        <f t="shared" si="2"/>
        <v>44.225</v>
      </c>
      <c r="V48" s="3"/>
      <c r="W48" s="3">
        <f t="shared" si="3"/>
        <v>44.16362885</v>
      </c>
      <c r="X48" s="3">
        <f t="shared" si="4"/>
        <v>6.911201586</v>
      </c>
      <c r="Y48" s="3">
        <f t="shared" si="5"/>
        <v>6.811534785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136</v>
      </c>
      <c r="B49" s="3" t="s">
        <v>137</v>
      </c>
      <c r="C49" s="3" t="s">
        <v>129</v>
      </c>
      <c r="D49" s="3" t="s">
        <v>29</v>
      </c>
      <c r="E49" s="3">
        <v>45.0</v>
      </c>
      <c r="F49" s="3" t="s">
        <v>27</v>
      </c>
      <c r="G49" s="3">
        <v>42.65</v>
      </c>
      <c r="I49" s="3">
        <v>45.75</v>
      </c>
      <c r="K49" s="3">
        <v>0.0</v>
      </c>
      <c r="L49" s="3">
        <v>0.0</v>
      </c>
      <c r="M49" s="3" t="s">
        <v>78</v>
      </c>
      <c r="N49" s="3">
        <v>0.9996</v>
      </c>
      <c r="O49" s="3">
        <v>0.0</v>
      </c>
      <c r="P49" s="3">
        <v>0.2166</v>
      </c>
      <c r="Q49" s="3">
        <v>0.0</v>
      </c>
      <c r="R49" s="3">
        <v>0.2498</v>
      </c>
      <c r="S49" s="3">
        <v>89.160004</v>
      </c>
      <c r="T49" s="3">
        <v>28.0</v>
      </c>
      <c r="U49" s="3">
        <f t="shared" si="2"/>
        <v>44.2</v>
      </c>
      <c r="V49" s="3"/>
      <c r="W49" s="3">
        <f t="shared" si="3"/>
        <v>44.16350386</v>
      </c>
      <c r="X49" s="3">
        <f t="shared" si="4"/>
        <v>8.254377625</v>
      </c>
      <c r="Y49" s="3">
        <f t="shared" si="5"/>
        <v>8.171110959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136</v>
      </c>
      <c r="B50" s="3" t="s">
        <v>137</v>
      </c>
      <c r="C50" s="3" t="s">
        <v>129</v>
      </c>
      <c r="D50" s="3" t="s">
        <v>29</v>
      </c>
      <c r="E50" s="3">
        <v>45.0</v>
      </c>
      <c r="F50" s="3" t="s">
        <v>27</v>
      </c>
      <c r="G50" s="3">
        <v>42.55</v>
      </c>
      <c r="I50" s="3">
        <v>45.4</v>
      </c>
      <c r="K50" s="3">
        <v>0.0</v>
      </c>
      <c r="L50" s="3">
        <v>0.0</v>
      </c>
      <c r="M50" s="3" t="s">
        <v>79</v>
      </c>
      <c r="N50" s="3">
        <v>0.9996</v>
      </c>
      <c r="O50" s="3">
        <v>0.0</v>
      </c>
      <c r="P50" s="3">
        <v>0.2199</v>
      </c>
      <c r="Q50" s="3">
        <v>0.0</v>
      </c>
      <c r="R50" s="3">
        <v>0.3032</v>
      </c>
      <c r="S50" s="3">
        <v>89.260002</v>
      </c>
      <c r="T50" s="3">
        <v>27.0</v>
      </c>
      <c r="U50" s="3">
        <f t="shared" si="2"/>
        <v>43.975</v>
      </c>
      <c r="V50" s="3"/>
      <c r="W50" s="3">
        <f t="shared" si="3"/>
        <v>44.26337687</v>
      </c>
      <c r="X50" s="3">
        <f t="shared" si="4"/>
        <v>6.951356491</v>
      </c>
      <c r="Y50" s="3">
        <f t="shared" si="5"/>
        <v>6.852110994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136</v>
      </c>
      <c r="B51" s="3" t="s">
        <v>137</v>
      </c>
      <c r="C51" s="3" t="s">
        <v>129</v>
      </c>
      <c r="D51" s="3" t="s">
        <v>29</v>
      </c>
      <c r="E51" s="3">
        <v>45.0</v>
      </c>
      <c r="F51" s="3" t="s">
        <v>27</v>
      </c>
      <c r="G51" s="3">
        <v>43.15</v>
      </c>
      <c r="I51" s="3">
        <v>46.45</v>
      </c>
      <c r="K51" s="3">
        <v>0.0</v>
      </c>
      <c r="L51" s="3">
        <v>0.0</v>
      </c>
      <c r="M51" s="3" t="s">
        <v>80</v>
      </c>
      <c r="N51" s="3">
        <v>0.9998</v>
      </c>
      <c r="O51" s="3">
        <v>0.0</v>
      </c>
      <c r="P51" s="3">
        <v>0.0491</v>
      </c>
      <c r="Q51" s="3">
        <v>0.0</v>
      </c>
      <c r="R51" s="3">
        <v>0.2334</v>
      </c>
      <c r="S51" s="3">
        <v>89.830002</v>
      </c>
      <c r="T51" s="3">
        <v>26.0</v>
      </c>
      <c r="U51" s="3">
        <f t="shared" si="2"/>
        <v>44.8</v>
      </c>
      <c r="V51" s="3"/>
      <c r="W51" s="3">
        <f t="shared" si="3"/>
        <v>44.83325188</v>
      </c>
      <c r="X51" s="3">
        <f t="shared" si="4"/>
        <v>9.258895632</v>
      </c>
      <c r="Y51" s="3">
        <f t="shared" si="5"/>
        <v>9.183925676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136</v>
      </c>
      <c r="B52" s="3" t="s">
        <v>137</v>
      </c>
      <c r="C52" s="3" t="s">
        <v>129</v>
      </c>
      <c r="D52" s="3" t="s">
        <v>29</v>
      </c>
      <c r="E52" s="3">
        <v>45.0</v>
      </c>
      <c r="F52" s="3" t="s">
        <v>27</v>
      </c>
      <c r="G52" s="3">
        <v>42.6</v>
      </c>
      <c r="I52" s="3">
        <v>45.9</v>
      </c>
      <c r="K52" s="3">
        <v>0.0</v>
      </c>
      <c r="L52" s="3">
        <v>0.0</v>
      </c>
      <c r="M52" s="3" t="s">
        <v>81</v>
      </c>
      <c r="N52" s="3">
        <v>1.0</v>
      </c>
      <c r="O52" s="3">
        <v>0.0</v>
      </c>
      <c r="P52" s="3">
        <v>-0.1268</v>
      </c>
      <c r="Q52" s="3">
        <v>0.0</v>
      </c>
      <c r="R52" s="3">
        <v>0.1787</v>
      </c>
      <c r="S52" s="3">
        <v>89.370003</v>
      </c>
      <c r="T52" s="3">
        <v>25.0</v>
      </c>
      <c r="U52" s="3">
        <f t="shared" si="2"/>
        <v>44.25</v>
      </c>
      <c r="V52" s="3"/>
      <c r="W52" s="3">
        <f t="shared" si="3"/>
        <v>44.37312789</v>
      </c>
      <c r="X52" s="3">
        <f t="shared" si="4"/>
        <v>12.21948115</v>
      </c>
      <c r="Y52" s="3">
        <f t="shared" si="5"/>
        <v>12.16319595</v>
      </c>
      <c r="Z52" s="3">
        <f t="shared" ref="Z52:AA52" si="55">_xlfn.NORM.S.DIST(X52)</f>
        <v>1</v>
      </c>
      <c r="AA52" s="3">
        <f t="shared" si="55"/>
        <v>1</v>
      </c>
    </row>
    <row r="53" ht="14.25" customHeight="1">
      <c r="A53" s="3" t="s">
        <v>136</v>
      </c>
      <c r="B53" s="3" t="s">
        <v>137</v>
      </c>
      <c r="C53" s="3" t="s">
        <v>129</v>
      </c>
      <c r="D53" s="3" t="s">
        <v>29</v>
      </c>
      <c r="E53" s="3">
        <v>45.0</v>
      </c>
      <c r="F53" s="3" t="s">
        <v>27</v>
      </c>
      <c r="G53" s="3">
        <v>42.45</v>
      </c>
      <c r="I53" s="3">
        <v>45.3</v>
      </c>
      <c r="K53" s="3">
        <v>0.0</v>
      </c>
      <c r="L53" s="3">
        <v>0.0</v>
      </c>
      <c r="M53" s="3" t="s">
        <v>82</v>
      </c>
      <c r="N53" s="3">
        <v>0.9996</v>
      </c>
      <c r="O53" s="3">
        <v>0.0</v>
      </c>
      <c r="P53" s="3">
        <v>0.3041</v>
      </c>
      <c r="Q53" s="3">
        <v>0.0</v>
      </c>
      <c r="R53" s="3">
        <v>0.3048</v>
      </c>
      <c r="S53" s="3">
        <v>88.769997</v>
      </c>
      <c r="T53" s="3">
        <v>24.0</v>
      </c>
      <c r="U53" s="3">
        <f t="shared" si="2"/>
        <v>43.875</v>
      </c>
      <c r="V53" s="3"/>
      <c r="W53" s="3">
        <f t="shared" si="3"/>
        <v>43.7729969</v>
      </c>
      <c r="X53" s="3">
        <f t="shared" si="4"/>
        <v>7.270388042</v>
      </c>
      <c r="Y53" s="3">
        <f t="shared" si="5"/>
        <v>7.17632472</v>
      </c>
      <c r="Z53" s="3">
        <f t="shared" ref="Z53:AA53" si="56">_xlfn.NORM.S.DIST(X53)</f>
        <v>1</v>
      </c>
      <c r="AA53" s="3">
        <f t="shared" si="56"/>
        <v>1</v>
      </c>
    </row>
    <row r="54" ht="14.25" customHeight="1">
      <c r="A54" s="3" t="s">
        <v>136</v>
      </c>
      <c r="B54" s="3" t="s">
        <v>137</v>
      </c>
      <c r="C54" s="3" t="s">
        <v>129</v>
      </c>
      <c r="D54" s="3" t="s">
        <v>29</v>
      </c>
      <c r="E54" s="3">
        <v>45.0</v>
      </c>
      <c r="F54" s="3" t="s">
        <v>27</v>
      </c>
      <c r="G54" s="3">
        <v>41.95</v>
      </c>
      <c r="I54" s="3">
        <v>44.85</v>
      </c>
      <c r="K54" s="3">
        <v>0.0</v>
      </c>
      <c r="L54" s="3">
        <v>0.0</v>
      </c>
      <c r="M54" s="3" t="s">
        <v>83</v>
      </c>
      <c r="N54" s="3">
        <v>0.9996</v>
      </c>
      <c r="O54" s="3">
        <v>0.0</v>
      </c>
      <c r="P54" s="3">
        <v>0.3076</v>
      </c>
      <c r="Q54" s="3">
        <v>0.0</v>
      </c>
      <c r="R54" s="3">
        <v>0.3289</v>
      </c>
      <c r="S54" s="3">
        <v>88.580002</v>
      </c>
      <c r="T54" s="3">
        <v>23.0</v>
      </c>
      <c r="U54" s="3">
        <f t="shared" si="2"/>
        <v>43.4</v>
      </c>
      <c r="V54" s="3"/>
      <c r="W54" s="3">
        <f t="shared" si="3"/>
        <v>43.58287691</v>
      </c>
      <c r="X54" s="3">
        <f t="shared" si="4"/>
        <v>6.866133756</v>
      </c>
      <c r="Y54" s="3">
        <f t="shared" si="5"/>
        <v>6.766770109</v>
      </c>
      <c r="Z54" s="3">
        <f t="shared" ref="Z54:AA54" si="57">_xlfn.NORM.S.DIST(X54)</f>
        <v>1</v>
      </c>
      <c r="AA54" s="3">
        <f t="shared" si="57"/>
        <v>1</v>
      </c>
    </row>
    <row r="55" ht="14.25" customHeight="1">
      <c r="A55" s="3" t="s">
        <v>136</v>
      </c>
      <c r="B55" s="3" t="s">
        <v>137</v>
      </c>
      <c r="C55" s="3" t="s">
        <v>129</v>
      </c>
      <c r="D55" s="3" t="s">
        <v>29</v>
      </c>
      <c r="E55" s="3">
        <v>45.0</v>
      </c>
      <c r="F55" s="3" t="s">
        <v>27</v>
      </c>
      <c r="G55" s="3">
        <v>42.1</v>
      </c>
      <c r="I55" s="3">
        <v>45.2</v>
      </c>
      <c r="K55" s="3">
        <v>0.0</v>
      </c>
      <c r="L55" s="3">
        <v>0.0</v>
      </c>
      <c r="M55" s="3" t="s">
        <v>84</v>
      </c>
      <c r="N55" s="3">
        <v>0.9995</v>
      </c>
      <c r="O55" s="3">
        <v>0.0</v>
      </c>
      <c r="P55" s="3">
        <v>0.3551</v>
      </c>
      <c r="Q55" s="3">
        <v>0.0</v>
      </c>
      <c r="R55" s="3">
        <v>0.1191</v>
      </c>
      <c r="S55" s="3">
        <v>88.629997</v>
      </c>
      <c r="T55" s="3">
        <v>22.0</v>
      </c>
      <c r="U55" s="3">
        <f t="shared" si="2"/>
        <v>43.65</v>
      </c>
      <c r="V55" s="3"/>
      <c r="W55" s="3">
        <f t="shared" si="3"/>
        <v>43.63274692</v>
      </c>
      <c r="X55" s="3">
        <f t="shared" si="4"/>
        <v>19.28055122</v>
      </c>
      <c r="Y55" s="3">
        <f t="shared" si="5"/>
        <v>19.24536093</v>
      </c>
      <c r="Z55" s="3">
        <f t="shared" ref="Z55:AA55" si="58">_xlfn.NORM.S.DIST(X55)</f>
        <v>1</v>
      </c>
      <c r="AA55" s="3">
        <f t="shared" si="58"/>
        <v>1</v>
      </c>
    </row>
    <row r="56" ht="14.25" customHeight="1">
      <c r="A56" s="3" t="s">
        <v>136</v>
      </c>
      <c r="B56" s="3" t="s">
        <v>137</v>
      </c>
      <c r="C56" s="3" t="s">
        <v>129</v>
      </c>
      <c r="D56" s="3" t="s">
        <v>29</v>
      </c>
      <c r="E56" s="3">
        <v>45.0</v>
      </c>
      <c r="F56" s="3" t="s">
        <v>27</v>
      </c>
      <c r="G56" s="3">
        <v>41.4</v>
      </c>
      <c r="I56" s="3">
        <v>44.85</v>
      </c>
      <c r="K56" s="3">
        <v>0.0</v>
      </c>
      <c r="L56" s="3">
        <v>0.0</v>
      </c>
      <c r="M56" s="3" t="s">
        <v>85</v>
      </c>
      <c r="N56" s="3">
        <v>0.9995</v>
      </c>
      <c r="O56" s="3">
        <v>0.0</v>
      </c>
      <c r="P56" s="3">
        <v>0.4504</v>
      </c>
      <c r="Q56" s="3">
        <v>0.0</v>
      </c>
      <c r="R56" s="3">
        <v>0.2612</v>
      </c>
      <c r="S56" s="3">
        <v>88.169998</v>
      </c>
      <c r="T56" s="3">
        <v>21.0</v>
      </c>
      <c r="U56" s="3">
        <f t="shared" si="2"/>
        <v>43.125</v>
      </c>
      <c r="V56" s="3"/>
      <c r="W56" s="3">
        <f t="shared" si="3"/>
        <v>43.17262292</v>
      </c>
      <c r="X56" s="3">
        <f t="shared" si="4"/>
        <v>8.958725339</v>
      </c>
      <c r="Y56" s="3">
        <f t="shared" si="5"/>
        <v>8.883323393</v>
      </c>
      <c r="Z56" s="3">
        <f t="shared" ref="Z56:AA56" si="59">_xlfn.NORM.S.DIST(X56)</f>
        <v>1</v>
      </c>
      <c r="AA56" s="3">
        <f t="shared" si="59"/>
        <v>1</v>
      </c>
    </row>
    <row r="57" ht="14.25" customHeight="1">
      <c r="A57" s="3" t="s">
        <v>136</v>
      </c>
      <c r="B57" s="3" t="s">
        <v>137</v>
      </c>
      <c r="C57" s="3" t="s">
        <v>129</v>
      </c>
      <c r="D57" s="3" t="s">
        <v>29</v>
      </c>
      <c r="E57" s="3">
        <v>45.0</v>
      </c>
      <c r="F57" s="3" t="s">
        <v>27</v>
      </c>
      <c r="G57" s="3">
        <v>42.6</v>
      </c>
      <c r="I57" s="3">
        <v>45.7</v>
      </c>
      <c r="K57" s="3">
        <v>0.0</v>
      </c>
      <c r="L57" s="3">
        <v>0.0</v>
      </c>
      <c r="M57" s="3" t="s">
        <v>86</v>
      </c>
      <c r="N57" s="3">
        <v>0.9995</v>
      </c>
      <c r="O57" s="3">
        <v>0.0</v>
      </c>
      <c r="P57" s="3">
        <v>0.4062</v>
      </c>
      <c r="Q57" s="3">
        <v>0.0</v>
      </c>
      <c r="R57" s="3">
        <v>0.2712</v>
      </c>
      <c r="S57" s="3">
        <v>89.290001</v>
      </c>
      <c r="T57" s="3">
        <v>20.0</v>
      </c>
      <c r="U57" s="3">
        <f t="shared" si="2"/>
        <v>44.15</v>
      </c>
      <c r="V57" s="3"/>
      <c r="W57" s="3">
        <f t="shared" si="3"/>
        <v>44.29250093</v>
      </c>
      <c r="X57" s="3">
        <f t="shared" si="4"/>
        <v>9.007639903</v>
      </c>
      <c r="Y57" s="3">
        <f t="shared" si="5"/>
        <v>8.931237958</v>
      </c>
      <c r="Z57" s="3">
        <f t="shared" ref="Z57:AA57" si="60">_xlfn.NORM.S.DIST(X57)</f>
        <v>1</v>
      </c>
      <c r="AA57" s="3">
        <f t="shared" si="60"/>
        <v>1</v>
      </c>
    </row>
    <row r="58" ht="14.25" customHeight="1">
      <c r="A58" s="3" t="s">
        <v>136</v>
      </c>
      <c r="B58" s="3" t="s">
        <v>137</v>
      </c>
      <c r="C58" s="3" t="s">
        <v>129</v>
      </c>
      <c r="D58" s="3" t="s">
        <v>29</v>
      </c>
      <c r="E58" s="3">
        <v>45.0</v>
      </c>
      <c r="F58" s="3" t="s">
        <v>27</v>
      </c>
      <c r="G58" s="3">
        <v>42.6</v>
      </c>
      <c r="I58" s="3">
        <v>45.75</v>
      </c>
      <c r="K58" s="3">
        <v>0.0</v>
      </c>
      <c r="L58" s="3">
        <v>0.0</v>
      </c>
      <c r="M58" s="3" t="s">
        <v>87</v>
      </c>
      <c r="N58" s="3">
        <v>0.9995</v>
      </c>
      <c r="O58" s="3">
        <v>0.0</v>
      </c>
      <c r="P58" s="3">
        <v>0.5074</v>
      </c>
      <c r="Q58" s="3">
        <v>0.0</v>
      </c>
      <c r="R58" s="3">
        <v>0.3557</v>
      </c>
      <c r="S58" s="3">
        <v>89.019997</v>
      </c>
      <c r="T58" s="3">
        <v>19.0</v>
      </c>
      <c r="U58" s="3">
        <f t="shared" si="2"/>
        <v>44.175</v>
      </c>
      <c r="V58" s="3"/>
      <c r="W58" s="3">
        <f t="shared" si="3"/>
        <v>44.02237194</v>
      </c>
      <c r="X58" s="3">
        <f t="shared" si="4"/>
        <v>7.034117626</v>
      </c>
      <c r="Y58" s="3">
        <f t="shared" si="5"/>
        <v>6.936447804</v>
      </c>
      <c r="Z58" s="3">
        <f t="shared" ref="Z58:AA58" si="61">_xlfn.NORM.S.DIST(X58)</f>
        <v>1</v>
      </c>
      <c r="AA58" s="3">
        <f t="shared" si="61"/>
        <v>1</v>
      </c>
    </row>
    <row r="59" ht="14.25" customHeight="1">
      <c r="A59" s="3" t="s">
        <v>136</v>
      </c>
      <c r="B59" s="3" t="s">
        <v>137</v>
      </c>
      <c r="C59" s="3" t="s">
        <v>129</v>
      </c>
      <c r="D59" s="3" t="s">
        <v>29</v>
      </c>
      <c r="E59" s="3">
        <v>45.0</v>
      </c>
      <c r="F59" s="3" t="s">
        <v>27</v>
      </c>
      <c r="G59" s="3">
        <v>43.35</v>
      </c>
      <c r="I59" s="3">
        <v>46.7</v>
      </c>
      <c r="K59" s="3">
        <v>0.0</v>
      </c>
      <c r="L59" s="3">
        <v>0.0</v>
      </c>
      <c r="M59" s="3" t="s">
        <v>88</v>
      </c>
      <c r="N59" s="3">
        <v>0.9995</v>
      </c>
      <c r="O59" s="3">
        <v>0.0</v>
      </c>
      <c r="P59" s="3">
        <v>0.5252</v>
      </c>
      <c r="Q59" s="3">
        <v>0.0</v>
      </c>
      <c r="R59" s="3">
        <v>0.3189</v>
      </c>
      <c r="S59" s="3">
        <v>90.129997</v>
      </c>
      <c r="T59" s="3">
        <v>18.0</v>
      </c>
      <c r="U59" s="3">
        <f t="shared" si="2"/>
        <v>45.025</v>
      </c>
      <c r="V59" s="3"/>
      <c r="W59" s="3">
        <f t="shared" si="3"/>
        <v>45.13224694</v>
      </c>
      <c r="X59" s="3">
        <f t="shared" si="4"/>
        <v>8.192840403</v>
      </c>
      <c r="Y59" s="3">
        <f t="shared" si="5"/>
        <v>8.107610793</v>
      </c>
      <c r="Z59" s="3">
        <f t="shared" ref="Z59:AA59" si="62">_xlfn.NORM.S.DIST(X59)</f>
        <v>1</v>
      </c>
      <c r="AA59" s="3">
        <f t="shared" si="62"/>
        <v>1</v>
      </c>
    </row>
    <row r="60" ht="14.25" customHeight="1">
      <c r="A60" s="3" t="s">
        <v>136</v>
      </c>
      <c r="B60" s="3" t="s">
        <v>137</v>
      </c>
      <c r="C60" s="3" t="s">
        <v>129</v>
      </c>
      <c r="D60" s="3" t="s">
        <v>29</v>
      </c>
      <c r="E60" s="3">
        <v>45.0</v>
      </c>
      <c r="F60" s="3" t="s">
        <v>27</v>
      </c>
      <c r="G60" s="3">
        <v>43.9</v>
      </c>
      <c r="I60" s="3">
        <v>47.15</v>
      </c>
      <c r="K60" s="3">
        <v>0.0</v>
      </c>
      <c r="L60" s="3">
        <v>0.0</v>
      </c>
      <c r="M60" s="3" t="s">
        <v>89</v>
      </c>
      <c r="N60" s="3">
        <v>0.9995</v>
      </c>
      <c r="O60" s="3">
        <v>0.0</v>
      </c>
      <c r="P60" s="3">
        <v>0.5384</v>
      </c>
      <c r="Q60" s="3">
        <v>0.0</v>
      </c>
      <c r="R60" s="3">
        <v>0.1126</v>
      </c>
      <c r="S60" s="3">
        <v>90.580002</v>
      </c>
      <c r="T60" s="3">
        <v>17.0</v>
      </c>
      <c r="U60" s="3">
        <f t="shared" si="2"/>
        <v>45.525</v>
      </c>
      <c r="V60" s="3"/>
      <c r="W60" s="3">
        <f t="shared" si="3"/>
        <v>45.58212695</v>
      </c>
      <c r="X60" s="3">
        <f t="shared" si="4"/>
        <v>23.93667946</v>
      </c>
      <c r="Y60" s="3">
        <f t="shared" si="5"/>
        <v>23.90743372</v>
      </c>
      <c r="Z60" s="3">
        <f t="shared" ref="Z60:AA60" si="63">_xlfn.NORM.S.DIST(X60)</f>
        <v>1</v>
      </c>
      <c r="AA60" s="3">
        <f t="shared" si="63"/>
        <v>1</v>
      </c>
    </row>
    <row r="61" ht="14.25" customHeight="1">
      <c r="A61" s="3" t="s">
        <v>136</v>
      </c>
      <c r="B61" s="3" t="s">
        <v>137</v>
      </c>
      <c r="C61" s="3" t="s">
        <v>129</v>
      </c>
      <c r="D61" s="3" t="s">
        <v>29</v>
      </c>
      <c r="E61" s="3">
        <v>45.0</v>
      </c>
      <c r="F61" s="3" t="s">
        <v>27</v>
      </c>
      <c r="G61" s="3">
        <v>43.95</v>
      </c>
      <c r="I61" s="3">
        <v>46.75</v>
      </c>
      <c r="K61" s="3">
        <v>0.0</v>
      </c>
      <c r="L61" s="3">
        <v>0.0</v>
      </c>
      <c r="M61" s="3" t="s">
        <v>90</v>
      </c>
      <c r="N61" s="3">
        <v>0.9996</v>
      </c>
      <c r="O61" s="3">
        <v>0.0</v>
      </c>
      <c r="P61" s="3">
        <v>0.5058</v>
      </c>
      <c r="Q61" s="3">
        <v>0.0</v>
      </c>
      <c r="R61" s="3">
        <v>0.1917</v>
      </c>
      <c r="S61" s="3">
        <v>90.110001</v>
      </c>
      <c r="T61" s="3">
        <v>16.0</v>
      </c>
      <c r="U61" s="3">
        <f t="shared" si="2"/>
        <v>45.35</v>
      </c>
      <c r="V61" s="3"/>
      <c r="W61" s="3">
        <f t="shared" si="3"/>
        <v>45.11200096</v>
      </c>
      <c r="X61" s="3">
        <f t="shared" si="4"/>
        <v>14.40008621</v>
      </c>
      <c r="Y61" s="3">
        <f t="shared" si="5"/>
        <v>14.35178235</v>
      </c>
      <c r="Z61" s="3">
        <f t="shared" ref="Z61:AA61" si="64">_xlfn.NORM.S.DIST(X61)</f>
        <v>1</v>
      </c>
      <c r="AA61" s="3">
        <f t="shared" si="64"/>
        <v>1</v>
      </c>
    </row>
    <row r="62" ht="14.25" customHeight="1">
      <c r="A62" s="3" t="s">
        <v>136</v>
      </c>
      <c r="B62" s="3" t="s">
        <v>137</v>
      </c>
      <c r="C62" s="3" t="s">
        <v>129</v>
      </c>
      <c r="D62" s="3" t="s">
        <v>29</v>
      </c>
      <c r="E62" s="3">
        <v>45.0</v>
      </c>
      <c r="F62" s="3" t="s">
        <v>27</v>
      </c>
      <c r="G62" s="3">
        <v>44.1</v>
      </c>
      <c r="I62" s="3">
        <v>47.3</v>
      </c>
      <c r="K62" s="3">
        <v>0.0</v>
      </c>
      <c r="L62" s="3">
        <v>0.0</v>
      </c>
      <c r="M62" s="3" t="s">
        <v>91</v>
      </c>
      <c r="N62" s="3">
        <v>1.0</v>
      </c>
      <c r="O62" s="3">
        <v>0.0</v>
      </c>
      <c r="P62" s="3">
        <v>-0.1248</v>
      </c>
      <c r="Q62" s="3">
        <v>0.0</v>
      </c>
      <c r="R62" s="3">
        <v>0.2304</v>
      </c>
      <c r="S62" s="3">
        <v>90.769997</v>
      </c>
      <c r="T62" s="3">
        <v>15.0</v>
      </c>
      <c r="U62" s="3">
        <f t="shared" si="2"/>
        <v>45.7</v>
      </c>
      <c r="V62" s="3"/>
      <c r="W62" s="3">
        <f t="shared" si="3"/>
        <v>45.77187196</v>
      </c>
      <c r="X62" s="3">
        <f t="shared" si="4"/>
        <v>12.51138215</v>
      </c>
      <c r="Y62" s="3">
        <f t="shared" si="5"/>
        <v>12.4551703</v>
      </c>
      <c r="Z62" s="3">
        <f t="shared" ref="Z62:AA62" si="65">_xlfn.NORM.S.DIST(X62)</f>
        <v>1</v>
      </c>
      <c r="AA62" s="3">
        <f t="shared" si="65"/>
        <v>1</v>
      </c>
    </row>
    <row r="63" ht="14.25" customHeight="1">
      <c r="A63" s="3" t="s">
        <v>136</v>
      </c>
      <c r="B63" s="3" t="s">
        <v>137</v>
      </c>
      <c r="C63" s="3" t="s">
        <v>129</v>
      </c>
      <c r="D63" s="3" t="s">
        <v>29</v>
      </c>
      <c r="E63" s="3">
        <v>45.0</v>
      </c>
      <c r="F63" s="3" t="s">
        <v>27</v>
      </c>
      <c r="G63" s="3">
        <v>43.9</v>
      </c>
      <c r="I63" s="3">
        <v>46.95</v>
      </c>
      <c r="K63" s="3">
        <v>0.0</v>
      </c>
      <c r="L63" s="3">
        <v>0.0</v>
      </c>
      <c r="M63" s="3" t="s">
        <v>92</v>
      </c>
      <c r="N63" s="3">
        <v>1.0</v>
      </c>
      <c r="O63" s="3">
        <v>0.0</v>
      </c>
      <c r="P63" s="3">
        <v>-0.1248</v>
      </c>
      <c r="Q63" s="3">
        <v>0.0</v>
      </c>
      <c r="R63" s="3">
        <v>0.1923</v>
      </c>
      <c r="S63" s="3">
        <v>90.580002</v>
      </c>
      <c r="T63" s="3">
        <v>14.0</v>
      </c>
      <c r="U63" s="3">
        <f t="shared" si="2"/>
        <v>45.425</v>
      </c>
      <c r="V63" s="3"/>
      <c r="W63" s="3">
        <f t="shared" si="3"/>
        <v>45.58175197</v>
      </c>
      <c r="X63" s="3">
        <f t="shared" si="4"/>
        <v>15.4578851</v>
      </c>
      <c r="Y63" s="3">
        <f t="shared" si="5"/>
        <v>15.41255956</v>
      </c>
      <c r="Z63" s="3">
        <f t="shared" ref="Z63:AA63" si="66">_xlfn.NORM.S.DIST(X63)</f>
        <v>1</v>
      </c>
      <c r="AA63" s="3">
        <f t="shared" si="66"/>
        <v>1</v>
      </c>
    </row>
    <row r="64" ht="14.25" customHeight="1">
      <c r="A64" s="3" t="s">
        <v>136</v>
      </c>
      <c r="B64" s="3" t="s">
        <v>137</v>
      </c>
      <c r="C64" s="3" t="s">
        <v>129</v>
      </c>
      <c r="D64" s="3" t="s">
        <v>29</v>
      </c>
      <c r="E64" s="3">
        <v>45.0</v>
      </c>
      <c r="F64" s="3" t="s">
        <v>27</v>
      </c>
      <c r="G64" s="3">
        <v>43.3</v>
      </c>
      <c r="I64" s="3">
        <v>46.8</v>
      </c>
      <c r="K64" s="3">
        <v>0.0</v>
      </c>
      <c r="L64" s="3">
        <v>0.0</v>
      </c>
      <c r="M64" s="3" t="s">
        <v>93</v>
      </c>
      <c r="N64" s="3">
        <v>1.0</v>
      </c>
      <c r="O64" s="3">
        <v>0.0</v>
      </c>
      <c r="P64" s="3">
        <v>-0.1248</v>
      </c>
      <c r="Q64" s="3">
        <v>0.0</v>
      </c>
      <c r="R64" s="3">
        <v>0.3412</v>
      </c>
      <c r="S64" s="3">
        <v>89.93</v>
      </c>
      <c r="T64" s="3">
        <v>13.0</v>
      </c>
      <c r="U64" s="3">
        <f t="shared" si="2"/>
        <v>45.05</v>
      </c>
      <c r="V64" s="3"/>
      <c r="W64" s="3">
        <f t="shared" si="3"/>
        <v>44.93162497</v>
      </c>
      <c r="X64" s="3">
        <f t="shared" si="4"/>
        <v>8.973446555</v>
      </c>
      <c r="Y64" s="3">
        <f t="shared" si="5"/>
        <v>8.895950351</v>
      </c>
      <c r="Z64" s="3">
        <f t="shared" ref="Z64:AA64" si="67">_xlfn.NORM.S.DIST(X64)</f>
        <v>1</v>
      </c>
      <c r="AA64" s="3">
        <f t="shared" si="67"/>
        <v>1</v>
      </c>
    </row>
    <row r="65" ht="14.25" customHeight="1">
      <c r="A65" s="3" t="s">
        <v>136</v>
      </c>
      <c r="B65" s="3" t="s">
        <v>137</v>
      </c>
      <c r="C65" s="3" t="s">
        <v>129</v>
      </c>
      <c r="D65" s="3" t="s">
        <v>29</v>
      </c>
      <c r="E65" s="3">
        <v>45.0</v>
      </c>
      <c r="F65" s="3" t="s">
        <v>27</v>
      </c>
      <c r="G65" s="3">
        <v>43.2</v>
      </c>
      <c r="I65" s="3">
        <v>46.4</v>
      </c>
      <c r="K65" s="3">
        <v>0.0</v>
      </c>
      <c r="L65" s="3">
        <v>0.0</v>
      </c>
      <c r="M65" s="3" t="s">
        <v>94</v>
      </c>
      <c r="N65" s="3">
        <v>1.0</v>
      </c>
      <c r="O65" s="3">
        <v>0.0</v>
      </c>
      <c r="P65" s="3">
        <v>-0.1248</v>
      </c>
      <c r="Q65" s="3">
        <v>0.0</v>
      </c>
      <c r="R65" s="3">
        <v>0.3103</v>
      </c>
      <c r="S65" s="3">
        <v>89.769997</v>
      </c>
      <c r="T65" s="3">
        <v>12.0</v>
      </c>
      <c r="U65" s="3">
        <f t="shared" si="2"/>
        <v>44.8</v>
      </c>
      <c r="V65" s="3"/>
      <c r="W65" s="3">
        <f t="shared" si="3"/>
        <v>44.77149698</v>
      </c>
      <c r="X65" s="3">
        <f t="shared" si="4"/>
        <v>10.23310241</v>
      </c>
      <c r="Y65" s="3">
        <f t="shared" si="5"/>
        <v>10.1653894</v>
      </c>
      <c r="Z65" s="3">
        <f t="shared" ref="Z65:AA65" si="68">_xlfn.NORM.S.DIST(X65)</f>
        <v>1</v>
      </c>
      <c r="AA65" s="3">
        <f t="shared" si="68"/>
        <v>1</v>
      </c>
    </row>
    <row r="66" ht="14.25" customHeight="1">
      <c r="A66" s="3" t="s">
        <v>136</v>
      </c>
      <c r="B66" s="3" t="s">
        <v>137</v>
      </c>
      <c r="C66" s="3" t="s">
        <v>129</v>
      </c>
      <c r="D66" s="3" t="s">
        <v>29</v>
      </c>
      <c r="E66" s="3">
        <v>45.0</v>
      </c>
      <c r="F66" s="3" t="s">
        <v>27</v>
      </c>
      <c r="G66" s="3">
        <v>42.1</v>
      </c>
      <c r="I66" s="3">
        <v>45.5</v>
      </c>
      <c r="K66" s="3">
        <v>0.0</v>
      </c>
      <c r="L66" s="3">
        <v>0.0</v>
      </c>
      <c r="M66" s="3" t="s">
        <v>95</v>
      </c>
      <c r="N66" s="3">
        <v>1.0</v>
      </c>
      <c r="O66" s="3">
        <v>0.0</v>
      </c>
      <c r="P66" s="3">
        <v>-0.1248</v>
      </c>
      <c r="Q66" s="3">
        <v>0.0</v>
      </c>
      <c r="R66" s="3">
        <v>0.2265</v>
      </c>
      <c r="S66" s="3">
        <v>89.010002</v>
      </c>
      <c r="T66" s="3">
        <v>11.0</v>
      </c>
      <c r="U66" s="3">
        <f t="shared" si="2"/>
        <v>43.8</v>
      </c>
      <c r="V66" s="3"/>
      <c r="W66" s="3">
        <f t="shared" si="3"/>
        <v>44.01137698</v>
      </c>
      <c r="X66" s="3">
        <f t="shared" si="4"/>
        <v>14.43799153</v>
      </c>
      <c r="Y66" s="3">
        <f t="shared" si="5"/>
        <v>14.3906694</v>
      </c>
      <c r="Z66" s="3">
        <f t="shared" ref="Z66:AA66" si="69">_xlfn.NORM.S.DIST(X66)</f>
        <v>1</v>
      </c>
      <c r="AA66" s="3">
        <f t="shared" si="69"/>
        <v>1</v>
      </c>
    </row>
    <row r="67" ht="14.25" customHeight="1">
      <c r="A67" s="3" t="s">
        <v>136</v>
      </c>
      <c r="B67" s="3" t="s">
        <v>137</v>
      </c>
      <c r="C67" s="3" t="s">
        <v>129</v>
      </c>
      <c r="D67" s="3" t="s">
        <v>29</v>
      </c>
      <c r="E67" s="3">
        <v>45.0</v>
      </c>
      <c r="F67" s="3" t="s">
        <v>27</v>
      </c>
      <c r="G67" s="3">
        <v>41.75</v>
      </c>
      <c r="I67" s="3">
        <v>45.15</v>
      </c>
      <c r="K67" s="3">
        <v>0.0</v>
      </c>
      <c r="L67" s="3">
        <v>0.0</v>
      </c>
      <c r="M67" s="3" t="s">
        <v>96</v>
      </c>
      <c r="N67" s="3">
        <v>1.0</v>
      </c>
      <c r="O67" s="3">
        <v>0.0</v>
      </c>
      <c r="P67" s="3">
        <v>-0.1248</v>
      </c>
      <c r="Q67" s="3">
        <v>0.0</v>
      </c>
      <c r="R67" s="3">
        <v>0.3355</v>
      </c>
      <c r="S67" s="3">
        <v>88.599998</v>
      </c>
      <c r="T67" s="3">
        <v>10.0</v>
      </c>
      <c r="U67" s="3">
        <f t="shared" si="2"/>
        <v>43.45</v>
      </c>
      <c r="V67" s="3"/>
      <c r="W67" s="3">
        <f t="shared" si="3"/>
        <v>43.60124798</v>
      </c>
      <c r="X67" s="3">
        <f t="shared" si="4"/>
        <v>10.17055092</v>
      </c>
      <c r="Y67" s="3">
        <f t="shared" si="5"/>
        <v>10.10371772</v>
      </c>
      <c r="Z67" s="3">
        <f t="shared" ref="Z67:AA67" si="70">_xlfn.NORM.S.DIST(X67)</f>
        <v>1</v>
      </c>
      <c r="AA67" s="3">
        <f t="shared" si="70"/>
        <v>1</v>
      </c>
    </row>
    <row r="68" ht="14.25" customHeight="1">
      <c r="A68" s="3" t="s">
        <v>136</v>
      </c>
      <c r="B68" s="3" t="s">
        <v>137</v>
      </c>
      <c r="C68" s="3" t="s">
        <v>129</v>
      </c>
      <c r="D68" s="3" t="s">
        <v>29</v>
      </c>
      <c r="E68" s="3">
        <v>45.0</v>
      </c>
      <c r="F68" s="3" t="s">
        <v>27</v>
      </c>
      <c r="G68" s="3">
        <v>42.25</v>
      </c>
      <c r="I68" s="3">
        <v>45.8</v>
      </c>
      <c r="K68" s="3">
        <v>0.0</v>
      </c>
      <c r="L68" s="3">
        <v>0.0</v>
      </c>
      <c r="M68" s="3" t="s">
        <v>97</v>
      </c>
      <c r="N68" s="3">
        <v>1.0</v>
      </c>
      <c r="O68" s="3">
        <v>0.0</v>
      </c>
      <c r="P68" s="3">
        <v>-0.1248</v>
      </c>
      <c r="Q68" s="3">
        <v>0.0</v>
      </c>
      <c r="R68" s="3">
        <v>0.3369</v>
      </c>
      <c r="S68" s="3">
        <v>88.769997</v>
      </c>
      <c r="T68" s="3">
        <v>9.0</v>
      </c>
      <c r="U68" s="3">
        <f t="shared" si="2"/>
        <v>44.025</v>
      </c>
      <c r="V68" s="3"/>
      <c r="W68" s="3">
        <f t="shared" si="3"/>
        <v>43.77112199</v>
      </c>
      <c r="X68" s="3">
        <f t="shared" si="4"/>
        <v>10.70297182</v>
      </c>
      <c r="Y68" s="3">
        <f t="shared" si="5"/>
        <v>10.63930371</v>
      </c>
      <c r="Z68" s="3">
        <f t="shared" ref="Z68:AA68" si="71">_xlfn.NORM.S.DIST(X68)</f>
        <v>1</v>
      </c>
      <c r="AA68" s="3">
        <f t="shared" si="71"/>
        <v>1</v>
      </c>
    </row>
    <row r="69" ht="14.25" customHeight="1">
      <c r="A69" s="3" t="s">
        <v>136</v>
      </c>
      <c r="B69" s="3" t="s">
        <v>137</v>
      </c>
      <c r="C69" s="3" t="s">
        <v>129</v>
      </c>
      <c r="D69" s="3" t="s">
        <v>29</v>
      </c>
      <c r="E69" s="3">
        <v>45.0</v>
      </c>
      <c r="F69" s="3" t="s">
        <v>27</v>
      </c>
      <c r="G69" s="3">
        <v>42.4</v>
      </c>
      <c r="I69" s="3">
        <v>45.4</v>
      </c>
      <c r="K69" s="3">
        <v>0.0</v>
      </c>
      <c r="L69" s="3">
        <v>0.0</v>
      </c>
      <c r="M69" s="3" t="s">
        <v>98</v>
      </c>
      <c r="N69" s="3">
        <v>0.9999</v>
      </c>
      <c r="O69" s="3">
        <v>0.0</v>
      </c>
      <c r="P69" s="3">
        <v>0.3281</v>
      </c>
      <c r="Q69" s="3">
        <v>0.0</v>
      </c>
      <c r="R69" s="3">
        <v>0.2645</v>
      </c>
      <c r="S69" s="3">
        <v>88.68</v>
      </c>
      <c r="T69" s="3">
        <v>8.0</v>
      </c>
      <c r="U69" s="3">
        <f t="shared" si="2"/>
        <v>43.9</v>
      </c>
      <c r="V69" s="3"/>
      <c r="W69" s="3">
        <f t="shared" si="3"/>
        <v>43.68099999</v>
      </c>
      <c r="X69" s="3">
        <f t="shared" si="4"/>
        <v>14.41856368</v>
      </c>
      <c r="Y69" s="3">
        <f t="shared" si="5"/>
        <v>14.37143662</v>
      </c>
      <c r="Z69" s="3">
        <f t="shared" ref="Z69:AA69" si="72">_xlfn.NORM.S.DIST(X69)</f>
        <v>1</v>
      </c>
      <c r="AA69" s="3">
        <f t="shared" si="72"/>
        <v>1</v>
      </c>
    </row>
    <row r="70" ht="14.25" customHeight="1">
      <c r="A70" s="3" t="s">
        <v>136</v>
      </c>
      <c r="B70" s="3" t="s">
        <v>137</v>
      </c>
      <c r="C70" s="3" t="s">
        <v>129</v>
      </c>
      <c r="D70" s="3" t="s">
        <v>29</v>
      </c>
      <c r="E70" s="3">
        <v>45.0</v>
      </c>
      <c r="F70" s="3" t="s">
        <v>27</v>
      </c>
      <c r="G70" s="3">
        <v>43.15</v>
      </c>
      <c r="I70" s="3">
        <v>45.75</v>
      </c>
      <c r="K70" s="3">
        <v>0.0</v>
      </c>
      <c r="L70" s="3">
        <v>0.0</v>
      </c>
      <c r="M70" s="3" t="s">
        <v>99</v>
      </c>
      <c r="N70" s="3">
        <v>1.0</v>
      </c>
      <c r="O70" s="3">
        <v>0.0</v>
      </c>
      <c r="P70" s="3">
        <v>-0.1248</v>
      </c>
      <c r="Q70" s="3">
        <v>0.0</v>
      </c>
      <c r="R70" s="3">
        <v>0.2027</v>
      </c>
      <c r="S70" s="3">
        <v>89.220001</v>
      </c>
      <c r="T70" s="3">
        <v>7.0</v>
      </c>
      <c r="U70" s="3">
        <f t="shared" si="2"/>
        <v>44.45</v>
      </c>
      <c r="V70" s="3"/>
      <c r="W70" s="3">
        <f t="shared" si="3"/>
        <v>44.22087599</v>
      </c>
      <c r="X70" s="3">
        <f t="shared" si="4"/>
        <v>20.27724279</v>
      </c>
      <c r="Y70" s="3">
        <f t="shared" si="5"/>
        <v>20.24345946</v>
      </c>
      <c r="Z70" s="3">
        <f t="shared" ref="Z70:AA70" si="73">_xlfn.NORM.S.DIST(X70)</f>
        <v>1</v>
      </c>
      <c r="AA70" s="3">
        <f t="shared" si="73"/>
        <v>1</v>
      </c>
    </row>
    <row r="71" ht="14.25" customHeight="1">
      <c r="A71" s="3" t="s">
        <v>136</v>
      </c>
      <c r="B71" s="3" t="s">
        <v>137</v>
      </c>
      <c r="C71" s="3" t="s">
        <v>129</v>
      </c>
      <c r="D71" s="3" t="s">
        <v>29</v>
      </c>
      <c r="E71" s="3">
        <v>45.0</v>
      </c>
      <c r="F71" s="3" t="s">
        <v>27</v>
      </c>
      <c r="G71" s="3">
        <v>42.25</v>
      </c>
      <c r="I71" s="3">
        <v>45.5</v>
      </c>
      <c r="K71" s="3">
        <v>0.0</v>
      </c>
      <c r="L71" s="3">
        <v>0.0</v>
      </c>
      <c r="M71" s="3" t="s">
        <v>100</v>
      </c>
      <c r="N71" s="3">
        <v>1.0</v>
      </c>
      <c r="O71" s="3">
        <v>0.0</v>
      </c>
      <c r="P71" s="3">
        <v>-0.1248</v>
      </c>
      <c r="Q71" s="3">
        <v>0.0</v>
      </c>
      <c r="R71" s="3">
        <v>0.1847</v>
      </c>
      <c r="S71" s="3">
        <v>88.989998</v>
      </c>
      <c r="T71" s="3">
        <v>6.0</v>
      </c>
      <c r="U71" s="3">
        <f t="shared" si="2"/>
        <v>43.875</v>
      </c>
      <c r="V71" s="3"/>
      <c r="W71" s="3">
        <f t="shared" si="3"/>
        <v>43.99074799</v>
      </c>
      <c r="X71" s="3">
        <f t="shared" si="4"/>
        <v>23.9399431</v>
      </c>
      <c r="Y71" s="3">
        <f t="shared" si="5"/>
        <v>23.91144327</v>
      </c>
      <c r="Z71" s="3">
        <f t="shared" ref="Z71:AA71" si="74">_xlfn.NORM.S.DIST(X71)</f>
        <v>1</v>
      </c>
      <c r="AA71" s="3">
        <f t="shared" si="74"/>
        <v>1</v>
      </c>
    </row>
    <row r="72" ht="14.25" customHeight="1">
      <c r="A72" s="3" t="s">
        <v>136</v>
      </c>
      <c r="B72" s="3" t="s">
        <v>137</v>
      </c>
      <c r="C72" s="3" t="s">
        <v>129</v>
      </c>
      <c r="D72" s="3" t="s">
        <v>29</v>
      </c>
      <c r="E72" s="3">
        <v>45.0</v>
      </c>
      <c r="F72" s="3" t="s">
        <v>27</v>
      </c>
      <c r="G72" s="3">
        <v>39.8</v>
      </c>
      <c r="I72" s="3">
        <v>43.2</v>
      </c>
      <c r="K72" s="3">
        <v>0.0</v>
      </c>
      <c r="L72" s="3">
        <v>0.0</v>
      </c>
      <c r="M72" s="3" t="s">
        <v>101</v>
      </c>
      <c r="N72" s="3">
        <v>1.0</v>
      </c>
      <c r="O72" s="3">
        <v>0.0</v>
      </c>
      <c r="P72" s="3">
        <v>-0.1248</v>
      </c>
      <c r="Q72" s="3">
        <v>0.0</v>
      </c>
      <c r="R72" s="3">
        <v>0.2524</v>
      </c>
      <c r="S72" s="3">
        <v>86.489998</v>
      </c>
      <c r="T72" s="3">
        <v>5.0</v>
      </c>
      <c r="U72" s="3">
        <f t="shared" si="2"/>
        <v>41.5</v>
      </c>
      <c r="V72" s="3"/>
      <c r="W72" s="3">
        <f t="shared" si="3"/>
        <v>41.490623</v>
      </c>
      <c r="X72" s="3">
        <f t="shared" si="4"/>
        <v>18.39550661</v>
      </c>
      <c r="Y72" s="3">
        <f t="shared" si="5"/>
        <v>18.35995379</v>
      </c>
      <c r="Z72" s="3">
        <f t="shared" ref="Z72:AA72" si="75">_xlfn.NORM.S.DIST(X72)</f>
        <v>1</v>
      </c>
      <c r="AA72" s="3">
        <f t="shared" si="75"/>
        <v>1</v>
      </c>
    </row>
    <row r="73" ht="14.25" customHeight="1">
      <c r="A73" s="3" t="s">
        <v>136</v>
      </c>
      <c r="B73" s="3" t="s">
        <v>137</v>
      </c>
      <c r="C73" s="3" t="s">
        <v>129</v>
      </c>
      <c r="D73" s="3" t="s">
        <v>29</v>
      </c>
      <c r="E73" s="3">
        <v>45.0</v>
      </c>
      <c r="F73" s="3" t="s">
        <v>27</v>
      </c>
      <c r="G73" s="3">
        <v>39.95</v>
      </c>
      <c r="I73" s="3">
        <v>43.3</v>
      </c>
      <c r="K73" s="3">
        <v>0.0</v>
      </c>
      <c r="L73" s="3">
        <v>0.0</v>
      </c>
      <c r="M73" s="3" t="s">
        <v>102</v>
      </c>
      <c r="N73" s="3">
        <v>1.0</v>
      </c>
      <c r="O73" s="3">
        <v>0.0</v>
      </c>
      <c r="P73" s="3">
        <v>-0.1248</v>
      </c>
      <c r="Q73" s="3">
        <v>0.0</v>
      </c>
      <c r="R73" s="3">
        <v>0.3366</v>
      </c>
      <c r="S73" s="3">
        <v>86.610001</v>
      </c>
      <c r="T73" s="3">
        <v>4.0</v>
      </c>
      <c r="U73" s="3">
        <f t="shared" si="2"/>
        <v>41.625</v>
      </c>
      <c r="V73" s="3"/>
      <c r="W73" s="3">
        <f t="shared" si="3"/>
        <v>41.610501</v>
      </c>
      <c r="X73" s="3">
        <f t="shared" si="4"/>
        <v>15.46097642</v>
      </c>
      <c r="Y73" s="3">
        <f t="shared" si="5"/>
        <v>15.41856881</v>
      </c>
      <c r="Z73" s="3">
        <f t="shared" ref="Z73:AA73" si="76">_xlfn.NORM.S.DIST(X73)</f>
        <v>1</v>
      </c>
      <c r="AA73" s="3">
        <f t="shared" si="76"/>
        <v>1</v>
      </c>
    </row>
    <row r="74" ht="14.25" customHeight="1">
      <c r="A74" s="3" t="s">
        <v>136</v>
      </c>
      <c r="B74" s="3" t="s">
        <v>137</v>
      </c>
      <c r="C74" s="3" t="s">
        <v>129</v>
      </c>
      <c r="D74" s="3" t="s">
        <v>29</v>
      </c>
      <c r="E74" s="3">
        <v>45.0</v>
      </c>
      <c r="F74" s="3" t="s">
        <v>27</v>
      </c>
      <c r="G74" s="3">
        <v>39.45</v>
      </c>
      <c r="I74" s="3">
        <v>42.25</v>
      </c>
      <c r="K74" s="3">
        <v>0.0</v>
      </c>
      <c r="L74" s="3">
        <v>0.0</v>
      </c>
      <c r="M74" s="3" t="s">
        <v>103</v>
      </c>
      <c r="N74" s="3">
        <v>1.0</v>
      </c>
      <c r="O74" s="3">
        <v>0.0</v>
      </c>
      <c r="P74" s="3">
        <v>-0.1248</v>
      </c>
      <c r="Q74" s="3">
        <v>0.0</v>
      </c>
      <c r="R74" s="3">
        <v>0.2205</v>
      </c>
      <c r="S74" s="3">
        <v>86.080002</v>
      </c>
      <c r="T74" s="3">
        <v>3.0</v>
      </c>
      <c r="U74" s="3">
        <f t="shared" si="2"/>
        <v>40.85</v>
      </c>
      <c r="V74" s="3"/>
      <c r="W74" s="3">
        <f t="shared" si="3"/>
        <v>41.080377</v>
      </c>
      <c r="X74" s="3">
        <f t="shared" si="4"/>
        <v>26.97224537</v>
      </c>
      <c r="Y74" s="3">
        <f t="shared" si="5"/>
        <v>26.94818685</v>
      </c>
      <c r="Z74" s="3">
        <f t="shared" ref="Z74:AA74" si="77">_xlfn.NORM.S.DIST(X74)</f>
        <v>1</v>
      </c>
      <c r="AA74" s="3">
        <f t="shared" si="77"/>
        <v>1</v>
      </c>
    </row>
    <row r="75" ht="14.25" customHeight="1">
      <c r="A75" s="3" t="s">
        <v>136</v>
      </c>
      <c r="B75" s="3" t="s">
        <v>137</v>
      </c>
      <c r="C75" s="3" t="s">
        <v>129</v>
      </c>
      <c r="D75" s="3" t="s">
        <v>29</v>
      </c>
      <c r="E75" s="3">
        <v>45.0</v>
      </c>
      <c r="F75" s="3" t="s">
        <v>27</v>
      </c>
      <c r="G75" s="3">
        <v>40.15</v>
      </c>
      <c r="I75" s="3">
        <v>43.35</v>
      </c>
      <c r="K75" s="3">
        <v>0.0</v>
      </c>
      <c r="L75" s="3">
        <v>0.0</v>
      </c>
      <c r="M75" s="3" t="s">
        <v>104</v>
      </c>
      <c r="N75" s="3">
        <v>1.0</v>
      </c>
      <c r="O75" s="3">
        <v>0.0</v>
      </c>
      <c r="P75" s="3">
        <v>-0.1248</v>
      </c>
      <c r="Q75" s="3">
        <v>0.0</v>
      </c>
      <c r="R75" s="3">
        <v>0.5009</v>
      </c>
      <c r="S75" s="3">
        <v>86.620003</v>
      </c>
      <c r="T75" s="3">
        <v>2.0</v>
      </c>
      <c r="U75" s="3">
        <f t="shared" si="2"/>
        <v>41.75</v>
      </c>
      <c r="V75" s="3"/>
      <c r="W75" s="3">
        <f t="shared" si="3"/>
        <v>41.620253</v>
      </c>
      <c r="X75" s="3">
        <f t="shared" si="4"/>
        <v>14.69777718</v>
      </c>
      <c r="Y75" s="3">
        <f t="shared" si="5"/>
        <v>14.65315346</v>
      </c>
      <c r="Z75" s="3">
        <f t="shared" ref="Z75:AA75" si="78">_xlfn.NORM.S.DIST(X75)</f>
        <v>1</v>
      </c>
      <c r="AA75" s="3">
        <f t="shared" si="78"/>
        <v>1</v>
      </c>
    </row>
    <row r="76" ht="14.25" customHeight="1">
      <c r="A76" s="3" t="s">
        <v>136</v>
      </c>
      <c r="B76" s="3" t="s">
        <v>137</v>
      </c>
      <c r="C76" s="3" t="s">
        <v>129</v>
      </c>
      <c r="D76" s="3" t="s">
        <v>29</v>
      </c>
      <c r="E76" s="3">
        <v>45.0</v>
      </c>
      <c r="F76" s="3" t="s">
        <v>27</v>
      </c>
      <c r="G76" s="3">
        <v>40.6</v>
      </c>
      <c r="I76" s="3">
        <v>44.0</v>
      </c>
      <c r="K76" s="3">
        <v>0.0</v>
      </c>
      <c r="L76" s="3">
        <v>0.0</v>
      </c>
      <c r="M76" s="3" t="s">
        <v>105</v>
      </c>
      <c r="N76" s="3">
        <v>0.0</v>
      </c>
      <c r="O76" s="3">
        <v>0.0</v>
      </c>
      <c r="P76" s="3">
        <v>0.0</v>
      </c>
      <c r="Q76" s="3">
        <v>0.0</v>
      </c>
      <c r="R76" s="4">
        <v>0.001</v>
      </c>
      <c r="S76" s="3">
        <v>87.449997</v>
      </c>
      <c r="T76" s="3">
        <v>1.0</v>
      </c>
      <c r="U76" s="3">
        <f t="shared" si="2"/>
        <v>42.3</v>
      </c>
      <c r="V76" s="3"/>
      <c r="W76" s="3">
        <f t="shared" si="3"/>
        <v>42.450122</v>
      </c>
      <c r="X76" s="3">
        <f t="shared" si="4"/>
        <v>10547.14141</v>
      </c>
      <c r="Y76" s="3">
        <f t="shared" si="5"/>
        <v>10547.14134</v>
      </c>
      <c r="Z76" s="3">
        <f t="shared" ref="Z76:AA76" si="79">_xlfn.NORM.S.DIST(X76)</f>
        <v>1</v>
      </c>
      <c r="AA76" s="3">
        <f t="shared" si="79"/>
        <v>1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>
        <v>51.0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138</v>
      </c>
      <c r="B2" s="3" t="s">
        <v>139</v>
      </c>
      <c r="C2" s="3" t="s">
        <v>132</v>
      </c>
      <c r="D2" s="3" t="s">
        <v>29</v>
      </c>
      <c r="E2" s="3">
        <v>37.5</v>
      </c>
      <c r="F2" s="3" t="s">
        <v>27</v>
      </c>
      <c r="G2" s="3">
        <v>29.85</v>
      </c>
      <c r="I2" s="3">
        <v>32.95</v>
      </c>
      <c r="K2" s="3">
        <v>0.0</v>
      </c>
      <c r="L2" s="3">
        <v>0.0</v>
      </c>
      <c r="M2" s="3" t="s">
        <v>30</v>
      </c>
      <c r="N2" s="3">
        <v>1.0</v>
      </c>
      <c r="O2" s="3">
        <v>0.0</v>
      </c>
      <c r="P2" s="3">
        <v>-0.1135</v>
      </c>
      <c r="Q2" s="3">
        <v>0.0</v>
      </c>
      <c r="R2" s="3">
        <v>0.1969</v>
      </c>
      <c r="S2" s="3">
        <v>69.239998</v>
      </c>
      <c r="T2" s="3">
        <v>51.0</v>
      </c>
      <c r="U2" s="3">
        <f t="shared" ref="U2:U52" si="2">(I2+G2)*0.5</f>
        <v>31.4</v>
      </c>
      <c r="V2" s="3"/>
      <c r="W2" s="3">
        <f t="shared" ref="W2:W52" si="3">( S2*Z2 ) - ( E2 * EXP(-0.0007*T2/$AC$2) * AA2)</f>
        <v>31.74531012</v>
      </c>
      <c r="X2" s="3">
        <f t="shared" ref="X2:X52" si="4">((LN(S2/E2) + (0.0007 + (R2^2)/2) * T2/$AC$2)) / (R2 * SQRT(T2/$AC$2))</f>
        <v>6.968953031</v>
      </c>
      <c r="Y2" s="3">
        <f t="shared" ref="Y2:Y52" si="5">X2-(R2*SQRT(T2/$AC$2))</f>
        <v>6.88037408</v>
      </c>
      <c r="Z2" s="3">
        <f t="shared" ref="Z2:AA2" si="1">_xlfn.NORM.S.DIST(X2)</f>
        <v>1</v>
      </c>
      <c r="AA2" s="3">
        <f t="shared" si="1"/>
        <v>1</v>
      </c>
      <c r="AC2" s="6">
        <v>252.0</v>
      </c>
    </row>
    <row r="3" ht="14.25" customHeight="1">
      <c r="A3" s="3" t="s">
        <v>138</v>
      </c>
      <c r="B3" s="3" t="s">
        <v>139</v>
      </c>
      <c r="C3" s="3" t="s">
        <v>132</v>
      </c>
      <c r="D3" s="3" t="s">
        <v>29</v>
      </c>
      <c r="E3" s="3">
        <v>37.5</v>
      </c>
      <c r="F3" s="3" t="s">
        <v>27</v>
      </c>
      <c r="G3" s="3">
        <v>29.5</v>
      </c>
      <c r="I3" s="3">
        <v>33.05</v>
      </c>
      <c r="K3" s="3">
        <v>0.0</v>
      </c>
      <c r="L3" s="3">
        <v>0.0</v>
      </c>
      <c r="M3" s="3" t="s">
        <v>31</v>
      </c>
      <c r="N3" s="3">
        <v>1.0</v>
      </c>
      <c r="O3" s="3">
        <v>0.0</v>
      </c>
      <c r="P3" s="3">
        <v>-0.1135</v>
      </c>
      <c r="Q3" s="3">
        <v>0.0</v>
      </c>
      <c r="R3" s="3">
        <v>0.1881</v>
      </c>
      <c r="S3" s="3">
        <v>68.800003</v>
      </c>
      <c r="T3" s="3">
        <v>50.0</v>
      </c>
      <c r="U3" s="3">
        <f t="shared" si="2"/>
        <v>31.275</v>
      </c>
      <c r="V3" s="3"/>
      <c r="W3" s="3">
        <f t="shared" si="3"/>
        <v>31.30521097</v>
      </c>
      <c r="X3" s="3">
        <f t="shared" si="4"/>
        <v>7.286526568</v>
      </c>
      <c r="Y3" s="3">
        <f t="shared" si="5"/>
        <v>7.202740169</v>
      </c>
      <c r="Z3" s="3">
        <f t="shared" ref="Z3:AA3" si="6">_xlfn.NORM.S.DIST(X3)</f>
        <v>1</v>
      </c>
      <c r="AA3" s="3">
        <f t="shared" si="6"/>
        <v>1</v>
      </c>
    </row>
    <row r="4" ht="14.25" customHeight="1">
      <c r="A4" s="3" t="s">
        <v>138</v>
      </c>
      <c r="B4" s="3" t="s">
        <v>139</v>
      </c>
      <c r="C4" s="3" t="s">
        <v>132</v>
      </c>
      <c r="D4" s="3" t="s">
        <v>29</v>
      </c>
      <c r="E4" s="3">
        <v>37.5</v>
      </c>
      <c r="F4" s="3" t="s">
        <v>27</v>
      </c>
      <c r="G4" s="3">
        <v>29.8</v>
      </c>
      <c r="I4" s="3">
        <v>33.25</v>
      </c>
      <c r="K4" s="3">
        <v>0.0</v>
      </c>
      <c r="L4" s="3">
        <v>0.0</v>
      </c>
      <c r="M4" s="3" t="s">
        <v>32</v>
      </c>
      <c r="N4" s="3">
        <v>1.0</v>
      </c>
      <c r="O4" s="3">
        <v>0.0</v>
      </c>
      <c r="P4" s="3">
        <v>-0.1135</v>
      </c>
      <c r="Q4" s="3">
        <v>0.0</v>
      </c>
      <c r="R4" s="3">
        <v>0.2442</v>
      </c>
      <c r="S4" s="3">
        <v>69.059998</v>
      </c>
      <c r="T4" s="3">
        <v>49.0</v>
      </c>
      <c r="U4" s="3">
        <f t="shared" si="2"/>
        <v>31.525</v>
      </c>
      <c r="V4" s="3"/>
      <c r="W4" s="3">
        <f t="shared" si="3"/>
        <v>31.56510183</v>
      </c>
      <c r="X4" s="3">
        <f t="shared" si="4"/>
        <v>5.725823327</v>
      </c>
      <c r="Y4" s="3">
        <f t="shared" si="5"/>
        <v>5.618141248</v>
      </c>
      <c r="Z4" s="3">
        <f t="shared" ref="Z4:AA4" si="7">_xlfn.NORM.S.DIST(X4)</f>
        <v>0.9999999949</v>
      </c>
      <c r="AA4" s="3">
        <f t="shared" si="7"/>
        <v>0.9999999903</v>
      </c>
    </row>
    <row r="5" ht="14.25" customHeight="1">
      <c r="A5" s="3" t="s">
        <v>138</v>
      </c>
      <c r="B5" s="3" t="s">
        <v>139</v>
      </c>
      <c r="C5" s="3" t="s">
        <v>132</v>
      </c>
      <c r="D5" s="3" t="s">
        <v>29</v>
      </c>
      <c r="E5" s="3">
        <v>37.5</v>
      </c>
      <c r="F5" s="3" t="s">
        <v>27</v>
      </c>
      <c r="G5" s="3">
        <v>29.15</v>
      </c>
      <c r="I5" s="3">
        <v>32.35</v>
      </c>
      <c r="K5" s="3">
        <v>0.0</v>
      </c>
      <c r="L5" s="3">
        <v>0.0</v>
      </c>
      <c r="M5" s="3" t="s">
        <v>33</v>
      </c>
      <c r="N5" s="3">
        <v>1.0</v>
      </c>
      <c r="O5" s="3">
        <v>0.0</v>
      </c>
      <c r="P5" s="3">
        <v>-0.1135</v>
      </c>
      <c r="Q5" s="3">
        <v>0.0</v>
      </c>
      <c r="R5" s="3">
        <v>0.2038</v>
      </c>
      <c r="S5" s="3">
        <v>68.400002</v>
      </c>
      <c r="T5" s="3">
        <v>48.0</v>
      </c>
      <c r="U5" s="3">
        <f t="shared" si="2"/>
        <v>30.75</v>
      </c>
      <c r="V5" s="3"/>
      <c r="W5" s="3">
        <f t="shared" si="3"/>
        <v>30.90500167</v>
      </c>
      <c r="X5" s="3">
        <f t="shared" si="4"/>
        <v>6.803268887</v>
      </c>
      <c r="Y5" s="3">
        <f t="shared" si="5"/>
        <v>6.714323275</v>
      </c>
      <c r="Z5" s="3">
        <f t="shared" ref="Z5:AA5" si="8">_xlfn.NORM.S.DIST(X5)</f>
        <v>1</v>
      </c>
      <c r="AA5" s="3">
        <f t="shared" si="8"/>
        <v>1</v>
      </c>
    </row>
    <row r="6" ht="14.25" customHeight="1">
      <c r="A6" s="3" t="s">
        <v>138</v>
      </c>
      <c r="B6" s="3" t="s">
        <v>139</v>
      </c>
      <c r="C6" s="3" t="s">
        <v>132</v>
      </c>
      <c r="D6" s="3" t="s">
        <v>29</v>
      </c>
      <c r="E6" s="3">
        <v>37.5</v>
      </c>
      <c r="F6" s="3" t="s">
        <v>27</v>
      </c>
      <c r="G6" s="3">
        <v>29.25</v>
      </c>
      <c r="I6" s="3">
        <v>32.6</v>
      </c>
      <c r="K6" s="3">
        <v>0.0</v>
      </c>
      <c r="L6" s="3">
        <v>0.0</v>
      </c>
      <c r="M6" s="3" t="s">
        <v>34</v>
      </c>
      <c r="N6" s="3">
        <v>1.0</v>
      </c>
      <c r="O6" s="3">
        <v>0.0</v>
      </c>
      <c r="P6" s="3">
        <v>-0.1135</v>
      </c>
      <c r="Q6" s="3">
        <v>0.0</v>
      </c>
      <c r="R6" s="3">
        <v>0.196</v>
      </c>
      <c r="S6" s="3">
        <v>68.589996</v>
      </c>
      <c r="T6" s="3">
        <v>47.0</v>
      </c>
      <c r="U6" s="3">
        <f t="shared" si="2"/>
        <v>30.925</v>
      </c>
      <c r="V6" s="3"/>
      <c r="W6" s="3">
        <f t="shared" si="3"/>
        <v>31.09489151</v>
      </c>
      <c r="X6" s="3">
        <f t="shared" si="4"/>
        <v>7.177198597</v>
      </c>
      <c r="Y6" s="3">
        <f t="shared" si="5"/>
        <v>7.092552931</v>
      </c>
      <c r="Z6" s="3">
        <f t="shared" ref="Z6:AA6" si="9">_xlfn.NORM.S.DIST(X6)</f>
        <v>1</v>
      </c>
      <c r="AA6" s="3">
        <f t="shared" si="9"/>
        <v>1</v>
      </c>
    </row>
    <row r="7" ht="14.25" customHeight="1">
      <c r="A7" s="3" t="s">
        <v>138</v>
      </c>
      <c r="B7" s="3" t="s">
        <v>139</v>
      </c>
      <c r="C7" s="3" t="s">
        <v>132</v>
      </c>
      <c r="D7" s="3" t="s">
        <v>29</v>
      </c>
      <c r="E7" s="3">
        <v>37.5</v>
      </c>
      <c r="F7" s="3" t="s">
        <v>27</v>
      </c>
      <c r="G7" s="3">
        <v>29.6</v>
      </c>
      <c r="I7" s="3">
        <v>32.55</v>
      </c>
      <c r="K7" s="3">
        <v>0.0</v>
      </c>
      <c r="L7" s="3">
        <v>0.0</v>
      </c>
      <c r="M7" s="3" t="s">
        <v>35</v>
      </c>
      <c r="N7" s="3">
        <v>1.0</v>
      </c>
      <c r="O7" s="3">
        <v>0.0</v>
      </c>
      <c r="P7" s="3">
        <v>-0.1135</v>
      </c>
      <c r="Q7" s="3">
        <v>0.0</v>
      </c>
      <c r="R7" s="3">
        <v>0.1923</v>
      </c>
      <c r="S7" s="3">
        <v>68.57</v>
      </c>
      <c r="T7" s="3">
        <v>46.0</v>
      </c>
      <c r="U7" s="3">
        <f t="shared" si="2"/>
        <v>31.075</v>
      </c>
      <c r="V7" s="3"/>
      <c r="W7" s="3">
        <f t="shared" si="3"/>
        <v>31.07479136</v>
      </c>
      <c r="X7" s="3">
        <f t="shared" si="4"/>
        <v>7.388273558</v>
      </c>
      <c r="Y7" s="3">
        <f t="shared" si="5"/>
        <v>7.306114032</v>
      </c>
      <c r="Z7" s="3">
        <f t="shared" ref="Z7:AA7" si="10">_xlfn.NORM.S.DIST(X7)</f>
        <v>1</v>
      </c>
      <c r="AA7" s="3">
        <f t="shared" si="10"/>
        <v>1</v>
      </c>
    </row>
    <row r="8" ht="14.25" customHeight="1">
      <c r="A8" s="3" t="s">
        <v>138</v>
      </c>
      <c r="B8" s="3" t="s">
        <v>139</v>
      </c>
      <c r="C8" s="3" t="s">
        <v>132</v>
      </c>
      <c r="D8" s="3" t="s">
        <v>29</v>
      </c>
      <c r="E8" s="3">
        <v>37.5</v>
      </c>
      <c r="F8" s="3" t="s">
        <v>27</v>
      </c>
      <c r="G8" s="3">
        <v>28.8</v>
      </c>
      <c r="I8" s="3">
        <v>32.7</v>
      </c>
      <c r="K8" s="3">
        <v>0.0</v>
      </c>
      <c r="L8" s="3">
        <v>0.0</v>
      </c>
      <c r="M8" s="3" t="s">
        <v>36</v>
      </c>
      <c r="N8" s="3">
        <v>0.9984</v>
      </c>
      <c r="O8" s="3">
        <v>0.0</v>
      </c>
      <c r="P8" s="3">
        <v>0.4954</v>
      </c>
      <c r="Q8" s="3">
        <v>0.0</v>
      </c>
      <c r="R8" s="3">
        <v>0.2666</v>
      </c>
      <c r="S8" s="3">
        <v>68.360001</v>
      </c>
      <c r="T8" s="3">
        <v>45.0</v>
      </c>
      <c r="U8" s="3">
        <f t="shared" si="2"/>
        <v>30.75</v>
      </c>
      <c r="V8" s="3"/>
      <c r="W8" s="3">
        <f t="shared" si="3"/>
        <v>30.86468826</v>
      </c>
      <c r="X8" s="3">
        <f t="shared" si="4"/>
        <v>5.387209519</v>
      </c>
      <c r="Y8" s="3">
        <f t="shared" si="5"/>
        <v>5.274550457</v>
      </c>
      <c r="Z8" s="3">
        <f t="shared" ref="Z8:AA8" si="11">_xlfn.NORM.S.DIST(X8)</f>
        <v>0.9999999642</v>
      </c>
      <c r="AA8" s="3">
        <f t="shared" si="11"/>
        <v>0.9999999335</v>
      </c>
    </row>
    <row r="9" ht="14.25" customHeight="1">
      <c r="A9" s="3" t="s">
        <v>138</v>
      </c>
      <c r="B9" s="3" t="s">
        <v>139</v>
      </c>
      <c r="C9" s="3" t="s">
        <v>132</v>
      </c>
      <c r="D9" s="3" t="s">
        <v>29</v>
      </c>
      <c r="E9" s="3">
        <v>37.5</v>
      </c>
      <c r="F9" s="3" t="s">
        <v>27</v>
      </c>
      <c r="G9" s="3">
        <v>29.6</v>
      </c>
      <c r="I9" s="3">
        <v>32.65</v>
      </c>
      <c r="K9" s="3">
        <v>0.0</v>
      </c>
      <c r="L9" s="3">
        <v>0.0</v>
      </c>
      <c r="M9" s="3" t="s">
        <v>37</v>
      </c>
      <c r="N9" s="3">
        <v>0.9969</v>
      </c>
      <c r="O9" s="3">
        <v>0.0</v>
      </c>
      <c r="P9" s="3">
        <v>1.1056</v>
      </c>
      <c r="Q9" s="3">
        <v>0.0014</v>
      </c>
      <c r="R9" s="3">
        <v>0.3469</v>
      </c>
      <c r="S9" s="3">
        <v>68.629997</v>
      </c>
      <c r="T9" s="3">
        <v>44.0</v>
      </c>
      <c r="U9" s="3">
        <f t="shared" si="2"/>
        <v>31.125</v>
      </c>
      <c r="V9" s="3"/>
      <c r="W9" s="3">
        <f t="shared" si="3"/>
        <v>31.13460436</v>
      </c>
      <c r="X9" s="3">
        <f t="shared" si="4"/>
        <v>4.242839866</v>
      </c>
      <c r="Y9" s="3">
        <f t="shared" si="5"/>
        <v>4.097885811</v>
      </c>
      <c r="Z9" s="3">
        <f t="shared" ref="Z9:AA9" si="12">_xlfn.NORM.S.DIST(X9)</f>
        <v>0.9999889646</v>
      </c>
      <c r="AA9" s="3">
        <f t="shared" si="12"/>
        <v>0.999979153</v>
      </c>
    </row>
    <row r="10" ht="14.25" customHeight="1">
      <c r="A10" s="3" t="s">
        <v>138</v>
      </c>
      <c r="B10" s="3" t="s">
        <v>139</v>
      </c>
      <c r="C10" s="3" t="s">
        <v>132</v>
      </c>
      <c r="D10" s="3" t="s">
        <v>29</v>
      </c>
      <c r="E10" s="3">
        <v>37.5</v>
      </c>
      <c r="F10" s="3" t="s">
        <v>27</v>
      </c>
      <c r="G10" s="3">
        <v>29.3</v>
      </c>
      <c r="I10" s="3">
        <v>32.65</v>
      </c>
      <c r="K10" s="3">
        <v>0.0</v>
      </c>
      <c r="L10" s="3">
        <v>0.0</v>
      </c>
      <c r="M10" s="3" t="s">
        <v>38</v>
      </c>
      <c r="N10" s="3">
        <v>0.9985</v>
      </c>
      <c r="O10" s="3">
        <v>0.0</v>
      </c>
      <c r="P10" s="3">
        <v>0.5168</v>
      </c>
      <c r="Q10" s="3">
        <v>2.0E-4</v>
      </c>
      <c r="R10" s="3">
        <v>0.3246</v>
      </c>
      <c r="S10" s="3">
        <v>68.300003</v>
      </c>
      <c r="T10" s="3">
        <v>43.0</v>
      </c>
      <c r="U10" s="3">
        <f t="shared" si="2"/>
        <v>30.975</v>
      </c>
      <c r="V10" s="3"/>
      <c r="W10" s="3">
        <f t="shared" si="3"/>
        <v>30.80448728</v>
      </c>
      <c r="X10" s="3">
        <f t="shared" si="4"/>
        <v>4.539468391</v>
      </c>
      <c r="Y10" s="3">
        <f t="shared" si="5"/>
        <v>4.405382688</v>
      </c>
      <c r="Z10" s="3">
        <f t="shared" ref="Z10:AA10" si="13">_xlfn.NORM.S.DIST(X10)</f>
        <v>0.9999971802</v>
      </c>
      <c r="AA10" s="3">
        <f t="shared" si="13"/>
        <v>0.9999947201</v>
      </c>
    </row>
    <row r="11" ht="14.25" customHeight="1">
      <c r="A11" s="3" t="s">
        <v>138</v>
      </c>
      <c r="B11" s="3" t="s">
        <v>139</v>
      </c>
      <c r="C11" s="3" t="s">
        <v>132</v>
      </c>
      <c r="D11" s="3" t="s">
        <v>29</v>
      </c>
      <c r="E11" s="3">
        <v>37.5</v>
      </c>
      <c r="F11" s="3" t="s">
        <v>27</v>
      </c>
      <c r="G11" s="3">
        <v>29.3</v>
      </c>
      <c r="I11" s="3">
        <v>33.05</v>
      </c>
      <c r="K11" s="3">
        <v>0.0</v>
      </c>
      <c r="L11" s="3">
        <v>0.0</v>
      </c>
      <c r="M11" s="3" t="s">
        <v>39</v>
      </c>
      <c r="N11" s="3">
        <v>1.0</v>
      </c>
      <c r="O11" s="3">
        <v>0.0</v>
      </c>
      <c r="P11" s="3">
        <v>-0.1135</v>
      </c>
      <c r="Q11" s="3">
        <v>0.0</v>
      </c>
      <c r="R11" s="3">
        <v>0.2188</v>
      </c>
      <c r="S11" s="3">
        <v>68.980003</v>
      </c>
      <c r="T11" s="3">
        <v>42.0</v>
      </c>
      <c r="U11" s="3">
        <f t="shared" si="2"/>
        <v>31.175</v>
      </c>
      <c r="V11" s="3"/>
      <c r="W11" s="3">
        <f t="shared" si="3"/>
        <v>31.48437774</v>
      </c>
      <c r="X11" s="3">
        <f t="shared" si="4"/>
        <v>6.869115259</v>
      </c>
      <c r="Y11" s="3">
        <f t="shared" si="5"/>
        <v>6.779790533</v>
      </c>
      <c r="Z11" s="3">
        <f t="shared" ref="Z11:AA11" si="14">_xlfn.NORM.S.DIST(X11)</f>
        <v>1</v>
      </c>
      <c r="AA11" s="3">
        <f t="shared" si="14"/>
        <v>1</v>
      </c>
    </row>
    <row r="12" ht="14.25" customHeight="1">
      <c r="A12" s="3" t="s">
        <v>138</v>
      </c>
      <c r="B12" s="3" t="s">
        <v>139</v>
      </c>
      <c r="C12" s="3" t="s">
        <v>132</v>
      </c>
      <c r="D12" s="3" t="s">
        <v>29</v>
      </c>
      <c r="E12" s="3">
        <v>37.5</v>
      </c>
      <c r="F12" s="3" t="s">
        <v>27</v>
      </c>
      <c r="G12" s="3">
        <v>29.95</v>
      </c>
      <c r="I12" s="3">
        <v>33.2</v>
      </c>
      <c r="K12" s="3">
        <v>0.0</v>
      </c>
      <c r="L12" s="3">
        <v>0.0</v>
      </c>
      <c r="M12" s="3" t="s">
        <v>40</v>
      </c>
      <c r="N12" s="3">
        <v>0.9983</v>
      </c>
      <c r="O12" s="3">
        <v>0.0</v>
      </c>
      <c r="P12" s="3">
        <v>0.6188</v>
      </c>
      <c r="Q12" s="3">
        <v>1.0E-4</v>
      </c>
      <c r="R12" s="3">
        <v>0.3242</v>
      </c>
      <c r="S12" s="3">
        <v>69.209999</v>
      </c>
      <c r="T12" s="3">
        <v>41.0</v>
      </c>
      <c r="U12" s="3">
        <f t="shared" si="2"/>
        <v>31.575</v>
      </c>
      <c r="V12" s="3"/>
      <c r="W12" s="3">
        <f t="shared" si="3"/>
        <v>31.71427141</v>
      </c>
      <c r="X12" s="3">
        <f t="shared" si="4"/>
        <v>4.752416511</v>
      </c>
      <c r="Y12" s="3">
        <f t="shared" si="5"/>
        <v>4.621647551</v>
      </c>
      <c r="Z12" s="3">
        <f t="shared" ref="Z12:AA12" si="15">_xlfn.NORM.S.DIST(X12)</f>
        <v>0.999998995</v>
      </c>
      <c r="AA12" s="3">
        <f t="shared" si="15"/>
        <v>0.9999980965</v>
      </c>
    </row>
    <row r="13" ht="14.25" customHeight="1">
      <c r="A13" s="3" t="s">
        <v>138</v>
      </c>
      <c r="B13" s="3" t="s">
        <v>139</v>
      </c>
      <c r="C13" s="3" t="s">
        <v>132</v>
      </c>
      <c r="D13" s="3" t="s">
        <v>29</v>
      </c>
      <c r="E13" s="3">
        <v>37.5</v>
      </c>
      <c r="F13" s="3" t="s">
        <v>27</v>
      </c>
      <c r="G13" s="3">
        <v>29.7</v>
      </c>
      <c r="I13" s="3">
        <v>32.95</v>
      </c>
      <c r="K13" s="3">
        <v>0.0</v>
      </c>
      <c r="L13" s="3">
        <v>0.0</v>
      </c>
      <c r="M13" s="3" t="s">
        <v>41</v>
      </c>
      <c r="N13" s="3">
        <v>0.9967</v>
      </c>
      <c r="O13" s="3">
        <v>0.0</v>
      </c>
      <c r="P13" s="3">
        <v>1.3389</v>
      </c>
      <c r="Q13" s="3">
        <v>0.002</v>
      </c>
      <c r="R13" s="3">
        <v>0.3752</v>
      </c>
      <c r="S13" s="3">
        <v>68.849998</v>
      </c>
      <c r="T13" s="3">
        <v>40.0</v>
      </c>
      <c r="U13" s="3">
        <f t="shared" si="2"/>
        <v>31.325</v>
      </c>
      <c r="V13" s="3"/>
      <c r="W13" s="3">
        <f t="shared" si="3"/>
        <v>31.35420488</v>
      </c>
      <c r="X13" s="3">
        <f t="shared" si="4"/>
        <v>4.140082337</v>
      </c>
      <c r="Y13" s="3">
        <f t="shared" si="5"/>
        <v>3.990599079</v>
      </c>
      <c r="Z13" s="3">
        <f t="shared" ref="Z13:AA13" si="16">_xlfn.NORM.S.DIST(X13)</f>
        <v>0.9999826409</v>
      </c>
      <c r="AA13" s="3">
        <f t="shared" si="16"/>
        <v>0.9999670467</v>
      </c>
    </row>
    <row r="14" ht="14.25" customHeight="1">
      <c r="A14" s="3" t="s">
        <v>138</v>
      </c>
      <c r="B14" s="3" t="s">
        <v>139</v>
      </c>
      <c r="C14" s="3" t="s">
        <v>132</v>
      </c>
      <c r="D14" s="3" t="s">
        <v>29</v>
      </c>
      <c r="E14" s="3">
        <v>37.5</v>
      </c>
      <c r="F14" s="3" t="s">
        <v>27</v>
      </c>
      <c r="G14" s="3">
        <v>29.9</v>
      </c>
      <c r="I14" s="3">
        <v>33.1</v>
      </c>
      <c r="K14" s="3">
        <v>0.0</v>
      </c>
      <c r="L14" s="3">
        <v>0.0</v>
      </c>
      <c r="M14" s="3" t="s">
        <v>42</v>
      </c>
      <c r="N14" s="3">
        <v>0.9967</v>
      </c>
      <c r="O14" s="3">
        <v>0.0</v>
      </c>
      <c r="P14" s="3">
        <v>1.3527</v>
      </c>
      <c r="Q14" s="3">
        <v>0.001</v>
      </c>
      <c r="R14" s="3">
        <v>0.3671</v>
      </c>
      <c r="S14" s="3">
        <v>69.199997</v>
      </c>
      <c r="T14" s="3">
        <v>39.0</v>
      </c>
      <c r="U14" s="3">
        <f t="shared" si="2"/>
        <v>31.5</v>
      </c>
      <c r="V14" s="3"/>
      <c r="W14" s="3">
        <f t="shared" si="3"/>
        <v>31.70407666</v>
      </c>
      <c r="X14" s="3">
        <f t="shared" si="4"/>
        <v>4.315274461</v>
      </c>
      <c r="Y14" s="3">
        <f t="shared" si="5"/>
        <v>4.170858093</v>
      </c>
      <c r="Z14" s="3">
        <f t="shared" ref="Z14:AA14" si="17">_xlfn.NORM.S.DIST(X14)</f>
        <v>0.9999920298</v>
      </c>
      <c r="AA14" s="3">
        <f t="shared" si="17"/>
        <v>0.9999848273</v>
      </c>
    </row>
    <row r="15" ht="14.25" customHeight="1">
      <c r="A15" s="3" t="s">
        <v>138</v>
      </c>
      <c r="B15" s="3" t="s">
        <v>139</v>
      </c>
      <c r="C15" s="3" t="s">
        <v>132</v>
      </c>
      <c r="D15" s="3" t="s">
        <v>29</v>
      </c>
      <c r="E15" s="3">
        <v>37.5</v>
      </c>
      <c r="F15" s="3" t="s">
        <v>27</v>
      </c>
      <c r="G15" s="3">
        <v>30.4</v>
      </c>
      <c r="I15" s="3">
        <v>33.6</v>
      </c>
      <c r="K15" s="3">
        <v>0.0</v>
      </c>
      <c r="L15" s="3">
        <v>0.0</v>
      </c>
      <c r="M15" s="3" t="s">
        <v>43</v>
      </c>
      <c r="N15" s="3">
        <v>0.9964</v>
      </c>
      <c r="O15" s="3">
        <v>0.0</v>
      </c>
      <c r="P15" s="3">
        <v>1.5822</v>
      </c>
      <c r="Q15" s="3">
        <v>0.0042</v>
      </c>
      <c r="R15" s="3">
        <v>0.4192</v>
      </c>
      <c r="S15" s="3">
        <v>69.580002</v>
      </c>
      <c r="T15" s="3">
        <v>38.0</v>
      </c>
      <c r="U15" s="3">
        <f t="shared" si="2"/>
        <v>32</v>
      </c>
      <c r="V15" s="3"/>
      <c r="W15" s="3">
        <f t="shared" si="3"/>
        <v>32.08410251</v>
      </c>
      <c r="X15" s="3">
        <f t="shared" si="4"/>
        <v>3.879310151</v>
      </c>
      <c r="Y15" s="3">
        <f t="shared" si="5"/>
        <v>3.716525744</v>
      </c>
      <c r="Z15" s="3">
        <f t="shared" ref="Z15:AA15" si="18">_xlfn.NORM.S.DIST(X15)</f>
        <v>0.9999476234</v>
      </c>
      <c r="AA15" s="3">
        <f t="shared" si="18"/>
        <v>0.9998990095</v>
      </c>
    </row>
    <row r="16" ht="14.25" customHeight="1">
      <c r="A16" s="3" t="s">
        <v>138</v>
      </c>
      <c r="B16" s="3" t="s">
        <v>139</v>
      </c>
      <c r="C16" s="3" t="s">
        <v>132</v>
      </c>
      <c r="D16" s="3" t="s">
        <v>29</v>
      </c>
      <c r="E16" s="3">
        <v>37.5</v>
      </c>
      <c r="F16" s="3" t="s">
        <v>27</v>
      </c>
      <c r="G16" s="3">
        <v>30.3</v>
      </c>
      <c r="I16" s="3">
        <v>33.4</v>
      </c>
      <c r="K16" s="3">
        <v>0.0</v>
      </c>
      <c r="L16" s="3">
        <v>0.0</v>
      </c>
      <c r="M16" s="3" t="s">
        <v>44</v>
      </c>
      <c r="N16" s="3">
        <v>0.9965</v>
      </c>
      <c r="O16" s="3">
        <v>0.0</v>
      </c>
      <c r="P16" s="3">
        <v>1.6175</v>
      </c>
      <c r="Q16" s="3">
        <v>0.0027</v>
      </c>
      <c r="R16" s="3">
        <v>0.4106</v>
      </c>
      <c r="S16" s="3">
        <v>69.489998</v>
      </c>
      <c r="T16" s="3">
        <v>37.0</v>
      </c>
      <c r="U16" s="3">
        <f t="shared" si="2"/>
        <v>31.85</v>
      </c>
      <c r="V16" s="3"/>
      <c r="W16" s="3">
        <f t="shared" si="3"/>
        <v>31.99393286</v>
      </c>
      <c r="X16" s="3">
        <f t="shared" si="4"/>
        <v>3.999935865</v>
      </c>
      <c r="Y16" s="3">
        <f t="shared" si="5"/>
        <v>3.842602969</v>
      </c>
      <c r="Z16" s="3">
        <f t="shared" ref="Z16:AA16" si="19">_xlfn.NORM.S.DIST(X16)</f>
        <v>0.9999683202</v>
      </c>
      <c r="AA16" s="3">
        <f t="shared" si="19"/>
        <v>0.9999391318</v>
      </c>
    </row>
    <row r="17" ht="14.25" customHeight="1">
      <c r="A17" s="3" t="s">
        <v>138</v>
      </c>
      <c r="B17" s="3" t="s">
        <v>139</v>
      </c>
      <c r="C17" s="3" t="s">
        <v>132</v>
      </c>
      <c r="D17" s="3" t="s">
        <v>29</v>
      </c>
      <c r="E17" s="3">
        <v>37.5</v>
      </c>
      <c r="F17" s="3" t="s">
        <v>27</v>
      </c>
      <c r="G17" s="3">
        <v>30.4</v>
      </c>
      <c r="I17" s="3">
        <v>33.85</v>
      </c>
      <c r="K17" s="3">
        <v>0.0</v>
      </c>
      <c r="L17" s="3">
        <v>0.0</v>
      </c>
      <c r="M17" s="3" t="s">
        <v>45</v>
      </c>
      <c r="N17" s="3">
        <v>0.9965</v>
      </c>
      <c r="O17" s="3">
        <v>0.0</v>
      </c>
      <c r="P17" s="3">
        <v>1.6247</v>
      </c>
      <c r="Q17" s="3">
        <v>0.0028</v>
      </c>
      <c r="R17" s="3">
        <v>0.4194</v>
      </c>
      <c r="S17" s="3">
        <v>69.790001</v>
      </c>
      <c r="T17" s="3">
        <v>36.0</v>
      </c>
      <c r="U17" s="3">
        <f t="shared" si="2"/>
        <v>32.125</v>
      </c>
      <c r="V17" s="3"/>
      <c r="W17" s="3">
        <f t="shared" si="3"/>
        <v>32.29383326</v>
      </c>
      <c r="X17" s="3">
        <f t="shared" si="4"/>
        <v>3.998363849</v>
      </c>
      <c r="Y17" s="3">
        <f t="shared" si="5"/>
        <v>3.839845549</v>
      </c>
      <c r="Z17" s="3">
        <f t="shared" ref="Z17:AA17" si="20">_xlfn.NORM.S.DIST(X17)</f>
        <v>0.9999681091</v>
      </c>
      <c r="AA17" s="3">
        <f t="shared" si="20"/>
        <v>0.9999384441</v>
      </c>
    </row>
    <row r="18" ht="14.25" customHeight="1">
      <c r="A18" s="3" t="s">
        <v>138</v>
      </c>
      <c r="B18" s="3" t="s">
        <v>139</v>
      </c>
      <c r="C18" s="3" t="s">
        <v>132</v>
      </c>
      <c r="D18" s="3" t="s">
        <v>29</v>
      </c>
      <c r="E18" s="3">
        <v>37.5</v>
      </c>
      <c r="F18" s="3" t="s">
        <v>27</v>
      </c>
      <c r="G18" s="3">
        <v>30.55</v>
      </c>
      <c r="I18" s="3">
        <v>33.2</v>
      </c>
      <c r="K18" s="3">
        <v>0.0</v>
      </c>
      <c r="L18" s="3">
        <v>0.0</v>
      </c>
      <c r="M18" s="3" t="s">
        <v>46</v>
      </c>
      <c r="N18" s="3">
        <v>0.9832</v>
      </c>
      <c r="O18" s="3">
        <v>0.0017</v>
      </c>
      <c r="P18" s="3">
        <v>-1.029</v>
      </c>
      <c r="Q18" s="3">
        <v>0.8738</v>
      </c>
      <c r="R18" s="3">
        <v>0.7994</v>
      </c>
      <c r="S18" s="3">
        <v>69.0</v>
      </c>
      <c r="T18" s="3">
        <v>35.0</v>
      </c>
      <c r="U18" s="3">
        <f t="shared" si="2"/>
        <v>31.875</v>
      </c>
      <c r="V18" s="3"/>
      <c r="W18" s="3">
        <f t="shared" si="3"/>
        <v>31.61596943</v>
      </c>
      <c r="X18" s="3">
        <f t="shared" si="4"/>
        <v>2.196036699</v>
      </c>
      <c r="Y18" s="3">
        <f t="shared" si="5"/>
        <v>1.898117909</v>
      </c>
      <c r="Z18" s="3">
        <f t="shared" ref="Z18:AA18" si="21">_xlfn.NORM.S.DIST(X18)</f>
        <v>0.9859553416</v>
      </c>
      <c r="AA18" s="3">
        <f t="shared" si="21"/>
        <v>0.9711597242</v>
      </c>
    </row>
    <row r="19" ht="14.25" customHeight="1">
      <c r="A19" s="3" t="s">
        <v>138</v>
      </c>
      <c r="B19" s="3" t="s">
        <v>139</v>
      </c>
      <c r="C19" s="3" t="s">
        <v>132</v>
      </c>
      <c r="D19" s="3" t="s">
        <v>29</v>
      </c>
      <c r="E19" s="3">
        <v>37.5</v>
      </c>
      <c r="F19" s="3" t="s">
        <v>27</v>
      </c>
      <c r="G19" s="3">
        <v>29.65</v>
      </c>
      <c r="I19" s="3">
        <v>33.45</v>
      </c>
      <c r="K19" s="3">
        <v>0.0</v>
      </c>
      <c r="L19" s="3">
        <v>0.0</v>
      </c>
      <c r="M19" s="3" t="s">
        <v>47</v>
      </c>
      <c r="N19" s="3">
        <v>0.9967</v>
      </c>
      <c r="O19" s="3">
        <v>0.0</v>
      </c>
      <c r="P19" s="3">
        <v>1.6846</v>
      </c>
      <c r="Q19" s="3">
        <v>0.0</v>
      </c>
      <c r="R19" s="3">
        <v>0.2964</v>
      </c>
      <c r="S19" s="3">
        <v>69.349998</v>
      </c>
      <c r="T19" s="3">
        <v>34.0</v>
      </c>
      <c r="U19" s="3">
        <f t="shared" si="2"/>
        <v>31.55</v>
      </c>
      <c r="V19" s="3"/>
      <c r="W19" s="3">
        <f t="shared" si="3"/>
        <v>31.85353951</v>
      </c>
      <c r="X19" s="3">
        <f t="shared" si="4"/>
        <v>5.702517837</v>
      </c>
      <c r="Y19" s="3">
        <f t="shared" si="5"/>
        <v>5.59364554</v>
      </c>
      <c r="Z19" s="3">
        <f t="shared" ref="Z19:AA19" si="22">_xlfn.NORM.S.DIST(X19)</f>
        <v>0.9999999941</v>
      </c>
      <c r="AA19" s="3">
        <f t="shared" si="22"/>
        <v>0.9999999889</v>
      </c>
    </row>
    <row r="20" ht="14.25" customHeight="1">
      <c r="A20" s="3" t="s">
        <v>138</v>
      </c>
      <c r="B20" s="3" t="s">
        <v>139</v>
      </c>
      <c r="C20" s="3" t="s">
        <v>132</v>
      </c>
      <c r="D20" s="3" t="s">
        <v>29</v>
      </c>
      <c r="E20" s="3">
        <v>37.5</v>
      </c>
      <c r="F20" s="3" t="s">
        <v>27</v>
      </c>
      <c r="G20" s="3">
        <v>30.45</v>
      </c>
      <c r="I20" s="3">
        <v>34.3</v>
      </c>
      <c r="K20" s="3">
        <v>0.0</v>
      </c>
      <c r="L20" s="3">
        <v>0.0</v>
      </c>
      <c r="M20" s="3" t="s">
        <v>48</v>
      </c>
      <c r="N20" s="3">
        <v>0.9968</v>
      </c>
      <c r="O20" s="3">
        <v>0.0</v>
      </c>
      <c r="P20" s="3">
        <v>1.7094</v>
      </c>
      <c r="Q20" s="3">
        <v>0.0</v>
      </c>
      <c r="R20" s="3">
        <v>0.3064</v>
      </c>
      <c r="S20" s="3">
        <v>69.889999</v>
      </c>
      <c r="T20" s="3">
        <v>33.0</v>
      </c>
      <c r="U20" s="3">
        <f t="shared" si="2"/>
        <v>32.375</v>
      </c>
      <c r="V20" s="3"/>
      <c r="W20" s="3">
        <f t="shared" si="3"/>
        <v>32.39343635</v>
      </c>
      <c r="X20" s="3">
        <f t="shared" si="4"/>
        <v>5.671279723</v>
      </c>
      <c r="Y20" s="3">
        <f t="shared" si="5"/>
        <v>5.560401703</v>
      </c>
      <c r="Z20" s="3">
        <f t="shared" ref="Z20:AA20" si="23">_xlfn.NORM.S.DIST(X20)</f>
        <v>0.9999999929</v>
      </c>
      <c r="AA20" s="3">
        <f t="shared" si="23"/>
        <v>0.9999999865</v>
      </c>
    </row>
    <row r="21" ht="14.25" customHeight="1">
      <c r="A21" s="3" t="s">
        <v>138</v>
      </c>
      <c r="B21" s="3" t="s">
        <v>139</v>
      </c>
      <c r="C21" s="3" t="s">
        <v>132</v>
      </c>
      <c r="D21" s="3" t="s">
        <v>29</v>
      </c>
      <c r="E21" s="3">
        <v>37.5</v>
      </c>
      <c r="F21" s="3" t="s">
        <v>27</v>
      </c>
      <c r="G21" s="3">
        <v>30.7</v>
      </c>
      <c r="I21" s="3">
        <v>33.8</v>
      </c>
      <c r="K21" s="3">
        <v>0.0</v>
      </c>
      <c r="L21" s="3">
        <v>0.0</v>
      </c>
      <c r="M21" s="3" t="s">
        <v>49</v>
      </c>
      <c r="N21" s="3">
        <v>0.9966</v>
      </c>
      <c r="O21" s="3">
        <v>0.0</v>
      </c>
      <c r="P21" s="3">
        <v>1.8179</v>
      </c>
      <c r="Q21" s="3">
        <v>2.0E-4</v>
      </c>
      <c r="R21" s="3">
        <v>0.3924</v>
      </c>
      <c r="S21" s="3">
        <v>69.75</v>
      </c>
      <c r="T21" s="3">
        <v>32.0</v>
      </c>
      <c r="U21" s="3">
        <f t="shared" si="2"/>
        <v>32.25</v>
      </c>
      <c r="V21" s="3"/>
      <c r="W21" s="3">
        <f t="shared" si="3"/>
        <v>32.25333986</v>
      </c>
      <c r="X21" s="3">
        <f t="shared" si="4"/>
        <v>4.508595188</v>
      </c>
      <c r="Y21" s="3">
        <f t="shared" si="5"/>
        <v>4.368764106</v>
      </c>
      <c r="Z21" s="3">
        <f t="shared" ref="Z21:AA21" si="24">_xlfn.NORM.S.DIST(X21)</f>
        <v>0.9999967371</v>
      </c>
      <c r="AA21" s="3">
        <f t="shared" si="24"/>
        <v>0.9999937524</v>
      </c>
    </row>
    <row r="22" ht="14.25" customHeight="1">
      <c r="A22" s="3" t="s">
        <v>138</v>
      </c>
      <c r="B22" s="3" t="s">
        <v>139</v>
      </c>
      <c r="C22" s="3" t="s">
        <v>132</v>
      </c>
      <c r="D22" s="3" t="s">
        <v>29</v>
      </c>
      <c r="E22" s="3">
        <v>37.5</v>
      </c>
      <c r="F22" s="3" t="s">
        <v>27</v>
      </c>
      <c r="G22" s="3">
        <v>30.6</v>
      </c>
      <c r="I22" s="3">
        <v>34.45</v>
      </c>
      <c r="K22" s="3">
        <v>0.0</v>
      </c>
      <c r="L22" s="3">
        <v>0.0</v>
      </c>
      <c r="M22" s="3" t="s">
        <v>50</v>
      </c>
      <c r="N22" s="3">
        <v>0.9939</v>
      </c>
      <c r="O22" s="3">
        <v>5.0E-4</v>
      </c>
      <c r="P22" s="3">
        <v>1.4216</v>
      </c>
      <c r="Q22" s="3">
        <v>0.1903</v>
      </c>
      <c r="R22" s="3">
        <v>0.6707</v>
      </c>
      <c r="S22" s="3">
        <v>69.949997</v>
      </c>
      <c r="T22" s="3">
        <v>31.0</v>
      </c>
      <c r="U22" s="3">
        <f t="shared" si="2"/>
        <v>32.525</v>
      </c>
      <c r="V22" s="3"/>
      <c r="W22" s="3">
        <f t="shared" si="3"/>
        <v>32.46813369</v>
      </c>
      <c r="X22" s="3">
        <f t="shared" si="4"/>
        <v>2.768227785</v>
      </c>
      <c r="Y22" s="3">
        <f t="shared" si="5"/>
        <v>2.532989024</v>
      </c>
      <c r="Z22" s="3">
        <f t="shared" ref="Z22:AA22" si="25">_xlfn.NORM.S.DIST(X22)</f>
        <v>0.9971818976</v>
      </c>
      <c r="AA22" s="3">
        <f t="shared" si="25"/>
        <v>0.9943452753</v>
      </c>
    </row>
    <row r="23" ht="14.25" customHeight="1">
      <c r="A23" s="3" t="s">
        <v>138</v>
      </c>
      <c r="B23" s="3" t="s">
        <v>139</v>
      </c>
      <c r="C23" s="3" t="s">
        <v>133</v>
      </c>
      <c r="D23" s="3" t="s">
        <v>29</v>
      </c>
      <c r="E23" s="3">
        <v>37.5</v>
      </c>
      <c r="F23" s="3" t="s">
        <v>27</v>
      </c>
      <c r="G23" s="3">
        <v>31.45</v>
      </c>
      <c r="I23" s="3">
        <v>34.45</v>
      </c>
      <c r="K23" s="3">
        <v>0.0</v>
      </c>
      <c r="L23" s="3">
        <v>0.0</v>
      </c>
      <c r="M23" s="3" t="s">
        <v>52</v>
      </c>
      <c r="N23" s="3">
        <v>0.9965</v>
      </c>
      <c r="O23" s="3">
        <v>0.0</v>
      </c>
      <c r="P23" s="3">
        <v>2.0122</v>
      </c>
      <c r="Q23" s="3">
        <v>0.0</v>
      </c>
      <c r="R23" s="3">
        <v>0.329</v>
      </c>
      <c r="S23" s="3">
        <v>70.489998</v>
      </c>
      <c r="T23" s="3">
        <v>30.0</v>
      </c>
      <c r="U23" s="3">
        <f t="shared" si="2"/>
        <v>32.95</v>
      </c>
      <c r="V23" s="3"/>
      <c r="W23" s="3">
        <f t="shared" si="3"/>
        <v>32.99312288</v>
      </c>
      <c r="X23" s="3">
        <f t="shared" si="4"/>
        <v>5.617334604</v>
      </c>
      <c r="Y23" s="3">
        <f t="shared" si="5"/>
        <v>5.503818819</v>
      </c>
      <c r="Z23" s="3">
        <f t="shared" ref="Z23:AA23" si="26">_xlfn.NORM.S.DIST(X23)</f>
        <v>0.9999999903</v>
      </c>
      <c r="AA23" s="3">
        <f t="shared" si="26"/>
        <v>0.9999999814</v>
      </c>
    </row>
    <row r="24" ht="14.25" customHeight="1">
      <c r="A24" s="3" t="s">
        <v>138</v>
      </c>
      <c r="B24" s="3" t="s">
        <v>139</v>
      </c>
      <c r="C24" s="3" t="s">
        <v>133</v>
      </c>
      <c r="D24" s="3" t="s">
        <v>29</v>
      </c>
      <c r="E24" s="3">
        <v>37.5</v>
      </c>
      <c r="F24" s="3" t="s">
        <v>27</v>
      </c>
      <c r="G24" s="3">
        <v>30.7</v>
      </c>
      <c r="I24" s="3">
        <v>33.65</v>
      </c>
      <c r="K24" s="3">
        <v>0.0</v>
      </c>
      <c r="L24" s="3">
        <v>0.0</v>
      </c>
      <c r="M24" s="3" t="s">
        <v>53</v>
      </c>
      <c r="N24" s="3">
        <v>0.9966</v>
      </c>
      <c r="O24" s="3">
        <v>0.0</v>
      </c>
      <c r="P24" s="3">
        <v>2.0743</v>
      </c>
      <c r="Q24" s="3">
        <v>0.0</v>
      </c>
      <c r="R24" s="3">
        <v>0.3293</v>
      </c>
      <c r="S24" s="3">
        <v>69.629997</v>
      </c>
      <c r="T24" s="3">
        <v>29.0</v>
      </c>
      <c r="U24" s="3">
        <f t="shared" si="2"/>
        <v>32.175</v>
      </c>
      <c r="V24" s="3"/>
      <c r="W24" s="3">
        <f t="shared" si="3"/>
        <v>32.13301773</v>
      </c>
      <c r="X24" s="3">
        <f t="shared" si="4"/>
        <v>5.596427332</v>
      </c>
      <c r="Y24" s="3">
        <f t="shared" si="5"/>
        <v>5.484717741</v>
      </c>
      <c r="Z24" s="3">
        <f t="shared" ref="Z24:AA24" si="27">_xlfn.NORM.S.DIST(X24)</f>
        <v>0.9999999891</v>
      </c>
      <c r="AA24" s="3">
        <f t="shared" si="27"/>
        <v>0.9999999793</v>
      </c>
    </row>
    <row r="25" ht="14.25" customHeight="1">
      <c r="A25" s="3" t="s">
        <v>138</v>
      </c>
      <c r="B25" s="3" t="s">
        <v>139</v>
      </c>
      <c r="C25" s="3" t="s">
        <v>133</v>
      </c>
      <c r="D25" s="3" t="s">
        <v>29</v>
      </c>
      <c r="E25" s="3">
        <v>37.5</v>
      </c>
      <c r="F25" s="3" t="s">
        <v>27</v>
      </c>
      <c r="G25" s="3">
        <v>31.75</v>
      </c>
      <c r="I25" s="3">
        <v>34.75</v>
      </c>
      <c r="K25" s="3">
        <v>0.0</v>
      </c>
      <c r="L25" s="3">
        <v>0.0</v>
      </c>
      <c r="M25" s="3" t="s">
        <v>54</v>
      </c>
      <c r="N25" s="3">
        <v>0.9966</v>
      </c>
      <c r="O25" s="3">
        <v>0.0</v>
      </c>
      <c r="P25" s="3">
        <v>2.1765</v>
      </c>
      <c r="Q25" s="3">
        <v>0.0</v>
      </c>
      <c r="R25" s="3">
        <v>0.3308</v>
      </c>
      <c r="S25" s="3">
        <v>70.769997</v>
      </c>
      <c r="T25" s="3">
        <v>28.0</v>
      </c>
      <c r="U25" s="3">
        <f t="shared" si="2"/>
        <v>33.25</v>
      </c>
      <c r="V25" s="3"/>
      <c r="W25" s="3">
        <f t="shared" si="3"/>
        <v>33.27291356</v>
      </c>
      <c r="X25" s="3">
        <f t="shared" si="4"/>
        <v>5.815459674</v>
      </c>
      <c r="Y25" s="3">
        <f t="shared" si="5"/>
        <v>5.705193007</v>
      </c>
      <c r="Z25" s="3">
        <f t="shared" ref="Z25:AA25" si="28">_xlfn.NORM.S.DIST(X25)</f>
        <v>0.999999997</v>
      </c>
      <c r="AA25" s="3">
        <f t="shared" si="28"/>
        <v>0.9999999942</v>
      </c>
    </row>
    <row r="26" ht="14.25" customHeight="1">
      <c r="A26" s="3" t="s">
        <v>138</v>
      </c>
      <c r="B26" s="3" t="s">
        <v>139</v>
      </c>
      <c r="C26" s="3" t="s">
        <v>133</v>
      </c>
      <c r="D26" s="3" t="s">
        <v>29</v>
      </c>
      <c r="E26" s="3">
        <v>37.5</v>
      </c>
      <c r="F26" s="3" t="s">
        <v>27</v>
      </c>
      <c r="G26" s="3">
        <v>32.2</v>
      </c>
      <c r="I26" s="3">
        <v>35.35</v>
      </c>
      <c r="K26" s="3">
        <v>0.0</v>
      </c>
      <c r="L26" s="3">
        <v>0.0</v>
      </c>
      <c r="M26" s="3" t="s">
        <v>55</v>
      </c>
      <c r="N26" s="3">
        <v>0.996</v>
      </c>
      <c r="O26" s="3">
        <v>1.0E-4</v>
      </c>
      <c r="P26" s="3">
        <v>2.0682</v>
      </c>
      <c r="Q26" s="3">
        <v>0.0496</v>
      </c>
      <c r="R26" s="3">
        <v>0.6399</v>
      </c>
      <c r="S26" s="3">
        <v>71.309998</v>
      </c>
      <c r="T26" s="3">
        <v>27.0</v>
      </c>
      <c r="U26" s="3">
        <f t="shared" si="2"/>
        <v>33.775</v>
      </c>
      <c r="V26" s="3"/>
      <c r="W26" s="3">
        <f t="shared" si="3"/>
        <v>33.81603484</v>
      </c>
      <c r="X26" s="3">
        <f t="shared" si="4"/>
        <v>3.173483725</v>
      </c>
      <c r="Y26" s="3">
        <f t="shared" si="5"/>
        <v>2.964027283</v>
      </c>
      <c r="Z26" s="3">
        <f t="shared" ref="Z26:AA26" si="29">_xlfn.NORM.S.DIST(X26)</f>
        <v>0.9992468933</v>
      </c>
      <c r="AA26" s="3">
        <f t="shared" si="29"/>
        <v>0.9984817932</v>
      </c>
    </row>
    <row r="27" ht="14.25" customHeight="1">
      <c r="A27" s="3" t="s">
        <v>138</v>
      </c>
      <c r="B27" s="3" t="s">
        <v>139</v>
      </c>
      <c r="C27" s="3" t="s">
        <v>133</v>
      </c>
      <c r="D27" s="3" t="s">
        <v>29</v>
      </c>
      <c r="E27" s="3">
        <v>37.5</v>
      </c>
      <c r="F27" s="3" t="s">
        <v>27</v>
      </c>
      <c r="G27" s="3">
        <v>32.15</v>
      </c>
      <c r="I27" s="3">
        <v>35.25</v>
      </c>
      <c r="K27" s="3">
        <v>0.0</v>
      </c>
      <c r="L27" s="3">
        <v>0.0</v>
      </c>
      <c r="M27" s="3" t="s">
        <v>56</v>
      </c>
      <c r="N27" s="3">
        <v>0.9967</v>
      </c>
      <c r="O27" s="3">
        <v>0.0</v>
      </c>
      <c r="P27" s="3">
        <v>2.2602</v>
      </c>
      <c r="Q27" s="3">
        <v>0.0</v>
      </c>
      <c r="R27" s="3">
        <v>0.1397</v>
      </c>
      <c r="S27" s="3">
        <v>71.230003</v>
      </c>
      <c r="T27" s="3">
        <v>26.0</v>
      </c>
      <c r="U27" s="3">
        <f t="shared" si="2"/>
        <v>33.7</v>
      </c>
      <c r="V27" s="3"/>
      <c r="W27" s="3">
        <f t="shared" si="3"/>
        <v>33.73271124</v>
      </c>
      <c r="X27" s="3">
        <f t="shared" si="4"/>
        <v>14.3216542</v>
      </c>
      <c r="Y27" s="3">
        <f t="shared" si="5"/>
        <v>14.27678144</v>
      </c>
      <c r="Z27" s="3">
        <f t="shared" ref="Z27:AA27" si="30">_xlfn.NORM.S.DIST(X27)</f>
        <v>1</v>
      </c>
      <c r="AA27" s="3">
        <f t="shared" si="30"/>
        <v>1</v>
      </c>
    </row>
    <row r="28" ht="14.25" customHeight="1">
      <c r="A28" s="3" t="s">
        <v>138</v>
      </c>
      <c r="B28" s="3" t="s">
        <v>139</v>
      </c>
      <c r="C28" s="3" t="s">
        <v>133</v>
      </c>
      <c r="D28" s="3" t="s">
        <v>29</v>
      </c>
      <c r="E28" s="3">
        <v>37.5</v>
      </c>
      <c r="F28" s="3" t="s">
        <v>27</v>
      </c>
      <c r="G28" s="3">
        <v>32.4</v>
      </c>
      <c r="I28" s="3">
        <v>35.5</v>
      </c>
      <c r="K28" s="3">
        <v>0.0</v>
      </c>
      <c r="L28" s="3">
        <v>0.0</v>
      </c>
      <c r="M28" s="3" t="s">
        <v>57</v>
      </c>
      <c r="N28" s="3">
        <v>0.9968</v>
      </c>
      <c r="O28" s="3">
        <v>0.0</v>
      </c>
      <c r="P28" s="3">
        <v>2.2613</v>
      </c>
      <c r="Q28" s="3">
        <v>0.0</v>
      </c>
      <c r="R28" s="3">
        <v>0.14</v>
      </c>
      <c r="S28" s="3">
        <v>71.480003</v>
      </c>
      <c r="T28" s="3">
        <v>25.0</v>
      </c>
      <c r="U28" s="3">
        <f t="shared" si="2"/>
        <v>33.95</v>
      </c>
      <c r="V28" s="3"/>
      <c r="W28" s="3">
        <f t="shared" si="3"/>
        <v>33.98260708</v>
      </c>
      <c r="X28" s="3">
        <f t="shared" si="4"/>
        <v>14.65258953</v>
      </c>
      <c r="Y28" s="3">
        <f t="shared" si="5"/>
        <v>14.60849367</v>
      </c>
      <c r="Z28" s="3">
        <f t="shared" ref="Z28:AA28" si="31">_xlfn.NORM.S.DIST(X28)</f>
        <v>1</v>
      </c>
      <c r="AA28" s="3">
        <f t="shared" si="31"/>
        <v>1</v>
      </c>
    </row>
    <row r="29" ht="14.25" customHeight="1">
      <c r="A29" s="3" t="s">
        <v>138</v>
      </c>
      <c r="B29" s="3" t="s">
        <v>139</v>
      </c>
      <c r="C29" s="3" t="s">
        <v>133</v>
      </c>
      <c r="D29" s="3" t="s">
        <v>29</v>
      </c>
      <c r="E29" s="3">
        <v>37.5</v>
      </c>
      <c r="F29" s="3" t="s">
        <v>27</v>
      </c>
      <c r="G29" s="3">
        <v>32.45</v>
      </c>
      <c r="I29" s="3">
        <v>35.45</v>
      </c>
      <c r="K29" s="3">
        <v>0.0</v>
      </c>
      <c r="L29" s="3">
        <v>0.0</v>
      </c>
      <c r="M29" s="3" t="s">
        <v>58</v>
      </c>
      <c r="N29" s="3">
        <v>0.9985</v>
      </c>
      <c r="O29" s="3">
        <v>0.0</v>
      </c>
      <c r="P29" s="3">
        <v>1.0597</v>
      </c>
      <c r="Q29" s="3">
        <v>0.0</v>
      </c>
      <c r="R29" s="3">
        <v>0.1419</v>
      </c>
      <c r="S29" s="3">
        <v>71.400002</v>
      </c>
      <c r="T29" s="3">
        <v>24.0</v>
      </c>
      <c r="U29" s="3">
        <f t="shared" si="2"/>
        <v>33.95</v>
      </c>
      <c r="V29" s="3"/>
      <c r="W29" s="3">
        <f t="shared" si="3"/>
        <v>33.90250192</v>
      </c>
      <c r="X29" s="3">
        <f t="shared" si="4"/>
        <v>14.72855582</v>
      </c>
      <c r="Y29" s="3">
        <f t="shared" si="5"/>
        <v>14.68476453</v>
      </c>
      <c r="Z29" s="3">
        <f t="shared" ref="Z29:AA29" si="32">_xlfn.NORM.S.DIST(X29)</f>
        <v>1</v>
      </c>
      <c r="AA29" s="3">
        <f t="shared" si="32"/>
        <v>1</v>
      </c>
    </row>
    <row r="30" ht="14.25" customHeight="1">
      <c r="A30" s="3" t="s">
        <v>138</v>
      </c>
      <c r="B30" s="3" t="s">
        <v>139</v>
      </c>
      <c r="C30" s="3" t="s">
        <v>133</v>
      </c>
      <c r="D30" s="3" t="s">
        <v>29</v>
      </c>
      <c r="E30" s="3">
        <v>37.5</v>
      </c>
      <c r="F30" s="3" t="s">
        <v>27</v>
      </c>
      <c r="G30" s="3">
        <v>32.45</v>
      </c>
      <c r="I30" s="3">
        <v>35.45</v>
      </c>
      <c r="K30" s="3">
        <v>0.0</v>
      </c>
      <c r="L30" s="3">
        <v>0.0</v>
      </c>
      <c r="M30" s="3" t="s">
        <v>59</v>
      </c>
      <c r="N30" s="3">
        <v>1.0</v>
      </c>
      <c r="O30" s="3">
        <v>0.0</v>
      </c>
      <c r="P30" s="3">
        <v>-0.1089</v>
      </c>
      <c r="Q30" s="3">
        <v>0.0</v>
      </c>
      <c r="R30" s="3">
        <v>0.1816</v>
      </c>
      <c r="S30" s="3">
        <v>71.400002</v>
      </c>
      <c r="T30" s="3">
        <v>23.0</v>
      </c>
      <c r="U30" s="3">
        <f t="shared" si="2"/>
        <v>33.95</v>
      </c>
      <c r="V30" s="3"/>
      <c r="W30" s="3">
        <f t="shared" si="3"/>
        <v>33.90239776</v>
      </c>
      <c r="X30" s="3">
        <f t="shared" si="4"/>
        <v>11.76614324</v>
      </c>
      <c r="Y30" s="3">
        <f t="shared" si="5"/>
        <v>11.71128025</v>
      </c>
      <c r="Z30" s="3">
        <f t="shared" ref="Z30:AA30" si="33">_xlfn.NORM.S.DIST(X30)</f>
        <v>1</v>
      </c>
      <c r="AA30" s="3">
        <f t="shared" si="33"/>
        <v>1</v>
      </c>
    </row>
    <row r="31" ht="14.25" customHeight="1">
      <c r="A31" s="3" t="s">
        <v>138</v>
      </c>
      <c r="B31" s="3" t="s">
        <v>139</v>
      </c>
      <c r="C31" s="3" t="s">
        <v>133</v>
      </c>
      <c r="D31" s="3" t="s">
        <v>29</v>
      </c>
      <c r="E31" s="3">
        <v>37.5</v>
      </c>
      <c r="F31" s="3" t="s">
        <v>27</v>
      </c>
      <c r="G31" s="3">
        <v>32.4</v>
      </c>
      <c r="I31" s="3">
        <v>35.35</v>
      </c>
      <c r="K31" s="3">
        <v>0.0</v>
      </c>
      <c r="L31" s="3">
        <v>0.0</v>
      </c>
      <c r="M31" s="3" t="s">
        <v>60</v>
      </c>
      <c r="N31" s="3">
        <v>0.9986</v>
      </c>
      <c r="O31" s="3">
        <v>0.0</v>
      </c>
      <c r="P31" s="3">
        <v>1.0597</v>
      </c>
      <c r="Q31" s="3">
        <v>0.0</v>
      </c>
      <c r="R31" s="3">
        <v>0.3291</v>
      </c>
      <c r="S31" s="3">
        <v>71.389999</v>
      </c>
      <c r="T31" s="3">
        <v>22.0</v>
      </c>
      <c r="U31" s="3">
        <f t="shared" si="2"/>
        <v>33.875</v>
      </c>
      <c r="V31" s="3"/>
      <c r="W31" s="3">
        <f t="shared" si="3"/>
        <v>33.8922906</v>
      </c>
      <c r="X31" s="3">
        <f t="shared" si="4"/>
        <v>6.670244792</v>
      </c>
      <c r="Y31" s="3">
        <f t="shared" si="5"/>
        <v>6.573006135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138</v>
      </c>
      <c r="B32" s="3" t="s">
        <v>139</v>
      </c>
      <c r="C32" s="3" t="s">
        <v>133</v>
      </c>
      <c r="D32" s="3" t="s">
        <v>29</v>
      </c>
      <c r="E32" s="3">
        <v>37.5</v>
      </c>
      <c r="F32" s="3" t="s">
        <v>27</v>
      </c>
      <c r="G32" s="3">
        <v>31.85</v>
      </c>
      <c r="I32" s="3">
        <v>34.9</v>
      </c>
      <c r="K32" s="3">
        <v>0.0</v>
      </c>
      <c r="L32" s="3">
        <v>0.0</v>
      </c>
      <c r="M32" s="3" t="s">
        <v>61</v>
      </c>
      <c r="N32" s="3">
        <v>1.0</v>
      </c>
      <c r="O32" s="3">
        <v>0.0</v>
      </c>
      <c r="P32" s="3">
        <v>-0.1089</v>
      </c>
      <c r="Q32" s="3">
        <v>0.0</v>
      </c>
      <c r="R32" s="3">
        <v>0.1718</v>
      </c>
      <c r="S32" s="3">
        <v>70.82</v>
      </c>
      <c r="T32" s="3">
        <v>21.0</v>
      </c>
      <c r="U32" s="3">
        <f t="shared" si="2"/>
        <v>33.375</v>
      </c>
      <c r="V32" s="3"/>
      <c r="W32" s="3">
        <f t="shared" si="3"/>
        <v>33.32218744</v>
      </c>
      <c r="X32" s="3">
        <f t="shared" si="4"/>
        <v>12.84598264</v>
      </c>
      <c r="Y32" s="3">
        <f t="shared" si="5"/>
        <v>12.79638825</v>
      </c>
      <c r="Z32" s="3">
        <f t="shared" ref="Z32:AA32" si="35">_xlfn.NORM.S.DIST(X32)</f>
        <v>1</v>
      </c>
      <c r="AA32" s="3">
        <f t="shared" si="35"/>
        <v>1</v>
      </c>
    </row>
    <row r="33" ht="14.25" customHeight="1">
      <c r="A33" s="3" t="s">
        <v>138</v>
      </c>
      <c r="B33" s="3" t="s">
        <v>139</v>
      </c>
      <c r="C33" s="3" t="s">
        <v>133</v>
      </c>
      <c r="D33" s="3" t="s">
        <v>29</v>
      </c>
      <c r="E33" s="3">
        <v>37.5</v>
      </c>
      <c r="F33" s="3" t="s">
        <v>27</v>
      </c>
      <c r="G33" s="3">
        <v>29.95</v>
      </c>
      <c r="I33" s="3">
        <v>33.25</v>
      </c>
      <c r="K33" s="3">
        <v>0.0</v>
      </c>
      <c r="L33" s="3">
        <v>0.0</v>
      </c>
      <c r="M33" s="3" t="s">
        <v>62</v>
      </c>
      <c r="N33" s="3">
        <v>0.9987</v>
      </c>
      <c r="O33" s="3">
        <v>0.0</v>
      </c>
      <c r="P33" s="3">
        <v>1.0255</v>
      </c>
      <c r="Q33" s="3">
        <v>0.0</v>
      </c>
      <c r="R33" s="3">
        <v>0.2899</v>
      </c>
      <c r="S33" s="3">
        <v>69.300003</v>
      </c>
      <c r="T33" s="3">
        <v>20.0</v>
      </c>
      <c r="U33" s="3">
        <f t="shared" si="2"/>
        <v>31.6</v>
      </c>
      <c r="V33" s="3"/>
      <c r="W33" s="3">
        <f t="shared" si="3"/>
        <v>31.80208628</v>
      </c>
      <c r="X33" s="3">
        <f t="shared" si="4"/>
        <v>7.560842683</v>
      </c>
      <c r="Y33" s="3">
        <f t="shared" si="5"/>
        <v>7.47917261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138</v>
      </c>
      <c r="B34" s="3" t="s">
        <v>139</v>
      </c>
      <c r="C34" s="3" t="s">
        <v>133</v>
      </c>
      <c r="D34" s="3" t="s">
        <v>29</v>
      </c>
      <c r="E34" s="3">
        <v>37.5</v>
      </c>
      <c r="F34" s="3" t="s">
        <v>27</v>
      </c>
      <c r="G34" s="3">
        <v>29.6</v>
      </c>
      <c r="I34" s="3">
        <v>32.6</v>
      </c>
      <c r="K34" s="3">
        <v>0.0</v>
      </c>
      <c r="L34" s="3">
        <v>0.0</v>
      </c>
      <c r="M34" s="3" t="s">
        <v>63</v>
      </c>
      <c r="N34" s="3">
        <v>0.9989</v>
      </c>
      <c r="O34" s="3">
        <v>0.0</v>
      </c>
      <c r="P34" s="3">
        <v>1.0169</v>
      </c>
      <c r="Q34" s="3">
        <v>0.0</v>
      </c>
      <c r="R34" s="3">
        <v>0.2547</v>
      </c>
      <c r="S34" s="3">
        <v>68.760002</v>
      </c>
      <c r="T34" s="3">
        <v>19.0</v>
      </c>
      <c r="U34" s="3">
        <f t="shared" si="2"/>
        <v>31.1</v>
      </c>
      <c r="V34" s="3"/>
      <c r="W34" s="3">
        <f t="shared" si="3"/>
        <v>31.26198111</v>
      </c>
      <c r="X34" s="3">
        <f t="shared" si="4"/>
        <v>8.704716608</v>
      </c>
      <c r="Y34" s="3">
        <f t="shared" si="5"/>
        <v>8.634779854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138</v>
      </c>
      <c r="B35" s="3" t="s">
        <v>139</v>
      </c>
      <c r="C35" s="3" t="s">
        <v>133</v>
      </c>
      <c r="D35" s="3" t="s">
        <v>29</v>
      </c>
      <c r="E35" s="3">
        <v>37.5</v>
      </c>
      <c r="F35" s="3" t="s">
        <v>27</v>
      </c>
      <c r="G35" s="3">
        <v>30.05</v>
      </c>
      <c r="I35" s="3">
        <v>33.25</v>
      </c>
      <c r="K35" s="3">
        <v>0.0</v>
      </c>
      <c r="L35" s="3">
        <v>0.0</v>
      </c>
      <c r="M35" s="3" t="s">
        <v>64</v>
      </c>
      <c r="N35" s="3">
        <v>1.0</v>
      </c>
      <c r="O35" s="3">
        <v>0.0</v>
      </c>
      <c r="P35" s="3">
        <v>-0.1089</v>
      </c>
      <c r="Q35" s="3">
        <v>0.0</v>
      </c>
      <c r="R35" s="3">
        <v>0.2162</v>
      </c>
      <c r="S35" s="3">
        <v>69.209999</v>
      </c>
      <c r="T35" s="3">
        <v>18.0</v>
      </c>
      <c r="U35" s="3">
        <f t="shared" si="2"/>
        <v>31.65</v>
      </c>
      <c r="V35" s="3"/>
      <c r="W35" s="3">
        <f t="shared" si="3"/>
        <v>31.71187395</v>
      </c>
      <c r="X35" s="3">
        <f t="shared" si="4"/>
        <v>10.63523341</v>
      </c>
      <c r="Y35" s="3">
        <f t="shared" si="5"/>
        <v>10.57745153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138</v>
      </c>
      <c r="B36" s="3" t="s">
        <v>139</v>
      </c>
      <c r="C36" s="3" t="s">
        <v>133</v>
      </c>
      <c r="D36" s="3" t="s">
        <v>29</v>
      </c>
      <c r="E36" s="3">
        <v>37.5</v>
      </c>
      <c r="F36" s="3" t="s">
        <v>27</v>
      </c>
      <c r="G36" s="3">
        <v>31.15</v>
      </c>
      <c r="I36" s="3">
        <v>34.25</v>
      </c>
      <c r="K36" s="3">
        <v>0.0</v>
      </c>
      <c r="L36" s="3">
        <v>0.0</v>
      </c>
      <c r="M36" s="3" t="s">
        <v>65</v>
      </c>
      <c r="N36" s="3">
        <v>0.9974</v>
      </c>
      <c r="O36" s="3">
        <v>0.0</v>
      </c>
      <c r="P36" s="3">
        <v>2.8459</v>
      </c>
      <c r="Q36" s="3">
        <v>0.0</v>
      </c>
      <c r="R36" s="3">
        <v>0.3635</v>
      </c>
      <c r="S36" s="3">
        <v>70.260002</v>
      </c>
      <c r="T36" s="3">
        <v>17.0</v>
      </c>
      <c r="U36" s="3">
        <f t="shared" si="2"/>
        <v>32.7</v>
      </c>
      <c r="V36" s="3"/>
      <c r="W36" s="3">
        <f t="shared" si="3"/>
        <v>32.76177279</v>
      </c>
      <c r="X36" s="3">
        <f t="shared" si="4"/>
        <v>6.697917177</v>
      </c>
      <c r="Y36" s="3">
        <f t="shared" si="5"/>
        <v>6.603504871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138</v>
      </c>
      <c r="B37" s="3" t="s">
        <v>139</v>
      </c>
      <c r="C37" s="3" t="s">
        <v>133</v>
      </c>
      <c r="D37" s="3" t="s">
        <v>29</v>
      </c>
      <c r="E37" s="3">
        <v>37.5</v>
      </c>
      <c r="F37" s="3" t="s">
        <v>27</v>
      </c>
      <c r="G37" s="3">
        <v>31.4</v>
      </c>
      <c r="I37" s="3">
        <v>34.45</v>
      </c>
      <c r="K37" s="3">
        <v>0.0</v>
      </c>
      <c r="L37" s="3">
        <v>0.0</v>
      </c>
      <c r="M37" s="3" t="s">
        <v>66</v>
      </c>
      <c r="N37" s="3">
        <v>0.9973</v>
      </c>
      <c r="O37" s="3">
        <v>0.0</v>
      </c>
      <c r="P37" s="3">
        <v>3.1478</v>
      </c>
      <c r="Q37" s="3">
        <v>0.0</v>
      </c>
      <c r="R37" s="3">
        <v>0.4336</v>
      </c>
      <c r="S37" s="3">
        <v>70.400002</v>
      </c>
      <c r="T37" s="3">
        <v>16.0</v>
      </c>
      <c r="U37" s="3">
        <f t="shared" si="2"/>
        <v>32.925</v>
      </c>
      <c r="V37" s="3"/>
      <c r="W37" s="3">
        <f t="shared" si="3"/>
        <v>32.90166863</v>
      </c>
      <c r="X37" s="3">
        <f t="shared" si="4"/>
        <v>5.819908536</v>
      </c>
      <c r="Y37" s="3">
        <f t="shared" si="5"/>
        <v>5.710651606</v>
      </c>
      <c r="Z37" s="3">
        <f t="shared" ref="Z37:AA37" si="40">_xlfn.NORM.S.DIST(X37)</f>
        <v>0.9999999971</v>
      </c>
      <c r="AA37" s="3">
        <f t="shared" si="40"/>
        <v>0.9999999944</v>
      </c>
    </row>
    <row r="38" ht="14.25" customHeight="1">
      <c r="A38" s="3" t="s">
        <v>138</v>
      </c>
      <c r="B38" s="3" t="s">
        <v>139</v>
      </c>
      <c r="C38" s="3" t="s">
        <v>133</v>
      </c>
      <c r="D38" s="3" t="s">
        <v>29</v>
      </c>
      <c r="E38" s="3">
        <v>37.5</v>
      </c>
      <c r="F38" s="3" t="s">
        <v>27</v>
      </c>
      <c r="G38" s="3">
        <v>31.9</v>
      </c>
      <c r="I38" s="3">
        <v>34.9</v>
      </c>
      <c r="K38" s="3">
        <v>0.0</v>
      </c>
      <c r="L38" s="3">
        <v>0.0</v>
      </c>
      <c r="M38" s="3" t="s">
        <v>67</v>
      </c>
      <c r="N38" s="3">
        <v>0.9478</v>
      </c>
      <c r="O38" s="3">
        <v>0.0033</v>
      </c>
      <c r="P38" s="3">
        <v>-28.3685</v>
      </c>
      <c r="Q38" s="3">
        <v>1.6188</v>
      </c>
      <c r="R38" s="3">
        <v>1.9641</v>
      </c>
      <c r="S38" s="3">
        <v>70.440002</v>
      </c>
      <c r="T38" s="3">
        <v>15.0</v>
      </c>
      <c r="U38" s="3">
        <f t="shared" si="2"/>
        <v>33.4</v>
      </c>
      <c r="V38" s="3"/>
      <c r="W38" s="3">
        <f t="shared" si="3"/>
        <v>34.00458428</v>
      </c>
      <c r="X38" s="3">
        <f t="shared" si="4"/>
        <v>1.555274816</v>
      </c>
      <c r="Y38" s="3">
        <f t="shared" si="5"/>
        <v>1.076083483</v>
      </c>
      <c r="Z38" s="3">
        <f t="shared" ref="Z38:AA38" si="41">_xlfn.NORM.S.DIST(X38)</f>
        <v>0.9400596837</v>
      </c>
      <c r="AA38" s="3">
        <f t="shared" si="41"/>
        <v>0.859055039</v>
      </c>
    </row>
    <row r="39" ht="14.25" customHeight="1">
      <c r="A39" s="3" t="s">
        <v>138</v>
      </c>
      <c r="B39" s="3" t="s">
        <v>139</v>
      </c>
      <c r="C39" s="3" t="s">
        <v>133</v>
      </c>
      <c r="D39" s="3" t="s">
        <v>29</v>
      </c>
      <c r="E39" s="3">
        <v>37.5</v>
      </c>
      <c r="F39" s="3" t="s">
        <v>27</v>
      </c>
      <c r="G39" s="3">
        <v>32.0</v>
      </c>
      <c r="I39" s="3">
        <v>35.2</v>
      </c>
      <c r="K39" s="3">
        <v>0.0</v>
      </c>
      <c r="L39" s="3">
        <v>0.0</v>
      </c>
      <c r="M39" s="3" t="s">
        <v>68</v>
      </c>
      <c r="N39" s="3">
        <v>0.9976</v>
      </c>
      <c r="O39" s="3">
        <v>0.0</v>
      </c>
      <c r="P39" s="3">
        <v>3.4812</v>
      </c>
      <c r="Q39" s="3">
        <v>0.0</v>
      </c>
      <c r="R39" s="3">
        <v>0.4874</v>
      </c>
      <c r="S39" s="3">
        <v>71.110001</v>
      </c>
      <c r="T39" s="3">
        <v>14.0</v>
      </c>
      <c r="U39" s="3">
        <f t="shared" si="2"/>
        <v>33.6</v>
      </c>
      <c r="V39" s="3"/>
      <c r="W39" s="3">
        <f t="shared" si="3"/>
        <v>33.61145932</v>
      </c>
      <c r="X39" s="3">
        <f t="shared" si="4"/>
        <v>5.627764494</v>
      </c>
      <c r="Y39" s="3">
        <f t="shared" si="5"/>
        <v>5.512883213</v>
      </c>
      <c r="Z39" s="3">
        <f t="shared" ref="Z39:AA39" si="42">_xlfn.NORM.S.DIST(X39)</f>
        <v>0.9999999909</v>
      </c>
      <c r="AA39" s="3">
        <f t="shared" si="42"/>
        <v>0.9999999823</v>
      </c>
    </row>
    <row r="40" ht="14.25" customHeight="1">
      <c r="A40" s="3" t="s">
        <v>138</v>
      </c>
      <c r="B40" s="3" t="s">
        <v>139</v>
      </c>
      <c r="C40" s="3" t="s">
        <v>133</v>
      </c>
      <c r="D40" s="3" t="s">
        <v>29</v>
      </c>
      <c r="E40" s="3">
        <v>37.5</v>
      </c>
      <c r="F40" s="3" t="s">
        <v>27</v>
      </c>
      <c r="G40" s="3">
        <v>32.75</v>
      </c>
      <c r="I40" s="3">
        <v>35.8</v>
      </c>
      <c r="K40" s="3">
        <v>0.0</v>
      </c>
      <c r="L40" s="3">
        <v>0.0</v>
      </c>
      <c r="M40" s="3" t="s">
        <v>69</v>
      </c>
      <c r="N40" s="3">
        <v>0.9977</v>
      </c>
      <c r="O40" s="3">
        <v>0.0</v>
      </c>
      <c r="P40" s="3">
        <v>3.5094</v>
      </c>
      <c r="Q40" s="3">
        <v>0.0</v>
      </c>
      <c r="R40" s="3">
        <v>0.5465</v>
      </c>
      <c r="S40" s="3">
        <v>71.660004</v>
      </c>
      <c r="T40" s="3">
        <v>13.0</v>
      </c>
      <c r="U40" s="3">
        <f t="shared" si="2"/>
        <v>34.275</v>
      </c>
      <c r="V40" s="3"/>
      <c r="W40" s="3">
        <f t="shared" si="3"/>
        <v>34.16135825</v>
      </c>
      <c r="X40" s="3">
        <f t="shared" si="4"/>
        <v>5.279581463</v>
      </c>
      <c r="Y40" s="3">
        <f t="shared" si="5"/>
        <v>5.155455803</v>
      </c>
      <c r="Z40" s="3">
        <f t="shared" ref="Z40:AA40" si="43">_xlfn.NORM.S.DIST(X40)</f>
        <v>0.9999999353</v>
      </c>
      <c r="AA40" s="3">
        <f t="shared" si="43"/>
        <v>0.9999998735</v>
      </c>
    </row>
    <row r="41" ht="14.25" customHeight="1">
      <c r="A41" s="3" t="s">
        <v>138</v>
      </c>
      <c r="B41" s="3" t="s">
        <v>139</v>
      </c>
      <c r="C41" s="3" t="s">
        <v>133</v>
      </c>
      <c r="D41" s="3" t="s">
        <v>29</v>
      </c>
      <c r="E41" s="3">
        <v>37.5</v>
      </c>
      <c r="F41" s="3" t="s">
        <v>27</v>
      </c>
      <c r="G41" s="3">
        <v>32.65</v>
      </c>
      <c r="I41" s="3">
        <v>35.0</v>
      </c>
      <c r="K41" s="3">
        <v>0.0</v>
      </c>
      <c r="L41" s="3">
        <v>0.0</v>
      </c>
      <c r="M41" s="3" t="s">
        <v>70</v>
      </c>
      <c r="N41" s="3">
        <v>0.9443</v>
      </c>
      <c r="O41" s="3">
        <v>0.0034</v>
      </c>
      <c r="P41" s="3">
        <v>-38.7053</v>
      </c>
      <c r="Q41" s="3">
        <v>1.5786</v>
      </c>
      <c r="R41" s="3">
        <v>2.2364</v>
      </c>
      <c r="S41" s="3">
        <v>70.779999</v>
      </c>
      <c r="T41" s="3">
        <v>12.0</v>
      </c>
      <c r="U41" s="3">
        <f t="shared" si="2"/>
        <v>33.825</v>
      </c>
      <c r="V41" s="3"/>
      <c r="W41" s="3">
        <f t="shared" si="3"/>
        <v>34.39851904</v>
      </c>
      <c r="X41" s="3">
        <f t="shared" si="4"/>
        <v>1.545731708</v>
      </c>
      <c r="Y41" s="3">
        <f t="shared" si="5"/>
        <v>1.057709218</v>
      </c>
      <c r="Z41" s="3">
        <f t="shared" ref="Z41:AA41" si="44">_xlfn.NORM.S.DIST(X41)</f>
        <v>0.9389153119</v>
      </c>
      <c r="AA41" s="3">
        <f t="shared" si="44"/>
        <v>0.8549059843</v>
      </c>
    </row>
    <row r="42" ht="14.25" customHeight="1">
      <c r="A42" s="3" t="s">
        <v>138</v>
      </c>
      <c r="B42" s="3" t="s">
        <v>139</v>
      </c>
      <c r="C42" s="3" t="s">
        <v>133</v>
      </c>
      <c r="D42" s="3" t="s">
        <v>29</v>
      </c>
      <c r="E42" s="3">
        <v>37.5</v>
      </c>
      <c r="F42" s="3" t="s">
        <v>27</v>
      </c>
      <c r="G42" s="3">
        <v>32.9</v>
      </c>
      <c r="I42" s="3">
        <v>35.85</v>
      </c>
      <c r="K42" s="3">
        <v>0.0</v>
      </c>
      <c r="L42" s="3">
        <v>0.0</v>
      </c>
      <c r="M42" s="3" t="s">
        <v>71</v>
      </c>
      <c r="N42" s="3">
        <v>0.998</v>
      </c>
      <c r="O42" s="3">
        <v>0.0</v>
      </c>
      <c r="P42" s="3">
        <v>3.5177</v>
      </c>
      <c r="Q42" s="3">
        <v>0.0</v>
      </c>
      <c r="R42" s="3">
        <v>0.5877</v>
      </c>
      <c r="S42" s="3">
        <v>71.739998</v>
      </c>
      <c r="T42" s="3">
        <v>11.0</v>
      </c>
      <c r="U42" s="3">
        <f t="shared" si="2"/>
        <v>34.375</v>
      </c>
      <c r="V42" s="3"/>
      <c r="W42" s="3">
        <f t="shared" si="3"/>
        <v>34.24114389</v>
      </c>
      <c r="X42" s="3">
        <f t="shared" si="4"/>
        <v>5.344843625</v>
      </c>
      <c r="Y42" s="3">
        <f t="shared" si="5"/>
        <v>5.222056802</v>
      </c>
      <c r="Z42" s="3">
        <f t="shared" ref="Z42:AA42" si="45">_xlfn.NORM.S.DIST(X42)</f>
        <v>0.9999999548</v>
      </c>
      <c r="AA42" s="3">
        <f t="shared" si="45"/>
        <v>0.9999999115</v>
      </c>
    </row>
    <row r="43" ht="14.25" customHeight="1">
      <c r="A43" s="3" t="s">
        <v>138</v>
      </c>
      <c r="B43" s="3" t="s">
        <v>139</v>
      </c>
      <c r="C43" s="3" t="s">
        <v>133</v>
      </c>
      <c r="D43" s="3" t="s">
        <v>29</v>
      </c>
      <c r="E43" s="3">
        <v>37.5</v>
      </c>
      <c r="F43" s="3" t="s">
        <v>27</v>
      </c>
      <c r="G43" s="3">
        <v>34.1</v>
      </c>
      <c r="I43" s="3">
        <v>36.5</v>
      </c>
      <c r="K43" s="3">
        <v>0.0</v>
      </c>
      <c r="L43" s="3">
        <v>0.0</v>
      </c>
      <c r="M43" s="3" t="s">
        <v>72</v>
      </c>
      <c r="N43" s="3">
        <v>0.9984</v>
      </c>
      <c r="O43" s="3">
        <v>0.0</v>
      </c>
      <c r="P43" s="3">
        <v>3.6771</v>
      </c>
      <c r="Q43" s="3">
        <v>0.0</v>
      </c>
      <c r="R43" s="3">
        <v>0.5069</v>
      </c>
      <c r="S43" s="3">
        <v>73.260002</v>
      </c>
      <c r="T43" s="3">
        <v>10.0</v>
      </c>
      <c r="U43" s="3">
        <f t="shared" si="2"/>
        <v>35.3</v>
      </c>
      <c r="V43" s="3"/>
      <c r="W43" s="3">
        <f t="shared" si="3"/>
        <v>35.76104365</v>
      </c>
      <c r="X43" s="3">
        <f t="shared" si="4"/>
        <v>6.682714723</v>
      </c>
      <c r="Y43" s="3">
        <f t="shared" si="5"/>
        <v>6.581737826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138</v>
      </c>
      <c r="B44" s="3" t="s">
        <v>139</v>
      </c>
      <c r="C44" s="3" t="s">
        <v>133</v>
      </c>
      <c r="D44" s="3" t="s">
        <v>29</v>
      </c>
      <c r="E44" s="3">
        <v>37.5</v>
      </c>
      <c r="F44" s="3" t="s">
        <v>27</v>
      </c>
      <c r="G44" s="3">
        <v>34.95</v>
      </c>
      <c r="I44" s="3">
        <v>37.75</v>
      </c>
      <c r="K44" s="3">
        <v>0.0</v>
      </c>
      <c r="L44" s="3">
        <v>0.0</v>
      </c>
      <c r="M44" s="3" t="s">
        <v>73</v>
      </c>
      <c r="N44" s="3">
        <v>0.9985</v>
      </c>
      <c r="O44" s="3">
        <v>0.0</v>
      </c>
      <c r="P44" s="3">
        <v>3.7271</v>
      </c>
      <c r="Q44" s="3">
        <v>0.0</v>
      </c>
      <c r="R44" s="3">
        <v>0.4168</v>
      </c>
      <c r="S44" s="3">
        <v>73.720001</v>
      </c>
      <c r="T44" s="3">
        <v>9.0</v>
      </c>
      <c r="U44" s="3">
        <f t="shared" si="2"/>
        <v>36.35</v>
      </c>
      <c r="V44" s="3"/>
      <c r="W44" s="3">
        <f t="shared" si="3"/>
        <v>36.22093849</v>
      </c>
      <c r="X44" s="3">
        <f t="shared" si="4"/>
        <v>8.621040948</v>
      </c>
      <c r="Y44" s="3">
        <f t="shared" si="5"/>
        <v>8.542273152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138</v>
      </c>
      <c r="B45" s="3" t="s">
        <v>139</v>
      </c>
      <c r="C45" s="3" t="s">
        <v>133</v>
      </c>
      <c r="D45" s="3" t="s">
        <v>29</v>
      </c>
      <c r="E45" s="3">
        <v>37.5</v>
      </c>
      <c r="F45" s="3" t="s">
        <v>27</v>
      </c>
      <c r="G45" s="3">
        <v>34.5</v>
      </c>
      <c r="I45" s="3">
        <v>37.4</v>
      </c>
      <c r="K45" s="3">
        <v>0.0</v>
      </c>
      <c r="L45" s="3">
        <v>0.0</v>
      </c>
      <c r="M45" s="3" t="s">
        <v>74</v>
      </c>
      <c r="N45" s="3">
        <v>0.9993</v>
      </c>
      <c r="O45" s="3">
        <v>0.0</v>
      </c>
      <c r="P45" s="3">
        <v>1.9137</v>
      </c>
      <c r="Q45" s="3">
        <v>0.0</v>
      </c>
      <c r="R45" s="3">
        <v>0.296</v>
      </c>
      <c r="S45" s="3">
        <v>73.379997</v>
      </c>
      <c r="T45" s="3">
        <v>8.0</v>
      </c>
      <c r="U45" s="3">
        <f t="shared" si="2"/>
        <v>35.95</v>
      </c>
      <c r="V45" s="3"/>
      <c r="W45" s="3">
        <f t="shared" si="3"/>
        <v>35.88083032</v>
      </c>
      <c r="X45" s="3">
        <f t="shared" si="4"/>
        <v>12.7555767</v>
      </c>
      <c r="Y45" s="3">
        <f t="shared" si="5"/>
        <v>12.70283715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138</v>
      </c>
      <c r="B46" s="3" t="s">
        <v>139</v>
      </c>
      <c r="C46" s="3" t="s">
        <v>133</v>
      </c>
      <c r="D46" s="3" t="s">
        <v>29</v>
      </c>
      <c r="E46" s="3">
        <v>37.5</v>
      </c>
      <c r="F46" s="3" t="s">
        <v>27</v>
      </c>
      <c r="G46" s="3">
        <v>34.55</v>
      </c>
      <c r="I46" s="3">
        <v>37.3</v>
      </c>
      <c r="K46" s="3">
        <v>0.0</v>
      </c>
      <c r="L46" s="3">
        <v>0.0</v>
      </c>
      <c r="M46" s="3" t="s">
        <v>75</v>
      </c>
      <c r="N46" s="3">
        <v>0.9994</v>
      </c>
      <c r="O46" s="3">
        <v>0.0</v>
      </c>
      <c r="P46" s="3">
        <v>1.9122</v>
      </c>
      <c r="Q46" s="3">
        <v>0.0</v>
      </c>
      <c r="R46" s="3">
        <v>0.1261</v>
      </c>
      <c r="S46" s="3">
        <v>73.32</v>
      </c>
      <c r="T46" s="3">
        <v>7.0</v>
      </c>
      <c r="U46" s="3">
        <f t="shared" si="2"/>
        <v>35.925</v>
      </c>
      <c r="V46" s="3"/>
      <c r="W46" s="3">
        <f t="shared" si="3"/>
        <v>35.82072916</v>
      </c>
      <c r="X46" s="3">
        <f t="shared" si="4"/>
        <v>31.91432758</v>
      </c>
      <c r="Y46" s="3">
        <f t="shared" si="5"/>
        <v>31.89331091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138</v>
      </c>
      <c r="B47" s="3" t="s">
        <v>139</v>
      </c>
      <c r="C47" s="3" t="s">
        <v>133</v>
      </c>
      <c r="D47" s="3" t="s">
        <v>29</v>
      </c>
      <c r="E47" s="3">
        <v>37.5</v>
      </c>
      <c r="F47" s="3" t="s">
        <v>27</v>
      </c>
      <c r="G47" s="3">
        <v>35.45</v>
      </c>
      <c r="I47" s="3">
        <v>35.55</v>
      </c>
      <c r="K47" s="3">
        <v>0.0</v>
      </c>
      <c r="L47" s="3">
        <v>0.0</v>
      </c>
      <c r="M47" s="3" t="s">
        <v>76</v>
      </c>
      <c r="N47" s="3">
        <v>1.0</v>
      </c>
      <c r="O47" s="3">
        <v>0.0</v>
      </c>
      <c r="P47" s="3">
        <v>-0.1057</v>
      </c>
      <c r="Q47" s="3">
        <v>0.0</v>
      </c>
      <c r="R47" s="3">
        <v>0.1799</v>
      </c>
      <c r="S47" s="3">
        <v>73.029999</v>
      </c>
      <c r="T47" s="3">
        <v>6.0</v>
      </c>
      <c r="U47" s="3">
        <f t="shared" si="2"/>
        <v>35.5</v>
      </c>
      <c r="V47" s="3"/>
      <c r="W47" s="3">
        <f t="shared" si="3"/>
        <v>35.53062399</v>
      </c>
      <c r="X47" s="3">
        <f t="shared" si="4"/>
        <v>24.02561956</v>
      </c>
      <c r="Y47" s="3">
        <f t="shared" si="5"/>
        <v>23.99786038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138</v>
      </c>
      <c r="B48" s="3" t="s">
        <v>139</v>
      </c>
      <c r="C48" s="3" t="s">
        <v>133</v>
      </c>
      <c r="D48" s="3" t="s">
        <v>29</v>
      </c>
      <c r="E48" s="3">
        <v>37.5</v>
      </c>
      <c r="F48" s="3" t="s">
        <v>27</v>
      </c>
      <c r="G48" s="3">
        <v>33.9</v>
      </c>
      <c r="I48" s="3">
        <v>37.05</v>
      </c>
      <c r="K48" s="3">
        <v>0.0</v>
      </c>
      <c r="L48" s="3">
        <v>0.0</v>
      </c>
      <c r="M48" s="3" t="s">
        <v>77</v>
      </c>
      <c r="N48" s="3">
        <v>1.0</v>
      </c>
      <c r="O48" s="3">
        <v>0.0</v>
      </c>
      <c r="P48" s="3">
        <v>-0.1057</v>
      </c>
      <c r="Q48" s="3">
        <v>0.0</v>
      </c>
      <c r="R48" s="3">
        <v>0.2212</v>
      </c>
      <c r="S48" s="3">
        <v>72.980003</v>
      </c>
      <c r="T48" s="3">
        <v>5.0</v>
      </c>
      <c r="U48" s="3">
        <f t="shared" si="2"/>
        <v>35.475</v>
      </c>
      <c r="V48" s="3"/>
      <c r="W48" s="3">
        <f t="shared" si="3"/>
        <v>35.48052383</v>
      </c>
      <c r="X48" s="3">
        <f t="shared" si="4"/>
        <v>21.38594927</v>
      </c>
      <c r="Y48" s="3">
        <f t="shared" si="5"/>
        <v>21.35479125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138</v>
      </c>
      <c r="B49" s="3" t="s">
        <v>139</v>
      </c>
      <c r="C49" s="3" t="s">
        <v>133</v>
      </c>
      <c r="D49" s="3" t="s">
        <v>29</v>
      </c>
      <c r="E49" s="3">
        <v>37.5</v>
      </c>
      <c r="F49" s="3" t="s">
        <v>27</v>
      </c>
      <c r="G49" s="3">
        <v>34.55</v>
      </c>
      <c r="I49" s="3">
        <v>37.55</v>
      </c>
      <c r="K49" s="3">
        <v>0.0</v>
      </c>
      <c r="L49" s="3">
        <v>0.0</v>
      </c>
      <c r="M49" s="3" t="s">
        <v>78</v>
      </c>
      <c r="N49" s="3">
        <v>1.0</v>
      </c>
      <c r="O49" s="3">
        <v>0.0</v>
      </c>
      <c r="P49" s="3">
        <v>-0.1057</v>
      </c>
      <c r="Q49" s="3">
        <v>0.0</v>
      </c>
      <c r="R49" s="3">
        <v>0.1491</v>
      </c>
      <c r="S49" s="3">
        <v>73.599998</v>
      </c>
      <c r="T49" s="3">
        <v>4.0</v>
      </c>
      <c r="U49" s="3">
        <f t="shared" si="2"/>
        <v>36.05</v>
      </c>
      <c r="V49" s="3"/>
      <c r="W49" s="3">
        <f t="shared" si="3"/>
        <v>36.10041466</v>
      </c>
      <c r="X49" s="3">
        <f t="shared" si="4"/>
        <v>35.90617839</v>
      </c>
      <c r="Y49" s="3">
        <f t="shared" si="5"/>
        <v>35.88739355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138</v>
      </c>
      <c r="B50" s="3" t="s">
        <v>139</v>
      </c>
      <c r="C50" s="3" t="s">
        <v>133</v>
      </c>
      <c r="D50" s="3" t="s">
        <v>29</v>
      </c>
      <c r="E50" s="3">
        <v>37.5</v>
      </c>
      <c r="F50" s="3" t="s">
        <v>27</v>
      </c>
      <c r="G50" s="3">
        <v>34.65</v>
      </c>
      <c r="I50" s="3">
        <v>37.65</v>
      </c>
      <c r="K50" s="3">
        <v>0.0</v>
      </c>
      <c r="L50" s="3">
        <v>0.0</v>
      </c>
      <c r="M50" s="3" t="s">
        <v>79</v>
      </c>
      <c r="N50" s="3">
        <v>1.0</v>
      </c>
      <c r="O50" s="3">
        <v>0.0</v>
      </c>
      <c r="P50" s="3">
        <v>-0.1057</v>
      </c>
      <c r="Q50" s="3">
        <v>0.0</v>
      </c>
      <c r="R50" s="3">
        <v>0.1714</v>
      </c>
      <c r="S50" s="3">
        <v>73.650002</v>
      </c>
      <c r="T50" s="3">
        <v>3.0</v>
      </c>
      <c r="U50" s="3">
        <f t="shared" si="2"/>
        <v>36.15</v>
      </c>
      <c r="V50" s="3"/>
      <c r="W50" s="3">
        <f t="shared" si="3"/>
        <v>36.1503145</v>
      </c>
      <c r="X50" s="3">
        <f t="shared" si="4"/>
        <v>36.10269912</v>
      </c>
      <c r="Y50" s="3">
        <f t="shared" si="5"/>
        <v>36.08399785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138</v>
      </c>
      <c r="B51" s="3" t="s">
        <v>139</v>
      </c>
      <c r="C51" s="3" t="s">
        <v>133</v>
      </c>
      <c r="D51" s="3" t="s">
        <v>29</v>
      </c>
      <c r="E51" s="3">
        <v>37.5</v>
      </c>
      <c r="F51" s="3" t="s">
        <v>27</v>
      </c>
      <c r="G51" s="3">
        <v>34.15</v>
      </c>
      <c r="I51" s="3">
        <v>38.05</v>
      </c>
      <c r="K51" s="3">
        <v>0.0</v>
      </c>
      <c r="L51" s="3">
        <v>0.0</v>
      </c>
      <c r="M51" s="3" t="s">
        <v>80</v>
      </c>
      <c r="N51" s="3">
        <v>1.0</v>
      </c>
      <c r="O51" s="3">
        <v>0.0</v>
      </c>
      <c r="P51" s="3">
        <v>-0.1057</v>
      </c>
      <c r="Q51" s="3">
        <v>0.0</v>
      </c>
      <c r="R51" s="3">
        <v>0.0931</v>
      </c>
      <c r="S51" s="3">
        <v>73.220001</v>
      </c>
      <c r="T51" s="3">
        <v>2.0</v>
      </c>
      <c r="U51" s="3">
        <f t="shared" si="2"/>
        <v>36.1</v>
      </c>
      <c r="V51" s="3"/>
      <c r="W51" s="3">
        <f t="shared" si="3"/>
        <v>35.72020933</v>
      </c>
      <c r="X51" s="3">
        <f t="shared" si="4"/>
        <v>80.68086059</v>
      </c>
      <c r="Y51" s="3">
        <f t="shared" si="5"/>
        <v>80.67256658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138</v>
      </c>
      <c r="B52" s="3" t="s">
        <v>139</v>
      </c>
      <c r="C52" s="3" t="s">
        <v>133</v>
      </c>
      <c r="D52" s="3" t="s">
        <v>29</v>
      </c>
      <c r="E52" s="3">
        <v>37.5</v>
      </c>
      <c r="F52" s="3" t="s">
        <v>27</v>
      </c>
      <c r="G52" s="3">
        <v>33.95</v>
      </c>
      <c r="I52" s="3">
        <v>36.75</v>
      </c>
      <c r="K52" s="3">
        <v>0.0</v>
      </c>
      <c r="L52" s="3">
        <v>0.0</v>
      </c>
      <c r="M52" s="3" t="s">
        <v>81</v>
      </c>
      <c r="N52" s="3">
        <v>1.0</v>
      </c>
      <c r="O52" s="3">
        <v>0.0</v>
      </c>
      <c r="P52" s="3">
        <v>-0.1057</v>
      </c>
      <c r="Q52" s="3">
        <v>0.0</v>
      </c>
      <c r="R52" s="3">
        <v>0.723</v>
      </c>
      <c r="S52" s="3">
        <v>72.5</v>
      </c>
      <c r="T52" s="3">
        <v>1.0</v>
      </c>
      <c r="U52" s="3">
        <f t="shared" si="2"/>
        <v>35.35</v>
      </c>
      <c r="V52" s="3"/>
      <c r="W52" s="3">
        <f t="shared" si="3"/>
        <v>35.00010417</v>
      </c>
      <c r="X52" s="3">
        <f t="shared" si="4"/>
        <v>14.49752204</v>
      </c>
      <c r="Y52" s="3">
        <f t="shared" si="5"/>
        <v>14.45197732</v>
      </c>
      <c r="Z52" s="3">
        <f t="shared" ref="Z52:AA52" si="55">_xlfn.NORM.S.DIST(X52)</f>
        <v>1</v>
      </c>
      <c r="AA52" s="3">
        <f t="shared" si="55"/>
        <v>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140</v>
      </c>
      <c r="B2" s="3" t="s">
        <v>141</v>
      </c>
      <c r="C2" s="3" t="s">
        <v>128</v>
      </c>
      <c r="D2" s="3" t="s">
        <v>29</v>
      </c>
      <c r="E2" s="3">
        <v>15.0</v>
      </c>
      <c r="F2" s="3" t="s">
        <v>27</v>
      </c>
      <c r="G2" s="3">
        <v>11.4</v>
      </c>
      <c r="I2" s="3">
        <v>13.7</v>
      </c>
      <c r="K2" s="3">
        <v>0.0</v>
      </c>
      <c r="L2" s="3">
        <v>49.0</v>
      </c>
      <c r="M2" s="3" t="s">
        <v>30</v>
      </c>
      <c r="N2" s="3">
        <v>1.0</v>
      </c>
      <c r="O2" s="3">
        <v>0.0</v>
      </c>
      <c r="P2" s="3">
        <v>-0.0455</v>
      </c>
      <c r="Q2" s="3">
        <v>1.0E-4</v>
      </c>
      <c r="R2" s="3">
        <v>0.2478</v>
      </c>
      <c r="S2" s="3">
        <v>27.620001</v>
      </c>
      <c r="T2" s="3">
        <v>75.0</v>
      </c>
      <c r="U2" s="3">
        <f t="shared" ref="U2:U76" si="2">(I2+G2)*0.5</f>
        <v>12.55</v>
      </c>
      <c r="V2" s="3"/>
      <c r="W2" s="3">
        <f t="shared" ref="W2:W76" si="3">( S2*Z2 ) - ( E2 * EXP(-0.0007*T2/$AC$2) * AA2)</f>
        <v>12.62312742</v>
      </c>
      <c r="X2" s="3">
        <f t="shared" ref="X2:X76" si="4">((LN(S2/E2) + (0.0007 + (R2^2)/2) * T2/$AC$2)) / (R2 * SQRT(T2/$AC$2))</f>
        <v>4.585060726</v>
      </c>
      <c r="Y2" s="3">
        <f t="shared" ref="Y2:Y76" si="5">X2-(R2*SQRT(T2/$AC$2))</f>
        <v>4.449874743</v>
      </c>
      <c r="Z2" s="3">
        <f t="shared" ref="Z2:AA2" si="1">_xlfn.NORM.S.DIST(X2)</f>
        <v>0.9999977307</v>
      </c>
      <c r="AA2" s="3">
        <f t="shared" si="1"/>
        <v>0.999995704</v>
      </c>
      <c r="AC2" s="6">
        <v>252.0</v>
      </c>
    </row>
    <row r="3" ht="14.25" customHeight="1">
      <c r="A3" s="3" t="s">
        <v>140</v>
      </c>
      <c r="B3" s="3" t="s">
        <v>141</v>
      </c>
      <c r="C3" s="3" t="s">
        <v>128</v>
      </c>
      <c r="D3" s="3" t="s">
        <v>29</v>
      </c>
      <c r="E3" s="3">
        <v>15.0</v>
      </c>
      <c r="F3" s="3" t="s">
        <v>27</v>
      </c>
      <c r="G3" s="3">
        <v>10.75</v>
      </c>
      <c r="I3" s="3">
        <v>13.75</v>
      </c>
      <c r="K3" s="3">
        <v>0.0</v>
      </c>
      <c r="L3" s="3">
        <v>49.0</v>
      </c>
      <c r="M3" s="3" t="s">
        <v>31</v>
      </c>
      <c r="N3" s="3">
        <v>1.0</v>
      </c>
      <c r="O3" s="3">
        <v>0.0</v>
      </c>
      <c r="P3" s="3">
        <v>-0.0467</v>
      </c>
      <c r="Q3" s="3">
        <v>0.0028</v>
      </c>
      <c r="R3" s="3">
        <v>0.2888</v>
      </c>
      <c r="S3" s="3">
        <v>27.25</v>
      </c>
      <c r="T3" s="3">
        <v>74.0</v>
      </c>
      <c r="U3" s="3">
        <f t="shared" si="2"/>
        <v>12.25</v>
      </c>
      <c r="V3" s="3"/>
      <c r="W3" s="3">
        <f t="shared" si="3"/>
        <v>12.25313318</v>
      </c>
      <c r="X3" s="3">
        <f t="shared" si="4"/>
        <v>3.89429461</v>
      </c>
      <c r="Y3" s="3">
        <f t="shared" si="5"/>
        <v>3.737795174</v>
      </c>
      <c r="Z3" s="3">
        <f t="shared" ref="Z3:AA3" si="6">_xlfn.NORM.S.DIST(X3)</f>
        <v>0.9999507576</v>
      </c>
      <c r="AA3" s="3">
        <f t="shared" si="6"/>
        <v>0.9999071795</v>
      </c>
    </row>
    <row r="4" ht="14.25" customHeight="1">
      <c r="A4" s="3" t="s">
        <v>140</v>
      </c>
      <c r="B4" s="3" t="s">
        <v>141</v>
      </c>
      <c r="C4" s="3" t="s">
        <v>128</v>
      </c>
      <c r="D4" s="3" t="s">
        <v>29</v>
      </c>
      <c r="E4" s="3">
        <v>15.0</v>
      </c>
      <c r="F4" s="3" t="s">
        <v>27</v>
      </c>
      <c r="G4" s="3">
        <v>10.25</v>
      </c>
      <c r="I4" s="3">
        <v>12.9</v>
      </c>
      <c r="K4" s="3">
        <v>0.0</v>
      </c>
      <c r="L4" s="3">
        <v>49.0</v>
      </c>
      <c r="M4" s="3" t="s">
        <v>32</v>
      </c>
      <c r="N4" s="3">
        <v>1.0</v>
      </c>
      <c r="O4" s="3">
        <v>0.0</v>
      </c>
      <c r="P4" s="3">
        <v>-0.046</v>
      </c>
      <c r="Q4" s="3">
        <v>0.0013</v>
      </c>
      <c r="R4" s="3">
        <v>0.2678</v>
      </c>
      <c r="S4" s="3">
        <v>26.74</v>
      </c>
      <c r="T4" s="3">
        <v>73.0</v>
      </c>
      <c r="U4" s="3">
        <f t="shared" si="2"/>
        <v>11.575</v>
      </c>
      <c r="V4" s="3"/>
      <c r="W4" s="3">
        <f t="shared" si="3"/>
        <v>11.74306084</v>
      </c>
      <c r="X4" s="3">
        <f t="shared" si="4"/>
        <v>4.084348812</v>
      </c>
      <c r="Y4" s="3">
        <f t="shared" si="5"/>
        <v>3.940213056</v>
      </c>
      <c r="Z4" s="3">
        <f t="shared" ref="Z4:AA4" si="7">_xlfn.NORM.S.DIST(X4)</f>
        <v>0.9999778997</v>
      </c>
      <c r="AA4" s="3">
        <f t="shared" si="7"/>
        <v>0.9999592954</v>
      </c>
    </row>
    <row r="5" ht="14.25" customHeight="1">
      <c r="A5" s="3" t="s">
        <v>140</v>
      </c>
      <c r="B5" s="3" t="s">
        <v>141</v>
      </c>
      <c r="C5" s="3" t="s">
        <v>128</v>
      </c>
      <c r="D5" s="3" t="s">
        <v>29</v>
      </c>
      <c r="E5" s="3">
        <v>15.0</v>
      </c>
      <c r="F5" s="3" t="s">
        <v>27</v>
      </c>
      <c r="G5" s="3">
        <v>11.5</v>
      </c>
      <c r="I5" s="3">
        <v>12.75</v>
      </c>
      <c r="K5" s="3">
        <v>0.0</v>
      </c>
      <c r="L5" s="3">
        <v>49.0</v>
      </c>
      <c r="M5" s="3" t="s">
        <v>33</v>
      </c>
      <c r="N5" s="3">
        <v>0.9705</v>
      </c>
      <c r="O5" s="3">
        <v>0.007</v>
      </c>
      <c r="P5" s="3">
        <v>-0.657</v>
      </c>
      <c r="Q5" s="3">
        <v>0.8563</v>
      </c>
      <c r="R5" s="3">
        <v>0.6092</v>
      </c>
      <c r="S5" s="3">
        <v>26.690001</v>
      </c>
      <c r="T5" s="3">
        <v>72.0</v>
      </c>
      <c r="U5" s="3">
        <f t="shared" si="2"/>
        <v>12.125</v>
      </c>
      <c r="V5" s="3"/>
      <c r="W5" s="3">
        <f t="shared" si="3"/>
        <v>11.79220268</v>
      </c>
      <c r="X5" s="3">
        <f t="shared" si="4"/>
        <v>1.933035914</v>
      </c>
      <c r="Y5" s="3">
        <f t="shared" si="5"/>
        <v>1.607404817</v>
      </c>
      <c r="Z5" s="3">
        <f t="shared" ref="Z5:AA5" si="8">_xlfn.NORM.S.DIST(X5)</f>
        <v>0.9733841131</v>
      </c>
      <c r="AA5" s="3">
        <f t="shared" si="8"/>
        <v>0.9460172029</v>
      </c>
    </row>
    <row r="6" ht="14.25" customHeight="1">
      <c r="A6" s="3" t="s">
        <v>140</v>
      </c>
      <c r="B6" s="3" t="s">
        <v>141</v>
      </c>
      <c r="C6" s="3" t="s">
        <v>128</v>
      </c>
      <c r="D6" s="3" t="s">
        <v>29</v>
      </c>
      <c r="E6" s="3">
        <v>15.0</v>
      </c>
      <c r="F6" s="3" t="s">
        <v>27</v>
      </c>
      <c r="G6" s="3">
        <v>10.2</v>
      </c>
      <c r="I6" s="3">
        <v>12.15</v>
      </c>
      <c r="K6" s="3">
        <v>0.0</v>
      </c>
      <c r="L6" s="3">
        <v>49.0</v>
      </c>
      <c r="M6" s="3" t="s">
        <v>34</v>
      </c>
      <c r="N6" s="3">
        <v>0.9737</v>
      </c>
      <c r="O6" s="3">
        <v>0.006</v>
      </c>
      <c r="P6" s="3">
        <v>-0.0809</v>
      </c>
      <c r="Q6" s="3">
        <v>0.6625</v>
      </c>
      <c r="R6" s="3">
        <v>0.5604</v>
      </c>
      <c r="S6" s="3">
        <v>26.549999</v>
      </c>
      <c r="T6" s="3">
        <v>71.0</v>
      </c>
      <c r="U6" s="3">
        <f t="shared" si="2"/>
        <v>11.175</v>
      </c>
      <c r="V6" s="3"/>
      <c r="W6" s="3">
        <f t="shared" si="3"/>
        <v>11.61467545</v>
      </c>
      <c r="X6" s="3">
        <f t="shared" si="4"/>
        <v>2.068916255</v>
      </c>
      <c r="Y6" s="3">
        <f t="shared" si="5"/>
        <v>1.771457312</v>
      </c>
      <c r="Z6" s="3">
        <f t="shared" ref="Z6:AA6" si="9">_xlfn.NORM.S.DIST(X6)</f>
        <v>0.980723027</v>
      </c>
      <c r="AA6" s="3">
        <f t="shared" si="9"/>
        <v>0.9617576573</v>
      </c>
    </row>
    <row r="7" ht="14.25" customHeight="1">
      <c r="A7" s="3" t="s">
        <v>140</v>
      </c>
      <c r="B7" s="3" t="s">
        <v>141</v>
      </c>
      <c r="C7" s="3" t="s">
        <v>128</v>
      </c>
      <c r="D7" s="3" t="s">
        <v>29</v>
      </c>
      <c r="E7" s="3">
        <v>15.0</v>
      </c>
      <c r="F7" s="3" t="s">
        <v>27</v>
      </c>
      <c r="G7" s="3">
        <v>11.4</v>
      </c>
      <c r="I7" s="3">
        <v>12.0</v>
      </c>
      <c r="K7" s="3">
        <v>0.0</v>
      </c>
      <c r="L7" s="3">
        <v>49.0</v>
      </c>
      <c r="M7" s="3" t="s">
        <v>35</v>
      </c>
      <c r="N7" s="3">
        <v>0.9828</v>
      </c>
      <c r="O7" s="3">
        <v>0.0039</v>
      </c>
      <c r="P7" s="3">
        <v>0.2587</v>
      </c>
      <c r="Q7" s="3">
        <v>0.3854</v>
      </c>
      <c r="R7" s="3">
        <v>0.4996</v>
      </c>
      <c r="S7" s="3">
        <v>26.700001</v>
      </c>
      <c r="T7" s="3">
        <v>70.0</v>
      </c>
      <c r="U7" s="3">
        <f t="shared" si="2"/>
        <v>11.7</v>
      </c>
      <c r="V7" s="3"/>
      <c r="W7" s="3">
        <f t="shared" si="3"/>
        <v>11.72918131</v>
      </c>
      <c r="X7" s="3">
        <f t="shared" si="4"/>
        <v>2.322240507</v>
      </c>
      <c r="Y7" s="3">
        <f t="shared" si="5"/>
        <v>2.058928187</v>
      </c>
      <c r="Z7" s="3">
        <f t="shared" ref="Z7:AA7" si="10">_xlfn.NORM.S.DIST(X7)</f>
        <v>0.9898900055</v>
      </c>
      <c r="AA7" s="3">
        <f t="shared" si="10"/>
        <v>0.9802494408</v>
      </c>
    </row>
    <row r="8" ht="14.25" customHeight="1">
      <c r="A8" s="3" t="s">
        <v>140</v>
      </c>
      <c r="B8" s="3" t="s">
        <v>141</v>
      </c>
      <c r="C8" s="3" t="s">
        <v>128</v>
      </c>
      <c r="D8" s="3" t="s">
        <v>29</v>
      </c>
      <c r="E8" s="3">
        <v>15.0</v>
      </c>
      <c r="F8" s="3" t="s">
        <v>27</v>
      </c>
      <c r="G8" s="3">
        <v>9.95</v>
      </c>
      <c r="I8" s="3">
        <v>12.6</v>
      </c>
      <c r="K8" s="3">
        <v>0.0</v>
      </c>
      <c r="L8" s="3">
        <v>49.0</v>
      </c>
      <c r="M8" s="3" t="s">
        <v>36</v>
      </c>
      <c r="N8" s="3">
        <v>0.9894</v>
      </c>
      <c r="O8" s="3">
        <v>0.0019</v>
      </c>
      <c r="P8" s="3">
        <v>0.5023</v>
      </c>
      <c r="Q8" s="3">
        <v>0.153</v>
      </c>
      <c r="R8" s="3">
        <v>0.4196</v>
      </c>
      <c r="S8" s="3">
        <v>26.459999</v>
      </c>
      <c r="T8" s="3">
        <v>69.0</v>
      </c>
      <c r="U8" s="3">
        <f t="shared" si="2"/>
        <v>11.275</v>
      </c>
      <c r="V8" s="3"/>
      <c r="W8" s="3">
        <f t="shared" si="3"/>
        <v>11.46953547</v>
      </c>
      <c r="X8" s="3">
        <f t="shared" si="4"/>
        <v>2.695712815</v>
      </c>
      <c r="Y8" s="3">
        <f t="shared" si="5"/>
        <v>2.476149513</v>
      </c>
      <c r="Z8" s="3">
        <f t="shared" ref="Z8:AA8" si="11">_xlfn.NORM.S.DIST(X8)</f>
        <v>0.9964880903</v>
      </c>
      <c r="AA8" s="3">
        <f t="shared" si="11"/>
        <v>0.9933596025</v>
      </c>
    </row>
    <row r="9" ht="14.25" customHeight="1">
      <c r="A9" s="3" t="s">
        <v>140</v>
      </c>
      <c r="B9" s="3" t="s">
        <v>141</v>
      </c>
      <c r="C9" s="3" t="s">
        <v>128</v>
      </c>
      <c r="D9" s="3" t="s">
        <v>29</v>
      </c>
      <c r="E9" s="3">
        <v>15.0</v>
      </c>
      <c r="F9" s="3" t="s">
        <v>27</v>
      </c>
      <c r="G9" s="3">
        <v>10.25</v>
      </c>
      <c r="I9" s="3">
        <v>12.0</v>
      </c>
      <c r="K9" s="3">
        <v>0.0</v>
      </c>
      <c r="L9" s="3">
        <v>49.0</v>
      </c>
      <c r="M9" s="3" t="s">
        <v>37</v>
      </c>
      <c r="N9" s="3">
        <v>0.9911</v>
      </c>
      <c r="O9" s="3">
        <v>0.0011</v>
      </c>
      <c r="P9" s="3">
        <v>0.5618</v>
      </c>
      <c r="Q9" s="3">
        <v>0.0913</v>
      </c>
      <c r="R9" s="3">
        <v>0.4017</v>
      </c>
      <c r="S9" s="3">
        <v>26.83</v>
      </c>
      <c r="T9" s="3">
        <v>68.0</v>
      </c>
      <c r="U9" s="3">
        <f t="shared" si="2"/>
        <v>11.125</v>
      </c>
      <c r="V9" s="3"/>
      <c r="W9" s="3">
        <f t="shared" si="3"/>
        <v>11.83613985</v>
      </c>
      <c r="X9" s="3">
        <f t="shared" si="4"/>
        <v>2.891820057</v>
      </c>
      <c r="Y9" s="3">
        <f t="shared" si="5"/>
        <v>2.683151978</v>
      </c>
      <c r="Z9" s="3">
        <f t="shared" ref="Z9:AA9" si="12">_xlfn.NORM.S.DIST(X9)</f>
        <v>0.9980849138</v>
      </c>
      <c r="AA9" s="3">
        <f t="shared" si="12"/>
        <v>0.9963534081</v>
      </c>
    </row>
    <row r="10" ht="14.25" customHeight="1">
      <c r="A10" s="3" t="s">
        <v>140</v>
      </c>
      <c r="B10" s="3" t="s">
        <v>141</v>
      </c>
      <c r="C10" s="3" t="s">
        <v>128</v>
      </c>
      <c r="D10" s="3" t="s">
        <v>29</v>
      </c>
      <c r="E10" s="3">
        <v>15.0</v>
      </c>
      <c r="F10" s="3" t="s">
        <v>27</v>
      </c>
      <c r="G10" s="3">
        <v>11.85</v>
      </c>
      <c r="I10" s="3">
        <v>11.95</v>
      </c>
      <c r="K10" s="3">
        <v>50.0</v>
      </c>
      <c r="L10" s="3">
        <v>49.0</v>
      </c>
      <c r="M10" s="3" t="s">
        <v>38</v>
      </c>
      <c r="N10" s="3">
        <v>0.9874</v>
      </c>
      <c r="O10" s="3">
        <v>0.0026</v>
      </c>
      <c r="P10" s="3">
        <v>0.4235</v>
      </c>
      <c r="Q10" s="3">
        <v>0.2312</v>
      </c>
      <c r="R10" s="3">
        <v>0.4725</v>
      </c>
      <c r="S10" s="3">
        <v>26.889999</v>
      </c>
      <c r="T10" s="3">
        <v>67.0</v>
      </c>
      <c r="U10" s="3">
        <f t="shared" si="2"/>
        <v>11.9</v>
      </c>
      <c r="V10" s="3"/>
      <c r="W10" s="3">
        <f t="shared" si="3"/>
        <v>11.90615623</v>
      </c>
      <c r="X10" s="3">
        <f t="shared" si="4"/>
        <v>2.518399601</v>
      </c>
      <c r="Y10" s="3">
        <f t="shared" si="5"/>
        <v>2.274765013</v>
      </c>
      <c r="Z10" s="3">
        <f t="shared" ref="Z10:AA10" si="13">_xlfn.NORM.S.DIST(X10)</f>
        <v>0.9941055256</v>
      </c>
      <c r="AA10" s="3">
        <f t="shared" si="13"/>
        <v>0.9885399849</v>
      </c>
    </row>
    <row r="11" ht="14.25" customHeight="1">
      <c r="A11" s="3" t="s">
        <v>140</v>
      </c>
      <c r="B11" s="3" t="s">
        <v>141</v>
      </c>
      <c r="C11" s="3" t="s">
        <v>128</v>
      </c>
      <c r="D11" s="3" t="s">
        <v>29</v>
      </c>
      <c r="E11" s="3">
        <v>15.0</v>
      </c>
      <c r="F11" s="3" t="s">
        <v>27</v>
      </c>
      <c r="G11" s="3">
        <v>12.2</v>
      </c>
      <c r="I11" s="3">
        <v>12.3</v>
      </c>
      <c r="K11" s="3">
        <v>8.0</v>
      </c>
      <c r="L11" s="3">
        <v>74.0</v>
      </c>
      <c r="M11" s="3" t="s">
        <v>39</v>
      </c>
      <c r="N11" s="3">
        <v>0.9907</v>
      </c>
      <c r="O11" s="3">
        <v>0.0014</v>
      </c>
      <c r="P11" s="3">
        <v>0.5484</v>
      </c>
      <c r="Q11" s="3">
        <v>0.1148</v>
      </c>
      <c r="R11" s="3">
        <v>0.4344</v>
      </c>
      <c r="S11" s="3">
        <v>27.209999</v>
      </c>
      <c r="T11" s="3">
        <v>66.0</v>
      </c>
      <c r="U11" s="3">
        <f t="shared" si="2"/>
        <v>12.25</v>
      </c>
      <c r="V11" s="3"/>
      <c r="W11" s="3">
        <f t="shared" si="3"/>
        <v>12.21780969</v>
      </c>
      <c r="X11" s="3">
        <f t="shared" si="4"/>
        <v>2.790811071</v>
      </c>
      <c r="Y11" s="3">
        <f t="shared" si="5"/>
        <v>2.568499784</v>
      </c>
      <c r="Z11" s="3">
        <f t="shared" ref="Z11:AA11" si="14">_xlfn.NORM.S.DIST(X11)</f>
        <v>0.9973711924</v>
      </c>
      <c r="AA11" s="3">
        <f t="shared" si="14"/>
        <v>0.9948930112</v>
      </c>
    </row>
    <row r="12" ht="14.25" customHeight="1">
      <c r="A12" s="3" t="s">
        <v>140</v>
      </c>
      <c r="B12" s="3" t="s">
        <v>141</v>
      </c>
      <c r="C12" s="3" t="s">
        <v>128</v>
      </c>
      <c r="D12" s="3" t="s">
        <v>29</v>
      </c>
      <c r="E12" s="3">
        <v>15.0</v>
      </c>
      <c r="F12" s="3" t="s">
        <v>27</v>
      </c>
      <c r="G12" s="3">
        <v>11.9</v>
      </c>
      <c r="I12" s="3">
        <v>12.15</v>
      </c>
      <c r="K12" s="3">
        <v>0.0</v>
      </c>
      <c r="L12" s="3">
        <v>74.0</v>
      </c>
      <c r="M12" s="3" t="s">
        <v>40</v>
      </c>
      <c r="N12" s="3">
        <v>0.9915</v>
      </c>
      <c r="O12" s="3">
        <v>0.0011</v>
      </c>
      <c r="P12" s="3">
        <v>0.5891</v>
      </c>
      <c r="Q12" s="3">
        <v>0.082</v>
      </c>
      <c r="R12" s="3">
        <v>0.4134</v>
      </c>
      <c r="S12" s="3">
        <v>27.040001</v>
      </c>
      <c r="T12" s="3">
        <v>65.0</v>
      </c>
      <c r="U12" s="3">
        <f t="shared" si="2"/>
        <v>12.025</v>
      </c>
      <c r="V12" s="3"/>
      <c r="W12" s="3">
        <f t="shared" si="3"/>
        <v>12.04583225</v>
      </c>
      <c r="X12" s="3">
        <f t="shared" si="4"/>
        <v>2.912468544</v>
      </c>
      <c r="Y12" s="3">
        <f t="shared" si="5"/>
        <v>2.702513226</v>
      </c>
      <c r="Z12" s="3">
        <f t="shared" ref="Z12:AA12" si="15">_xlfn.NORM.S.DIST(X12)</f>
        <v>0.9982070784</v>
      </c>
      <c r="AA12" s="3">
        <f t="shared" si="15"/>
        <v>0.9965591277</v>
      </c>
    </row>
    <row r="13" ht="14.25" customHeight="1">
      <c r="A13" s="3" t="s">
        <v>140</v>
      </c>
      <c r="B13" s="3" t="s">
        <v>141</v>
      </c>
      <c r="C13" s="3" t="s">
        <v>128</v>
      </c>
      <c r="D13" s="3" t="s">
        <v>29</v>
      </c>
      <c r="E13" s="3">
        <v>15.0</v>
      </c>
      <c r="F13" s="3" t="s">
        <v>27</v>
      </c>
      <c r="G13" s="3">
        <v>12.05</v>
      </c>
      <c r="I13" s="3">
        <v>12.45</v>
      </c>
      <c r="K13" s="3">
        <v>10.0</v>
      </c>
      <c r="L13" s="3">
        <v>74.0</v>
      </c>
      <c r="M13" s="3" t="s">
        <v>41</v>
      </c>
      <c r="N13" s="3">
        <v>0.971</v>
      </c>
      <c r="O13" s="3">
        <v>0.0061</v>
      </c>
      <c r="P13" s="3">
        <v>-0.2494</v>
      </c>
      <c r="Q13" s="3">
        <v>0.7251</v>
      </c>
      <c r="R13" s="3">
        <v>0.6363</v>
      </c>
      <c r="S13" s="3">
        <v>27.25</v>
      </c>
      <c r="T13" s="3">
        <v>64.0</v>
      </c>
      <c r="U13" s="3">
        <f t="shared" si="2"/>
        <v>12.25</v>
      </c>
      <c r="V13" s="3"/>
      <c r="W13" s="3">
        <f t="shared" si="3"/>
        <v>12.33087106</v>
      </c>
      <c r="X13" s="3">
        <f t="shared" si="4"/>
        <v>2.022652983</v>
      </c>
      <c r="Y13" s="3">
        <f t="shared" si="5"/>
        <v>1.701987924</v>
      </c>
      <c r="Z13" s="3">
        <f t="shared" ref="Z13:AA13" si="16">_xlfn.NORM.S.DIST(X13)</f>
        <v>0.9784455312</v>
      </c>
      <c r="AA13" s="3">
        <f t="shared" si="16"/>
        <v>0.9556211839</v>
      </c>
    </row>
    <row r="14" ht="14.25" customHeight="1">
      <c r="A14" s="3" t="s">
        <v>140</v>
      </c>
      <c r="B14" s="3" t="s">
        <v>141</v>
      </c>
      <c r="C14" s="3" t="s">
        <v>128</v>
      </c>
      <c r="D14" s="3" t="s">
        <v>29</v>
      </c>
      <c r="E14" s="3">
        <v>15.0</v>
      </c>
      <c r="F14" s="3" t="s">
        <v>27</v>
      </c>
      <c r="G14" s="3">
        <v>12.1</v>
      </c>
      <c r="I14" s="3">
        <v>12.3</v>
      </c>
      <c r="K14" s="3">
        <v>10.0</v>
      </c>
      <c r="L14" s="3">
        <v>69.0</v>
      </c>
      <c r="M14" s="3" t="s">
        <v>42</v>
      </c>
      <c r="N14" s="3">
        <v>0.9964</v>
      </c>
      <c r="O14" s="3">
        <v>2.0E-4</v>
      </c>
      <c r="P14" s="3">
        <v>0.3081</v>
      </c>
      <c r="Q14" s="3">
        <v>0.0123</v>
      </c>
      <c r="R14" s="3">
        <v>0.3493</v>
      </c>
      <c r="S14" s="3">
        <v>27.25</v>
      </c>
      <c r="T14" s="3">
        <v>63.0</v>
      </c>
      <c r="U14" s="3">
        <f t="shared" si="2"/>
        <v>12.2</v>
      </c>
      <c r="V14" s="3"/>
      <c r="W14" s="3">
        <f t="shared" si="3"/>
        <v>12.25290763</v>
      </c>
      <c r="X14" s="3">
        <f t="shared" si="4"/>
        <v>3.506611115</v>
      </c>
      <c r="Y14" s="3">
        <f t="shared" si="5"/>
        <v>3.331961115</v>
      </c>
      <c r="Z14" s="3">
        <f t="shared" ref="Z14:AA14" si="17">_xlfn.NORM.S.DIST(X14)</f>
        <v>0.999773074</v>
      </c>
      <c r="AA14" s="3">
        <f t="shared" si="17"/>
        <v>0.9995688185</v>
      </c>
    </row>
    <row r="15" ht="14.25" customHeight="1">
      <c r="A15" s="3" t="s">
        <v>140</v>
      </c>
      <c r="B15" s="3" t="s">
        <v>141</v>
      </c>
      <c r="C15" s="3" t="s">
        <v>128</v>
      </c>
      <c r="D15" s="3" t="s">
        <v>29</v>
      </c>
      <c r="E15" s="3">
        <v>15.0</v>
      </c>
      <c r="F15" s="3" t="s">
        <v>27</v>
      </c>
      <c r="G15" s="3">
        <v>12.05</v>
      </c>
      <c r="I15" s="3">
        <v>12.2</v>
      </c>
      <c r="K15" s="3">
        <v>0.0</v>
      </c>
      <c r="L15" s="3">
        <v>69.0</v>
      </c>
      <c r="M15" s="3" t="s">
        <v>43</v>
      </c>
      <c r="N15" s="3">
        <v>1.0</v>
      </c>
      <c r="O15" s="3">
        <v>0.0</v>
      </c>
      <c r="P15" s="3">
        <v>-0.0455</v>
      </c>
      <c r="Q15" s="3">
        <v>0.0</v>
      </c>
      <c r="R15" s="3">
        <v>0.2093</v>
      </c>
      <c r="S15" s="3">
        <v>27.15</v>
      </c>
      <c r="T15" s="3">
        <v>62.0</v>
      </c>
      <c r="U15" s="3">
        <f t="shared" si="2"/>
        <v>12.125</v>
      </c>
      <c r="V15" s="3"/>
      <c r="W15" s="3">
        <f t="shared" si="3"/>
        <v>12.15258311</v>
      </c>
      <c r="X15" s="3">
        <f t="shared" si="4"/>
        <v>5.768737539</v>
      </c>
      <c r="Y15" s="3">
        <f t="shared" si="5"/>
        <v>5.664921417</v>
      </c>
      <c r="Z15" s="3">
        <f t="shared" ref="Z15:AA15" si="18">_xlfn.NORM.S.DIST(X15)</f>
        <v>0.999999996</v>
      </c>
      <c r="AA15" s="3">
        <f t="shared" si="18"/>
        <v>0.9999999926</v>
      </c>
    </row>
    <row r="16" ht="14.25" customHeight="1">
      <c r="A16" s="3" t="s">
        <v>140</v>
      </c>
      <c r="B16" s="3" t="s">
        <v>141</v>
      </c>
      <c r="C16" s="3" t="s">
        <v>128</v>
      </c>
      <c r="D16" s="3" t="s">
        <v>29</v>
      </c>
      <c r="E16" s="3">
        <v>15.0</v>
      </c>
      <c r="F16" s="3" t="s">
        <v>27</v>
      </c>
      <c r="G16" s="3">
        <v>12.15</v>
      </c>
      <c r="I16" s="3">
        <v>12.65</v>
      </c>
      <c r="K16" s="3">
        <v>0.0</v>
      </c>
      <c r="L16" s="3">
        <v>69.0</v>
      </c>
      <c r="M16" s="3" t="s">
        <v>44</v>
      </c>
      <c r="N16" s="3">
        <v>1.0</v>
      </c>
      <c r="O16" s="3">
        <v>0.0</v>
      </c>
      <c r="P16" s="3">
        <v>-0.0455</v>
      </c>
      <c r="Q16" s="3">
        <v>0.0</v>
      </c>
      <c r="R16" s="3">
        <v>0.1749</v>
      </c>
      <c r="S16" s="3">
        <v>27.610001</v>
      </c>
      <c r="T16" s="3">
        <v>61.0</v>
      </c>
      <c r="U16" s="3">
        <f t="shared" si="2"/>
        <v>12.4</v>
      </c>
      <c r="V16" s="3"/>
      <c r="W16" s="3">
        <f t="shared" si="3"/>
        <v>12.61254245</v>
      </c>
      <c r="X16" s="3">
        <f t="shared" si="4"/>
        <v>7.135323693</v>
      </c>
      <c r="Y16" s="3">
        <f t="shared" si="5"/>
        <v>7.049272983</v>
      </c>
      <c r="Z16" s="3">
        <f t="shared" ref="Z16:AA16" si="19">_xlfn.NORM.S.DIST(X16)</f>
        <v>1</v>
      </c>
      <c r="AA16" s="3">
        <f t="shared" si="19"/>
        <v>1</v>
      </c>
    </row>
    <row r="17" ht="14.25" customHeight="1">
      <c r="A17" s="3" t="s">
        <v>140</v>
      </c>
      <c r="B17" s="3" t="s">
        <v>141</v>
      </c>
      <c r="C17" s="3" t="s">
        <v>128</v>
      </c>
      <c r="D17" s="3" t="s">
        <v>29</v>
      </c>
      <c r="E17" s="3">
        <v>15.0</v>
      </c>
      <c r="F17" s="3" t="s">
        <v>27</v>
      </c>
      <c r="G17" s="3">
        <v>12.45</v>
      </c>
      <c r="I17" s="3">
        <v>12.85</v>
      </c>
      <c r="K17" s="3">
        <v>97.0</v>
      </c>
      <c r="L17" s="3">
        <v>69.0</v>
      </c>
      <c r="M17" s="3" t="s">
        <v>45</v>
      </c>
      <c r="N17" s="3">
        <v>1.0</v>
      </c>
      <c r="O17" s="3">
        <v>0.0</v>
      </c>
      <c r="P17" s="3">
        <v>-0.0455</v>
      </c>
      <c r="Q17" s="3">
        <v>0.0</v>
      </c>
      <c r="R17" s="3">
        <v>0.1774</v>
      </c>
      <c r="S17" s="3">
        <v>27.629999</v>
      </c>
      <c r="T17" s="3">
        <v>60.0</v>
      </c>
      <c r="U17" s="3">
        <f t="shared" si="2"/>
        <v>12.65</v>
      </c>
      <c r="V17" s="3"/>
      <c r="W17" s="3">
        <f t="shared" si="3"/>
        <v>12.63249879</v>
      </c>
      <c r="X17" s="3">
        <f t="shared" si="4"/>
        <v>7.101992765</v>
      </c>
      <c r="Y17" s="3">
        <f t="shared" si="5"/>
        <v>7.015430429</v>
      </c>
      <c r="Z17" s="3">
        <f t="shared" ref="Z17:AA17" si="20">_xlfn.NORM.S.DIST(X17)</f>
        <v>1</v>
      </c>
      <c r="AA17" s="3">
        <f t="shared" si="20"/>
        <v>1</v>
      </c>
    </row>
    <row r="18" ht="14.25" customHeight="1">
      <c r="A18" s="3" t="s">
        <v>140</v>
      </c>
      <c r="B18" s="3" t="s">
        <v>141</v>
      </c>
      <c r="C18" s="3" t="s">
        <v>128</v>
      </c>
      <c r="D18" s="3" t="s">
        <v>29</v>
      </c>
      <c r="E18" s="3">
        <v>15.0</v>
      </c>
      <c r="F18" s="3" t="s">
        <v>27</v>
      </c>
      <c r="G18" s="3">
        <v>12.85</v>
      </c>
      <c r="I18" s="3">
        <v>12.95</v>
      </c>
      <c r="K18" s="3">
        <v>0.0</v>
      </c>
      <c r="L18" s="3">
        <v>162.0</v>
      </c>
      <c r="M18" s="3" t="s">
        <v>46</v>
      </c>
      <c r="N18" s="3">
        <v>1.0</v>
      </c>
      <c r="O18" s="3">
        <v>0.0</v>
      </c>
      <c r="P18" s="3">
        <v>-0.0455</v>
      </c>
      <c r="Q18" s="3">
        <v>0.0</v>
      </c>
      <c r="R18" s="3">
        <v>0.1597</v>
      </c>
      <c r="S18" s="3">
        <v>27.879999</v>
      </c>
      <c r="T18" s="3">
        <v>59.0</v>
      </c>
      <c r="U18" s="3">
        <f t="shared" si="2"/>
        <v>12.9</v>
      </c>
      <c r="V18" s="3"/>
      <c r="W18" s="3">
        <f t="shared" si="3"/>
        <v>12.88245713</v>
      </c>
      <c r="X18" s="3">
        <f t="shared" si="4"/>
        <v>8.062385397</v>
      </c>
      <c r="Y18" s="3">
        <f t="shared" si="5"/>
        <v>7.985111885</v>
      </c>
      <c r="Z18" s="3">
        <f t="shared" ref="Z18:AA18" si="21">_xlfn.NORM.S.DIST(X18)</f>
        <v>1</v>
      </c>
      <c r="AA18" s="3">
        <f t="shared" si="21"/>
        <v>1</v>
      </c>
    </row>
    <row r="19" ht="14.25" customHeight="1">
      <c r="A19" s="3" t="s">
        <v>140</v>
      </c>
      <c r="B19" s="3" t="s">
        <v>141</v>
      </c>
      <c r="C19" s="3" t="s">
        <v>128</v>
      </c>
      <c r="D19" s="3" t="s">
        <v>29</v>
      </c>
      <c r="E19" s="3">
        <v>15.0</v>
      </c>
      <c r="F19" s="3" t="s">
        <v>27</v>
      </c>
      <c r="G19" s="3">
        <v>12.9</v>
      </c>
      <c r="I19" s="3">
        <v>12.95</v>
      </c>
      <c r="K19" s="3">
        <v>44.0</v>
      </c>
      <c r="L19" s="3">
        <v>162.0</v>
      </c>
      <c r="M19" s="3" t="s">
        <v>47</v>
      </c>
      <c r="N19" s="3">
        <v>0.986</v>
      </c>
      <c r="O19" s="3">
        <v>0.0026</v>
      </c>
      <c r="P19" s="3">
        <v>0.5377</v>
      </c>
      <c r="Q19" s="3">
        <v>0.2486</v>
      </c>
      <c r="R19" s="3">
        <v>0.5572</v>
      </c>
      <c r="S19" s="3">
        <v>27.91</v>
      </c>
      <c r="T19" s="3">
        <v>58.0</v>
      </c>
      <c r="U19" s="3">
        <f t="shared" si="2"/>
        <v>12.925</v>
      </c>
      <c r="V19" s="3"/>
      <c r="W19" s="3">
        <f t="shared" si="3"/>
        <v>12.93097236</v>
      </c>
      <c r="X19" s="3">
        <f t="shared" si="4"/>
        <v>2.457110839</v>
      </c>
      <c r="Y19" s="3">
        <f t="shared" si="5"/>
        <v>2.189794912</v>
      </c>
      <c r="Z19" s="3">
        <f t="shared" ref="Z19:AA19" si="22">_xlfn.NORM.S.DIST(X19)</f>
        <v>0.9929970267</v>
      </c>
      <c r="AA19" s="3">
        <f t="shared" si="22"/>
        <v>0.9857304431</v>
      </c>
    </row>
    <row r="20" ht="14.25" customHeight="1">
      <c r="A20" s="3" t="s">
        <v>140</v>
      </c>
      <c r="B20" s="3" t="s">
        <v>141</v>
      </c>
      <c r="C20" s="3" t="s">
        <v>128</v>
      </c>
      <c r="D20" s="3" t="s">
        <v>29</v>
      </c>
      <c r="E20" s="3">
        <v>15.0</v>
      </c>
      <c r="F20" s="3" t="s">
        <v>27</v>
      </c>
      <c r="G20" s="3">
        <v>13.0</v>
      </c>
      <c r="I20" s="3">
        <v>13.05</v>
      </c>
      <c r="K20" s="3">
        <v>0.0</v>
      </c>
      <c r="L20" s="3">
        <v>162.0</v>
      </c>
      <c r="M20" s="3" t="s">
        <v>48</v>
      </c>
      <c r="N20" s="3">
        <v>0.9857</v>
      </c>
      <c r="O20" s="3">
        <v>0.0026</v>
      </c>
      <c r="P20" s="3">
        <v>0.5461</v>
      </c>
      <c r="Q20" s="3">
        <v>0.2564</v>
      </c>
      <c r="R20" s="3">
        <v>0.5675</v>
      </c>
      <c r="S20" s="3">
        <v>28.01</v>
      </c>
      <c r="T20" s="3">
        <v>57.0</v>
      </c>
      <c r="U20" s="3">
        <f t="shared" si="2"/>
        <v>13.025</v>
      </c>
      <c r="V20" s="3"/>
      <c r="W20" s="3">
        <f t="shared" si="3"/>
        <v>13.0316454</v>
      </c>
      <c r="X20" s="3">
        <f t="shared" si="4"/>
        <v>2.449398068</v>
      </c>
      <c r="Y20" s="3">
        <f t="shared" si="5"/>
        <v>2.179497982</v>
      </c>
      <c r="Z20" s="3">
        <f t="shared" ref="Z20:AA20" si="23">_xlfn.NORM.S.DIST(X20)</f>
        <v>0.9928452397</v>
      </c>
      <c r="AA20" s="3">
        <f t="shared" si="23"/>
        <v>0.9853526528</v>
      </c>
    </row>
    <row r="21" ht="14.25" customHeight="1">
      <c r="A21" s="3" t="s">
        <v>140</v>
      </c>
      <c r="B21" s="3" t="s">
        <v>141</v>
      </c>
      <c r="C21" s="3" t="s">
        <v>128</v>
      </c>
      <c r="D21" s="3" t="s">
        <v>29</v>
      </c>
      <c r="E21" s="3">
        <v>15.0</v>
      </c>
      <c r="F21" s="3" t="s">
        <v>27</v>
      </c>
      <c r="G21" s="3">
        <v>12.8</v>
      </c>
      <c r="I21" s="3">
        <v>12.9</v>
      </c>
      <c r="K21" s="3">
        <v>0.0</v>
      </c>
      <c r="L21" s="3">
        <v>162.0</v>
      </c>
      <c r="M21" s="3" t="s">
        <v>49</v>
      </c>
      <c r="N21" s="3">
        <v>0.9865</v>
      </c>
      <c r="O21" s="3">
        <v>0.0023</v>
      </c>
      <c r="P21" s="3">
        <v>0.6059</v>
      </c>
      <c r="Q21" s="3">
        <v>0.225</v>
      </c>
      <c r="R21" s="3">
        <v>0.5533</v>
      </c>
      <c r="S21" s="3">
        <v>27.85</v>
      </c>
      <c r="T21" s="3">
        <v>56.0</v>
      </c>
      <c r="U21" s="3">
        <f t="shared" si="2"/>
        <v>12.85</v>
      </c>
      <c r="V21" s="3"/>
      <c r="W21" s="3">
        <f t="shared" si="3"/>
        <v>12.86795088</v>
      </c>
      <c r="X21" s="3">
        <f t="shared" si="4"/>
        <v>2.503387947</v>
      </c>
      <c r="Y21" s="3">
        <f t="shared" si="5"/>
        <v>2.242559826</v>
      </c>
      <c r="Z21" s="3">
        <f t="shared" ref="Z21:AA21" si="24">_xlfn.NORM.S.DIST(X21)</f>
        <v>0.9938494687</v>
      </c>
      <c r="AA21" s="3">
        <f t="shared" si="24"/>
        <v>0.9875373933</v>
      </c>
    </row>
    <row r="22" ht="14.25" customHeight="1">
      <c r="A22" s="3" t="s">
        <v>140</v>
      </c>
      <c r="B22" s="3" t="s">
        <v>141</v>
      </c>
      <c r="C22" s="3" t="s">
        <v>128</v>
      </c>
      <c r="D22" s="3" t="s">
        <v>29</v>
      </c>
      <c r="E22" s="3">
        <v>15.0</v>
      </c>
      <c r="F22" s="3" t="s">
        <v>27</v>
      </c>
      <c r="G22" s="3">
        <v>12.4</v>
      </c>
      <c r="I22" s="3">
        <v>12.5</v>
      </c>
      <c r="K22" s="3">
        <v>0.0</v>
      </c>
      <c r="L22" s="3">
        <v>162.0</v>
      </c>
      <c r="M22" s="3" t="s">
        <v>50</v>
      </c>
      <c r="N22" s="3">
        <v>0.9864</v>
      </c>
      <c r="O22" s="3">
        <v>0.0025</v>
      </c>
      <c r="P22" s="3">
        <v>0.6328</v>
      </c>
      <c r="Q22" s="3">
        <v>0.2181</v>
      </c>
      <c r="R22" s="3">
        <v>0.5417</v>
      </c>
      <c r="S22" s="3">
        <v>27.450001</v>
      </c>
      <c r="T22" s="3">
        <v>55.0</v>
      </c>
      <c r="U22" s="3">
        <f t="shared" si="2"/>
        <v>12.45</v>
      </c>
      <c r="V22" s="3"/>
      <c r="W22" s="3">
        <f t="shared" si="3"/>
        <v>12.46665614</v>
      </c>
      <c r="X22" s="3">
        <f t="shared" si="4"/>
        <v>2.515082739</v>
      </c>
      <c r="Y22" s="3">
        <f t="shared" si="5"/>
        <v>2.262013179</v>
      </c>
      <c r="Z22" s="3">
        <f t="shared" ref="Z22:AA22" si="25">_xlfn.NORM.S.DIST(X22)</f>
        <v>0.9940497774</v>
      </c>
      <c r="AA22" s="3">
        <f t="shared" si="25"/>
        <v>0.9881517055</v>
      </c>
    </row>
    <row r="23" ht="14.25" customHeight="1">
      <c r="A23" s="3" t="s">
        <v>140</v>
      </c>
      <c r="B23" s="3" t="s">
        <v>141</v>
      </c>
      <c r="C23" s="3" t="s">
        <v>129</v>
      </c>
      <c r="D23" s="3" t="s">
        <v>29</v>
      </c>
      <c r="E23" s="3">
        <v>15.0</v>
      </c>
      <c r="F23" s="3" t="s">
        <v>27</v>
      </c>
      <c r="G23" s="3">
        <v>12.85</v>
      </c>
      <c r="I23" s="3">
        <v>13.0</v>
      </c>
      <c r="K23" s="3">
        <v>0.0</v>
      </c>
      <c r="L23" s="3">
        <v>162.0</v>
      </c>
      <c r="M23" s="3" t="s">
        <v>52</v>
      </c>
      <c r="N23" s="3">
        <v>0.9905</v>
      </c>
      <c r="O23" s="3">
        <v>0.001</v>
      </c>
      <c r="P23" s="3">
        <v>0.8465</v>
      </c>
      <c r="Q23" s="3">
        <v>0.082</v>
      </c>
      <c r="R23" s="3">
        <v>0.4835</v>
      </c>
      <c r="S23" s="3">
        <v>27.93</v>
      </c>
      <c r="T23" s="3">
        <v>54.0</v>
      </c>
      <c r="U23" s="3">
        <f t="shared" si="2"/>
        <v>12.925</v>
      </c>
      <c r="V23" s="3"/>
      <c r="W23" s="3">
        <f t="shared" si="3"/>
        <v>12.93598062</v>
      </c>
      <c r="X23" s="3">
        <f t="shared" si="4"/>
        <v>2.890076175</v>
      </c>
      <c r="Y23" s="3">
        <f t="shared" si="5"/>
        <v>2.666259166</v>
      </c>
      <c r="Z23" s="3">
        <f t="shared" ref="Z23:AA23" si="26">_xlfn.NORM.S.DIST(X23)</f>
        <v>0.9980742576</v>
      </c>
      <c r="AA23" s="3">
        <f t="shared" si="26"/>
        <v>0.996164973</v>
      </c>
    </row>
    <row r="24" ht="14.25" customHeight="1">
      <c r="A24" s="3" t="s">
        <v>140</v>
      </c>
      <c r="B24" s="3" t="s">
        <v>141</v>
      </c>
      <c r="C24" s="3" t="s">
        <v>129</v>
      </c>
      <c r="D24" s="3" t="s">
        <v>29</v>
      </c>
      <c r="E24" s="3">
        <v>15.0</v>
      </c>
      <c r="F24" s="3" t="s">
        <v>27</v>
      </c>
      <c r="G24" s="3">
        <v>12.4</v>
      </c>
      <c r="I24" s="3">
        <v>12.5</v>
      </c>
      <c r="K24" s="3">
        <v>0.0</v>
      </c>
      <c r="L24" s="3">
        <v>162.0</v>
      </c>
      <c r="M24" s="3" t="s">
        <v>53</v>
      </c>
      <c r="N24" s="3">
        <v>0.9867</v>
      </c>
      <c r="O24" s="3">
        <v>0.0025</v>
      </c>
      <c r="P24" s="3">
        <v>0.6205</v>
      </c>
      <c r="Q24" s="3">
        <v>0.2144</v>
      </c>
      <c r="R24" s="3">
        <v>0.557</v>
      </c>
      <c r="S24" s="3">
        <v>27.440001</v>
      </c>
      <c r="T24" s="3">
        <v>53.0</v>
      </c>
      <c r="U24" s="3">
        <f t="shared" si="2"/>
        <v>12.45</v>
      </c>
      <c r="V24" s="3"/>
      <c r="W24" s="3">
        <f t="shared" si="3"/>
        <v>12.45776599</v>
      </c>
      <c r="X24" s="3">
        <f t="shared" si="4"/>
        <v>2.492634099</v>
      </c>
      <c r="Y24" s="3">
        <f t="shared" si="5"/>
        <v>2.237191773</v>
      </c>
      <c r="Z24" s="3">
        <f t="shared" ref="Z24:AA24" si="27">_xlfn.NORM.S.DIST(X24)</f>
        <v>0.993660028</v>
      </c>
      <c r="AA24" s="3">
        <f t="shared" si="27"/>
        <v>0.9873630956</v>
      </c>
    </row>
    <row r="25" ht="14.25" customHeight="1">
      <c r="A25" s="3" t="s">
        <v>140</v>
      </c>
      <c r="B25" s="3" t="s">
        <v>141</v>
      </c>
      <c r="C25" s="3" t="s">
        <v>129</v>
      </c>
      <c r="D25" s="3" t="s">
        <v>29</v>
      </c>
      <c r="E25" s="3">
        <v>15.0</v>
      </c>
      <c r="F25" s="3" t="s">
        <v>27</v>
      </c>
      <c r="G25" s="3">
        <v>12.05</v>
      </c>
      <c r="I25" s="3">
        <v>12.95</v>
      </c>
      <c r="K25" s="3">
        <v>0.0</v>
      </c>
      <c r="L25" s="3">
        <v>162.0</v>
      </c>
      <c r="M25" s="3" t="s">
        <v>54</v>
      </c>
      <c r="N25" s="3">
        <v>0.987</v>
      </c>
      <c r="O25" s="3">
        <v>0.0023</v>
      </c>
      <c r="P25" s="3">
        <v>0.6368</v>
      </c>
      <c r="Q25" s="3">
        <v>0.2049</v>
      </c>
      <c r="R25" s="3">
        <v>0.5588</v>
      </c>
      <c r="S25" s="3">
        <v>27.5</v>
      </c>
      <c r="T25" s="3">
        <v>52.0</v>
      </c>
      <c r="U25" s="3">
        <f t="shared" si="2"/>
        <v>12.5</v>
      </c>
      <c r="V25" s="3"/>
      <c r="W25" s="3">
        <f t="shared" si="3"/>
        <v>12.51659078</v>
      </c>
      <c r="X25" s="3">
        <f t="shared" si="4"/>
        <v>2.515366406</v>
      </c>
      <c r="Y25" s="3">
        <f t="shared" si="5"/>
        <v>2.261527727</v>
      </c>
      <c r="Z25" s="3">
        <f t="shared" ref="Z25:AA25" si="28">_xlfn.NORM.S.DIST(X25)</f>
        <v>0.9940545634</v>
      </c>
      <c r="AA25" s="3">
        <f t="shared" si="28"/>
        <v>0.9881367011</v>
      </c>
    </row>
    <row r="26" ht="14.25" customHeight="1">
      <c r="A26" s="3" t="s">
        <v>140</v>
      </c>
      <c r="B26" s="3" t="s">
        <v>141</v>
      </c>
      <c r="C26" s="3" t="s">
        <v>129</v>
      </c>
      <c r="D26" s="3" t="s">
        <v>29</v>
      </c>
      <c r="E26" s="3">
        <v>15.0</v>
      </c>
      <c r="F26" s="3" t="s">
        <v>27</v>
      </c>
      <c r="G26" s="3">
        <v>12.05</v>
      </c>
      <c r="I26" s="3">
        <v>12.65</v>
      </c>
      <c r="K26" s="3">
        <v>0.0</v>
      </c>
      <c r="L26" s="3">
        <v>162.0</v>
      </c>
      <c r="M26" s="3" t="s">
        <v>55</v>
      </c>
      <c r="N26" s="3">
        <v>0.993</v>
      </c>
      <c r="O26" s="3">
        <v>0.0</v>
      </c>
      <c r="P26" s="3">
        <v>0.9193</v>
      </c>
      <c r="Q26" s="3">
        <v>0.0</v>
      </c>
      <c r="R26" s="3">
        <v>0.2186</v>
      </c>
      <c r="S26" s="3">
        <v>27.34</v>
      </c>
      <c r="T26" s="3">
        <v>51.0</v>
      </c>
      <c r="U26" s="3">
        <f t="shared" si="2"/>
        <v>12.35</v>
      </c>
      <c r="V26" s="3"/>
      <c r="W26" s="3">
        <f t="shared" si="3"/>
        <v>12.34212485</v>
      </c>
      <c r="X26" s="3">
        <f t="shared" si="4"/>
        <v>6.154882359</v>
      </c>
      <c r="Y26" s="3">
        <f t="shared" si="5"/>
        <v>6.056541278</v>
      </c>
      <c r="Z26" s="3">
        <f t="shared" ref="Z26:AA26" si="29">_xlfn.NORM.S.DIST(X26)</f>
        <v>0.9999999996</v>
      </c>
      <c r="AA26" s="3">
        <f t="shared" si="29"/>
        <v>0.9999999993</v>
      </c>
    </row>
    <row r="27" ht="14.25" customHeight="1">
      <c r="A27" s="3" t="s">
        <v>140</v>
      </c>
      <c r="B27" s="3" t="s">
        <v>141</v>
      </c>
      <c r="C27" s="3" t="s">
        <v>129</v>
      </c>
      <c r="D27" s="3" t="s">
        <v>29</v>
      </c>
      <c r="E27" s="3">
        <v>15.0</v>
      </c>
      <c r="F27" s="3" t="s">
        <v>27</v>
      </c>
      <c r="G27" s="3">
        <v>10.8</v>
      </c>
      <c r="I27" s="3">
        <v>12.5</v>
      </c>
      <c r="K27" s="3">
        <v>0.0</v>
      </c>
      <c r="L27" s="3">
        <v>162.0</v>
      </c>
      <c r="M27" s="3" t="s">
        <v>56</v>
      </c>
      <c r="N27" s="3">
        <v>0.9872</v>
      </c>
      <c r="O27" s="3">
        <v>0.0025</v>
      </c>
      <c r="P27" s="3">
        <v>0.6108</v>
      </c>
      <c r="Q27" s="3">
        <v>0.2032</v>
      </c>
      <c r="R27" s="3">
        <v>0.5604</v>
      </c>
      <c r="S27" s="3">
        <v>27.280001</v>
      </c>
      <c r="T27" s="3">
        <v>50.0</v>
      </c>
      <c r="U27" s="3">
        <f t="shared" si="2"/>
        <v>11.65</v>
      </c>
      <c r="V27" s="3"/>
      <c r="W27" s="3">
        <f t="shared" si="3"/>
        <v>12.29587309</v>
      </c>
      <c r="X27" s="3">
        <f t="shared" si="4"/>
        <v>2.52140488</v>
      </c>
      <c r="Y27" s="3">
        <f t="shared" si="5"/>
        <v>2.27178288</v>
      </c>
      <c r="Z27" s="3">
        <f t="shared" ref="Z27:AA27" si="30">_xlfn.NORM.S.DIST(X27)</f>
        <v>0.9941556364</v>
      </c>
      <c r="AA27" s="3">
        <f t="shared" si="30"/>
        <v>0.9884501863</v>
      </c>
    </row>
    <row r="28" ht="14.25" customHeight="1">
      <c r="A28" s="3" t="s">
        <v>140</v>
      </c>
      <c r="B28" s="3" t="s">
        <v>141</v>
      </c>
      <c r="C28" s="3" t="s">
        <v>129</v>
      </c>
      <c r="D28" s="3" t="s">
        <v>29</v>
      </c>
      <c r="E28" s="3">
        <v>15.0</v>
      </c>
      <c r="F28" s="3" t="s">
        <v>27</v>
      </c>
      <c r="G28" s="3">
        <v>12.25</v>
      </c>
      <c r="I28" s="3">
        <v>12.85</v>
      </c>
      <c r="K28" s="3">
        <v>0.0</v>
      </c>
      <c r="L28" s="3">
        <v>162.0</v>
      </c>
      <c r="M28" s="3" t="s">
        <v>57</v>
      </c>
      <c r="N28" s="3">
        <v>0.9797</v>
      </c>
      <c r="O28" s="3">
        <v>0.0043</v>
      </c>
      <c r="P28" s="3">
        <v>0.1777</v>
      </c>
      <c r="Q28" s="3">
        <v>0.4206</v>
      </c>
      <c r="R28" s="3">
        <v>0.6655</v>
      </c>
      <c r="S28" s="3">
        <v>27.549999</v>
      </c>
      <c r="T28" s="3">
        <v>49.0</v>
      </c>
      <c r="U28" s="3">
        <f t="shared" si="2"/>
        <v>12.55</v>
      </c>
      <c r="V28" s="3"/>
      <c r="W28" s="3">
        <f t="shared" si="3"/>
        <v>12.59334245</v>
      </c>
      <c r="X28" s="3">
        <f t="shared" si="4"/>
        <v>2.218877555</v>
      </c>
      <c r="Y28" s="3">
        <f t="shared" si="5"/>
        <v>1.925419638</v>
      </c>
      <c r="Z28" s="3">
        <f t="shared" ref="Z28:AA28" si="31">_xlfn.NORM.S.DIST(X28)</f>
        <v>0.986752472</v>
      </c>
      <c r="AA28" s="3">
        <f t="shared" si="31"/>
        <v>0.9729115597</v>
      </c>
    </row>
    <row r="29" ht="14.25" customHeight="1">
      <c r="A29" s="3" t="s">
        <v>140</v>
      </c>
      <c r="B29" s="3" t="s">
        <v>141</v>
      </c>
      <c r="C29" s="3" t="s">
        <v>129</v>
      </c>
      <c r="D29" s="3" t="s">
        <v>29</v>
      </c>
      <c r="E29" s="3">
        <v>15.0</v>
      </c>
      <c r="F29" s="3" t="s">
        <v>27</v>
      </c>
      <c r="G29" s="3">
        <v>12.4</v>
      </c>
      <c r="I29" s="3">
        <v>13.0</v>
      </c>
      <c r="K29" s="3">
        <v>0.0</v>
      </c>
      <c r="L29" s="3">
        <v>162.0</v>
      </c>
      <c r="M29" s="3" t="s">
        <v>58</v>
      </c>
      <c r="N29" s="3">
        <v>0.997</v>
      </c>
      <c r="O29" s="3">
        <v>0.0</v>
      </c>
      <c r="P29" s="3">
        <v>0.4048</v>
      </c>
      <c r="Q29" s="3">
        <v>0.0</v>
      </c>
      <c r="R29" s="3">
        <v>0.253</v>
      </c>
      <c r="S29" s="3">
        <v>27.860001</v>
      </c>
      <c r="T29" s="3">
        <v>48.0</v>
      </c>
      <c r="U29" s="3">
        <f t="shared" si="2"/>
        <v>12.7</v>
      </c>
      <c r="V29" s="3"/>
      <c r="W29" s="3">
        <f t="shared" si="3"/>
        <v>12.86200087</v>
      </c>
      <c r="X29" s="3">
        <f t="shared" si="4"/>
        <v>5.663658116</v>
      </c>
      <c r="Y29" s="3">
        <f t="shared" si="5"/>
        <v>5.553239864</v>
      </c>
      <c r="Z29" s="3">
        <f t="shared" ref="Z29:AA29" si="32">_xlfn.NORM.S.DIST(X29)</f>
        <v>0.9999999926</v>
      </c>
      <c r="AA29" s="3">
        <f t="shared" si="32"/>
        <v>0.999999986</v>
      </c>
    </row>
    <row r="30" ht="14.25" customHeight="1">
      <c r="A30" s="3" t="s">
        <v>140</v>
      </c>
      <c r="B30" s="3" t="s">
        <v>141</v>
      </c>
      <c r="C30" s="3" t="s">
        <v>129</v>
      </c>
      <c r="D30" s="3" t="s">
        <v>29</v>
      </c>
      <c r="E30" s="3">
        <v>15.0</v>
      </c>
      <c r="F30" s="3" t="s">
        <v>27</v>
      </c>
      <c r="G30" s="3">
        <v>11.5</v>
      </c>
      <c r="I30" s="3">
        <v>13.25</v>
      </c>
      <c r="K30" s="3">
        <v>0.0</v>
      </c>
      <c r="L30" s="3">
        <v>162.0</v>
      </c>
      <c r="M30" s="3" t="s">
        <v>59</v>
      </c>
      <c r="N30" s="3">
        <v>0.9925</v>
      </c>
      <c r="O30" s="3">
        <v>9.0E-4</v>
      </c>
      <c r="P30" s="3">
        <v>0.7623</v>
      </c>
      <c r="Q30" s="3">
        <v>0.0625</v>
      </c>
      <c r="R30" s="3">
        <v>0.509</v>
      </c>
      <c r="S30" s="3">
        <v>27.879999</v>
      </c>
      <c r="T30" s="3">
        <v>47.0</v>
      </c>
      <c r="U30" s="3">
        <f t="shared" si="2"/>
        <v>12.375</v>
      </c>
      <c r="V30" s="3"/>
      <c r="W30" s="3">
        <f t="shared" si="3"/>
        <v>12.88513429</v>
      </c>
      <c r="X30" s="3">
        <f t="shared" si="4"/>
        <v>2.930358325</v>
      </c>
      <c r="Y30" s="3">
        <f t="shared" si="5"/>
        <v>2.710538711</v>
      </c>
      <c r="Z30" s="3">
        <f t="shared" ref="Z30:AA30" si="33">_xlfn.NORM.S.DIST(X30)</f>
        <v>0.9983071433</v>
      </c>
      <c r="AA30" s="3">
        <f t="shared" si="33"/>
        <v>0.9966412997</v>
      </c>
    </row>
    <row r="31" ht="14.25" customHeight="1">
      <c r="A31" s="3" t="s">
        <v>140</v>
      </c>
      <c r="B31" s="3" t="s">
        <v>141</v>
      </c>
      <c r="C31" s="3" t="s">
        <v>129</v>
      </c>
      <c r="D31" s="3" t="s">
        <v>29</v>
      </c>
      <c r="E31" s="3">
        <v>15.0</v>
      </c>
      <c r="F31" s="3" t="s">
        <v>27</v>
      </c>
      <c r="G31" s="3">
        <v>11.6</v>
      </c>
      <c r="I31" s="3">
        <v>13.15</v>
      </c>
      <c r="K31" s="3">
        <v>0.0</v>
      </c>
      <c r="L31" s="3">
        <v>162.0</v>
      </c>
      <c r="M31" s="3" t="s">
        <v>60</v>
      </c>
      <c r="N31" s="3">
        <v>0.9971</v>
      </c>
      <c r="O31" s="3">
        <v>0.0</v>
      </c>
      <c r="P31" s="3">
        <v>0.4074</v>
      </c>
      <c r="Q31" s="3">
        <v>0.0</v>
      </c>
      <c r="R31" s="3">
        <v>0.2795</v>
      </c>
      <c r="S31" s="3">
        <v>28.030001</v>
      </c>
      <c r="T31" s="3">
        <v>46.0</v>
      </c>
      <c r="U31" s="3">
        <f t="shared" si="2"/>
        <v>12.375</v>
      </c>
      <c r="V31" s="3"/>
      <c r="W31" s="3">
        <f t="shared" si="3"/>
        <v>13.03191758</v>
      </c>
      <c r="X31" s="3">
        <f t="shared" si="4"/>
        <v>5.296492962</v>
      </c>
      <c r="Y31" s="3">
        <f t="shared" si="5"/>
        <v>5.177077529</v>
      </c>
      <c r="Z31" s="3">
        <f t="shared" ref="Z31:AA31" si="34">_xlfn.NORM.S.DIST(X31)</f>
        <v>0.999999941</v>
      </c>
      <c r="AA31" s="3">
        <f t="shared" si="34"/>
        <v>0.9999998873</v>
      </c>
    </row>
    <row r="32" ht="14.25" customHeight="1">
      <c r="A32" s="3" t="s">
        <v>140</v>
      </c>
      <c r="B32" s="3" t="s">
        <v>141</v>
      </c>
      <c r="C32" s="3" t="s">
        <v>129</v>
      </c>
      <c r="D32" s="3" t="s">
        <v>29</v>
      </c>
      <c r="E32" s="3">
        <v>15.0</v>
      </c>
      <c r="F32" s="3" t="s">
        <v>27</v>
      </c>
      <c r="G32" s="3">
        <v>12.75</v>
      </c>
      <c r="I32" s="3">
        <v>13.3</v>
      </c>
      <c r="K32" s="3">
        <v>0.0</v>
      </c>
      <c r="L32" s="3">
        <v>162.0</v>
      </c>
      <c r="M32" s="3" t="s">
        <v>61</v>
      </c>
      <c r="N32" s="3">
        <v>1.0</v>
      </c>
      <c r="O32" s="3">
        <v>0.0</v>
      </c>
      <c r="P32" s="3">
        <v>-0.0436</v>
      </c>
      <c r="Q32" s="3">
        <v>0.0</v>
      </c>
      <c r="R32" s="3">
        <v>0.1395</v>
      </c>
      <c r="S32" s="3">
        <v>28.040001</v>
      </c>
      <c r="T32" s="3">
        <v>45.0</v>
      </c>
      <c r="U32" s="3">
        <f t="shared" si="2"/>
        <v>13.025</v>
      </c>
      <c r="V32" s="3"/>
      <c r="W32" s="3">
        <f t="shared" si="3"/>
        <v>13.04187588</v>
      </c>
      <c r="X32" s="3">
        <f t="shared" si="4"/>
        <v>10.64375984</v>
      </c>
      <c r="Y32" s="3">
        <f t="shared" si="5"/>
        <v>10.58481033</v>
      </c>
      <c r="Z32" s="3">
        <f t="shared" ref="Z32:AA32" si="35">_xlfn.NORM.S.DIST(X32)</f>
        <v>1</v>
      </c>
      <c r="AA32" s="3">
        <f t="shared" si="35"/>
        <v>1</v>
      </c>
    </row>
    <row r="33" ht="14.25" customHeight="1">
      <c r="A33" s="3" t="s">
        <v>140</v>
      </c>
      <c r="B33" s="3" t="s">
        <v>141</v>
      </c>
      <c r="C33" s="3" t="s">
        <v>129</v>
      </c>
      <c r="D33" s="3" t="s">
        <v>29</v>
      </c>
      <c r="E33" s="3">
        <v>15.0</v>
      </c>
      <c r="F33" s="3" t="s">
        <v>27</v>
      </c>
      <c r="G33" s="3">
        <v>12.9</v>
      </c>
      <c r="I33" s="3">
        <v>13.05</v>
      </c>
      <c r="K33" s="3">
        <v>400.0</v>
      </c>
      <c r="L33" s="3">
        <v>162.0</v>
      </c>
      <c r="M33" s="3" t="s">
        <v>62</v>
      </c>
      <c r="N33" s="3">
        <v>1.0</v>
      </c>
      <c r="O33" s="3">
        <v>0.0</v>
      </c>
      <c r="P33" s="3">
        <v>-0.0436</v>
      </c>
      <c r="Q33" s="3">
        <v>0.0</v>
      </c>
      <c r="R33" s="3">
        <v>0.1722</v>
      </c>
      <c r="S33" s="3">
        <v>28.01</v>
      </c>
      <c r="T33" s="3">
        <v>44.0</v>
      </c>
      <c r="U33" s="3">
        <f t="shared" si="2"/>
        <v>12.975</v>
      </c>
      <c r="V33" s="3"/>
      <c r="W33" s="3">
        <f t="shared" si="3"/>
        <v>13.01183322</v>
      </c>
      <c r="X33" s="3">
        <f t="shared" si="4"/>
        <v>8.716904954</v>
      </c>
      <c r="Y33" s="3">
        <f t="shared" si="5"/>
        <v>8.644950246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140</v>
      </c>
      <c r="B34" s="3" t="s">
        <v>141</v>
      </c>
      <c r="C34" s="3" t="s">
        <v>129</v>
      </c>
      <c r="D34" s="3" t="s">
        <v>29</v>
      </c>
      <c r="E34" s="3">
        <v>15.0</v>
      </c>
      <c r="F34" s="3" t="s">
        <v>27</v>
      </c>
      <c r="G34" s="3">
        <v>13.0</v>
      </c>
      <c r="I34" s="3">
        <v>13.1</v>
      </c>
      <c r="K34" s="3">
        <v>25.0</v>
      </c>
      <c r="L34" s="3">
        <v>2.0</v>
      </c>
      <c r="M34" s="3" t="s">
        <v>63</v>
      </c>
      <c r="N34" s="3">
        <v>1.0</v>
      </c>
      <c r="O34" s="3">
        <v>0.0</v>
      </c>
      <c r="P34" s="3">
        <v>-0.0436</v>
      </c>
      <c r="Q34" s="3">
        <v>0.0</v>
      </c>
      <c r="R34" s="3">
        <v>0.3024</v>
      </c>
      <c r="S34" s="3">
        <v>28.049999</v>
      </c>
      <c r="T34" s="3">
        <v>43.0</v>
      </c>
      <c r="U34" s="3">
        <f t="shared" si="2"/>
        <v>13.05</v>
      </c>
      <c r="V34" s="3"/>
      <c r="W34" s="3">
        <f t="shared" si="3"/>
        <v>13.05179069</v>
      </c>
      <c r="X34" s="3">
        <f t="shared" si="4"/>
        <v>5.074315162</v>
      </c>
      <c r="Y34" s="3">
        <f t="shared" si="5"/>
        <v>4.94939983</v>
      </c>
      <c r="Z34" s="3">
        <f t="shared" ref="Z34:AA34" si="37">_xlfn.NORM.S.DIST(X34)</f>
        <v>0.9999998056</v>
      </c>
      <c r="AA34" s="3">
        <f t="shared" si="37"/>
        <v>0.9999996278</v>
      </c>
    </row>
    <row r="35" ht="14.25" customHeight="1">
      <c r="A35" s="3" t="s">
        <v>140</v>
      </c>
      <c r="B35" s="3" t="s">
        <v>141</v>
      </c>
      <c r="C35" s="3" t="s">
        <v>129</v>
      </c>
      <c r="D35" s="3" t="s">
        <v>29</v>
      </c>
      <c r="E35" s="3">
        <v>15.0</v>
      </c>
      <c r="F35" s="3" t="s">
        <v>27</v>
      </c>
      <c r="G35" s="3">
        <v>12.85</v>
      </c>
      <c r="I35" s="3">
        <v>12.9</v>
      </c>
      <c r="K35" s="3">
        <v>326.0</v>
      </c>
      <c r="L35" s="3">
        <v>27.0</v>
      </c>
      <c r="M35" s="3" t="s">
        <v>64</v>
      </c>
      <c r="N35" s="3">
        <v>1.0</v>
      </c>
      <c r="O35" s="3">
        <v>0.0</v>
      </c>
      <c r="P35" s="3">
        <v>-0.0436</v>
      </c>
      <c r="Q35" s="3">
        <v>0.0</v>
      </c>
      <c r="R35" s="3">
        <v>0.2884</v>
      </c>
      <c r="S35" s="3">
        <v>27.870001</v>
      </c>
      <c r="T35" s="3">
        <v>42.0</v>
      </c>
      <c r="U35" s="3">
        <f t="shared" si="2"/>
        <v>12.875</v>
      </c>
      <c r="V35" s="3"/>
      <c r="W35" s="3">
        <f t="shared" si="3"/>
        <v>12.87175093</v>
      </c>
      <c r="X35" s="3">
        <f t="shared" si="4"/>
        <v>5.321512697</v>
      </c>
      <c r="Y35" s="3">
        <f t="shared" si="5"/>
        <v>5.20377389</v>
      </c>
      <c r="Z35" s="3">
        <f t="shared" ref="Z35:AA35" si="38">_xlfn.NORM.S.DIST(X35)</f>
        <v>0.9999999485</v>
      </c>
      <c r="AA35" s="3">
        <f t="shared" si="38"/>
        <v>0.9999999024</v>
      </c>
    </row>
    <row r="36" ht="14.25" customHeight="1">
      <c r="A36" s="3" t="s">
        <v>140</v>
      </c>
      <c r="B36" s="3" t="s">
        <v>141</v>
      </c>
      <c r="C36" s="3" t="s">
        <v>129</v>
      </c>
      <c r="D36" s="3" t="s">
        <v>29</v>
      </c>
      <c r="E36" s="3">
        <v>15.0</v>
      </c>
      <c r="F36" s="3" t="s">
        <v>27</v>
      </c>
      <c r="G36" s="3">
        <v>12.45</v>
      </c>
      <c r="I36" s="3">
        <v>12.55</v>
      </c>
      <c r="K36" s="3">
        <v>0.0</v>
      </c>
      <c r="L36" s="3">
        <v>353.0</v>
      </c>
      <c r="M36" s="3" t="s">
        <v>65</v>
      </c>
      <c r="N36" s="3">
        <v>1.0</v>
      </c>
      <c r="O36" s="3">
        <v>0.0</v>
      </c>
      <c r="P36" s="3">
        <v>-0.0436</v>
      </c>
      <c r="Q36" s="3">
        <v>0.0</v>
      </c>
      <c r="R36" s="3">
        <v>0.2882</v>
      </c>
      <c r="S36" s="3">
        <v>27.49</v>
      </c>
      <c r="T36" s="3">
        <v>41.0</v>
      </c>
      <c r="U36" s="3">
        <f t="shared" si="2"/>
        <v>12.5</v>
      </c>
      <c r="V36" s="3"/>
      <c r="W36" s="3">
        <f t="shared" si="3"/>
        <v>12.49170828</v>
      </c>
      <c r="X36" s="3">
        <f t="shared" si="4"/>
        <v>5.270134446</v>
      </c>
      <c r="Y36" s="3">
        <f t="shared" si="5"/>
        <v>5.153886408</v>
      </c>
      <c r="Z36" s="3">
        <f t="shared" ref="Z36:AA36" si="39">_xlfn.NORM.S.DIST(X36)</f>
        <v>0.9999999318</v>
      </c>
      <c r="AA36" s="3">
        <f t="shared" si="39"/>
        <v>0.9999998724</v>
      </c>
    </row>
    <row r="37" ht="14.25" customHeight="1">
      <c r="A37" s="3" t="s">
        <v>140</v>
      </c>
      <c r="B37" s="3" t="s">
        <v>141</v>
      </c>
      <c r="C37" s="3" t="s">
        <v>129</v>
      </c>
      <c r="D37" s="3" t="s">
        <v>29</v>
      </c>
      <c r="E37" s="3">
        <v>15.0</v>
      </c>
      <c r="F37" s="3" t="s">
        <v>27</v>
      </c>
      <c r="G37" s="3">
        <v>12.75</v>
      </c>
      <c r="I37" s="3">
        <v>12.8</v>
      </c>
      <c r="K37" s="3">
        <v>0.0</v>
      </c>
      <c r="L37" s="3">
        <v>353.0</v>
      </c>
      <c r="M37" s="3" t="s">
        <v>66</v>
      </c>
      <c r="N37" s="3">
        <v>1.0</v>
      </c>
      <c r="O37" s="3">
        <v>0.0</v>
      </c>
      <c r="P37" s="3">
        <v>-0.0436</v>
      </c>
      <c r="Q37" s="3">
        <v>0.0</v>
      </c>
      <c r="R37" s="3">
        <v>0.2824</v>
      </c>
      <c r="S37" s="3">
        <v>27.76</v>
      </c>
      <c r="T37" s="3">
        <v>40.0</v>
      </c>
      <c r="U37" s="3">
        <f t="shared" si="2"/>
        <v>12.775</v>
      </c>
      <c r="V37" s="3"/>
      <c r="W37" s="3">
        <f t="shared" si="3"/>
        <v>12.76166658</v>
      </c>
      <c r="X37" s="3">
        <f t="shared" si="4"/>
        <v>5.528234607</v>
      </c>
      <c r="Y37" s="3">
        <f t="shared" si="5"/>
        <v>5.415723753</v>
      </c>
      <c r="Z37" s="3">
        <f t="shared" ref="Z37:AA37" si="40">_xlfn.NORM.S.DIST(X37)</f>
        <v>0.9999999838</v>
      </c>
      <c r="AA37" s="3">
        <f t="shared" si="40"/>
        <v>0.9999999695</v>
      </c>
    </row>
    <row r="38" ht="14.25" customHeight="1">
      <c r="A38" s="3" t="s">
        <v>140</v>
      </c>
      <c r="B38" s="3" t="s">
        <v>141</v>
      </c>
      <c r="C38" s="3" t="s">
        <v>129</v>
      </c>
      <c r="D38" s="3" t="s">
        <v>29</v>
      </c>
      <c r="E38" s="3">
        <v>15.0</v>
      </c>
      <c r="F38" s="3" t="s">
        <v>27</v>
      </c>
      <c r="G38" s="3">
        <v>12.3</v>
      </c>
      <c r="I38" s="3">
        <v>12.45</v>
      </c>
      <c r="K38" s="3">
        <v>0.0</v>
      </c>
      <c r="L38" s="3">
        <v>353.0</v>
      </c>
      <c r="M38" s="3" t="s">
        <v>67</v>
      </c>
      <c r="N38" s="3">
        <v>0.9998</v>
      </c>
      <c r="O38" s="3">
        <v>2.0E-4</v>
      </c>
      <c r="P38" s="3">
        <v>-0.0568</v>
      </c>
      <c r="Q38" s="3">
        <v>0.0085</v>
      </c>
      <c r="R38" s="3">
        <v>0.4585</v>
      </c>
      <c r="S38" s="3">
        <v>27.370001</v>
      </c>
      <c r="T38" s="3">
        <v>39.0</v>
      </c>
      <c r="U38" s="3">
        <f t="shared" si="2"/>
        <v>12.375</v>
      </c>
      <c r="V38" s="3"/>
      <c r="W38" s="3">
        <f t="shared" si="3"/>
        <v>12.37203177</v>
      </c>
      <c r="X38" s="3">
        <f t="shared" si="4"/>
        <v>3.424975528</v>
      </c>
      <c r="Y38" s="3">
        <f t="shared" si="5"/>
        <v>3.244602593</v>
      </c>
      <c r="Z38" s="3">
        <f t="shared" ref="Z38:AA38" si="41">_xlfn.NORM.S.DIST(X38)</f>
        <v>0.9996925726</v>
      </c>
      <c r="AA38" s="3">
        <f t="shared" si="41"/>
        <v>0.9994119268</v>
      </c>
    </row>
    <row r="39" ht="14.25" customHeight="1">
      <c r="A39" s="3" t="s">
        <v>140</v>
      </c>
      <c r="B39" s="3" t="s">
        <v>141</v>
      </c>
      <c r="C39" s="3" t="s">
        <v>129</v>
      </c>
      <c r="D39" s="3" t="s">
        <v>29</v>
      </c>
      <c r="E39" s="3">
        <v>15.0</v>
      </c>
      <c r="F39" s="3" t="s">
        <v>27</v>
      </c>
      <c r="G39" s="3">
        <v>12.35</v>
      </c>
      <c r="I39" s="3">
        <v>12.45</v>
      </c>
      <c r="K39" s="3">
        <v>22.0</v>
      </c>
      <c r="L39" s="3">
        <v>353.0</v>
      </c>
      <c r="M39" s="3" t="s">
        <v>68</v>
      </c>
      <c r="N39" s="3">
        <v>1.0</v>
      </c>
      <c r="O39" s="3">
        <v>0.0</v>
      </c>
      <c r="P39" s="3">
        <v>-0.0436</v>
      </c>
      <c r="Q39" s="3">
        <v>0.0</v>
      </c>
      <c r="R39" s="3">
        <v>0.2834</v>
      </c>
      <c r="S39" s="3">
        <v>27.370001</v>
      </c>
      <c r="T39" s="3">
        <v>38.0</v>
      </c>
      <c r="U39" s="3">
        <f t="shared" si="2"/>
        <v>12.4</v>
      </c>
      <c r="V39" s="3"/>
      <c r="W39" s="3">
        <f t="shared" si="3"/>
        <v>12.37158426</v>
      </c>
      <c r="X39" s="3">
        <f t="shared" si="4"/>
        <v>5.520732358</v>
      </c>
      <c r="Y39" s="3">
        <f t="shared" si="5"/>
        <v>5.410682022</v>
      </c>
      <c r="Z39" s="3">
        <f t="shared" ref="Z39:AA39" si="42">_xlfn.NORM.S.DIST(X39)</f>
        <v>0.9999999831</v>
      </c>
      <c r="AA39" s="3">
        <f t="shared" si="42"/>
        <v>0.9999999686</v>
      </c>
    </row>
    <row r="40" ht="14.25" customHeight="1">
      <c r="A40" s="3" t="s">
        <v>140</v>
      </c>
      <c r="B40" s="3" t="s">
        <v>141</v>
      </c>
      <c r="C40" s="3" t="s">
        <v>129</v>
      </c>
      <c r="D40" s="3" t="s">
        <v>29</v>
      </c>
      <c r="E40" s="3">
        <v>15.0</v>
      </c>
      <c r="F40" s="3" t="s">
        <v>27</v>
      </c>
      <c r="G40" s="3">
        <v>12.8</v>
      </c>
      <c r="I40" s="3">
        <v>12.85</v>
      </c>
      <c r="K40" s="3">
        <v>0.0</v>
      </c>
      <c r="L40" s="3">
        <v>375.0</v>
      </c>
      <c r="M40" s="3" t="s">
        <v>69</v>
      </c>
      <c r="N40" s="3">
        <v>1.0</v>
      </c>
      <c r="O40" s="3">
        <v>0.0</v>
      </c>
      <c r="P40" s="3">
        <v>-0.0436</v>
      </c>
      <c r="Q40" s="3">
        <v>0.0</v>
      </c>
      <c r="R40" s="3">
        <v>0.2992</v>
      </c>
      <c r="S40" s="3">
        <v>27.809999</v>
      </c>
      <c r="T40" s="3">
        <v>37.0</v>
      </c>
      <c r="U40" s="3">
        <f t="shared" si="2"/>
        <v>12.825</v>
      </c>
      <c r="V40" s="3"/>
      <c r="W40" s="3">
        <f t="shared" si="3"/>
        <v>12.8115406</v>
      </c>
      <c r="X40" s="3">
        <f t="shared" si="4"/>
        <v>5.442976261</v>
      </c>
      <c r="Y40" s="3">
        <f t="shared" si="5"/>
        <v>5.328329396</v>
      </c>
      <c r="Z40" s="3">
        <f t="shared" ref="Z40:AA40" si="43">_xlfn.NORM.S.DIST(X40)</f>
        <v>0.9999999738</v>
      </c>
      <c r="AA40" s="3">
        <f t="shared" si="43"/>
        <v>0.9999999504</v>
      </c>
    </row>
    <row r="41" ht="14.25" customHeight="1">
      <c r="A41" s="3" t="s">
        <v>140</v>
      </c>
      <c r="B41" s="3" t="s">
        <v>141</v>
      </c>
      <c r="C41" s="3" t="s">
        <v>129</v>
      </c>
      <c r="D41" s="3" t="s">
        <v>29</v>
      </c>
      <c r="E41" s="3">
        <v>15.0</v>
      </c>
      <c r="F41" s="3" t="s">
        <v>27</v>
      </c>
      <c r="G41" s="3">
        <v>12.75</v>
      </c>
      <c r="I41" s="3">
        <v>12.8</v>
      </c>
      <c r="K41" s="3">
        <v>0.0</v>
      </c>
      <c r="L41" s="3">
        <v>375.0</v>
      </c>
      <c r="M41" s="3" t="s">
        <v>70</v>
      </c>
      <c r="N41" s="3">
        <v>1.0</v>
      </c>
      <c r="O41" s="3">
        <v>0.0</v>
      </c>
      <c r="P41" s="3">
        <v>-0.0436</v>
      </c>
      <c r="Q41" s="3">
        <v>0.0</v>
      </c>
      <c r="R41" s="3">
        <v>0.2302</v>
      </c>
      <c r="S41" s="3">
        <v>27.799999</v>
      </c>
      <c r="T41" s="3">
        <v>36.0</v>
      </c>
      <c r="U41" s="3">
        <f t="shared" si="2"/>
        <v>12.775</v>
      </c>
      <c r="V41" s="3"/>
      <c r="W41" s="3">
        <f t="shared" si="3"/>
        <v>12.80149893</v>
      </c>
      <c r="X41" s="3">
        <f t="shared" si="4"/>
        <v>7.135838728</v>
      </c>
      <c r="Y41" s="3">
        <f t="shared" si="5"/>
        <v>7.048831307</v>
      </c>
      <c r="Z41" s="3">
        <f t="shared" ref="Z41:AA41" si="44">_xlfn.NORM.S.DIST(X41)</f>
        <v>1</v>
      </c>
      <c r="AA41" s="3">
        <f t="shared" si="44"/>
        <v>1</v>
      </c>
    </row>
    <row r="42" ht="14.25" customHeight="1">
      <c r="A42" s="3" t="s">
        <v>140</v>
      </c>
      <c r="B42" s="3" t="s">
        <v>141</v>
      </c>
      <c r="C42" s="3" t="s">
        <v>129</v>
      </c>
      <c r="D42" s="3" t="s">
        <v>29</v>
      </c>
      <c r="E42" s="3">
        <v>15.0</v>
      </c>
      <c r="F42" s="3" t="s">
        <v>27</v>
      </c>
      <c r="G42" s="3">
        <v>12.9</v>
      </c>
      <c r="I42" s="3">
        <v>13.0</v>
      </c>
      <c r="K42" s="3">
        <v>31.0</v>
      </c>
      <c r="L42" s="3">
        <v>375.0</v>
      </c>
      <c r="M42" s="3" t="s">
        <v>71</v>
      </c>
      <c r="N42" s="3">
        <v>1.0</v>
      </c>
      <c r="O42" s="3">
        <v>0.0</v>
      </c>
      <c r="P42" s="3">
        <v>-0.0423</v>
      </c>
      <c r="Q42" s="3">
        <v>0.0</v>
      </c>
      <c r="R42" s="3">
        <v>0.2216</v>
      </c>
      <c r="S42" s="3">
        <v>27.950001</v>
      </c>
      <c r="T42" s="3">
        <v>35.0</v>
      </c>
      <c r="U42" s="3">
        <f t="shared" si="2"/>
        <v>12.95</v>
      </c>
      <c r="V42" s="3"/>
      <c r="W42" s="3">
        <f t="shared" si="3"/>
        <v>12.95145926</v>
      </c>
      <c r="X42" s="3">
        <f t="shared" si="4"/>
        <v>7.578507836</v>
      </c>
      <c r="Y42" s="3">
        <f t="shared" si="5"/>
        <v>7.495922392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140</v>
      </c>
      <c r="B43" s="3" t="s">
        <v>141</v>
      </c>
      <c r="C43" s="3" t="s">
        <v>129</v>
      </c>
      <c r="D43" s="3" t="s">
        <v>29</v>
      </c>
      <c r="E43" s="3">
        <v>15.0</v>
      </c>
      <c r="F43" s="3" t="s">
        <v>27</v>
      </c>
      <c r="G43" s="3">
        <v>13.1</v>
      </c>
      <c r="I43" s="3">
        <v>13.2</v>
      </c>
      <c r="K43" s="3">
        <v>52.0</v>
      </c>
      <c r="L43" s="3">
        <v>406.0</v>
      </c>
      <c r="M43" s="3" t="s">
        <v>72</v>
      </c>
      <c r="N43" s="3">
        <v>1.0</v>
      </c>
      <c r="O43" s="3">
        <v>0.0</v>
      </c>
      <c r="P43" s="3">
        <v>-0.0423</v>
      </c>
      <c r="Q43" s="3">
        <v>0.0</v>
      </c>
      <c r="R43" s="3">
        <v>0.2397</v>
      </c>
      <c r="S43" s="3">
        <v>28.15</v>
      </c>
      <c r="T43" s="3">
        <v>34.0</v>
      </c>
      <c r="U43" s="3">
        <f t="shared" si="2"/>
        <v>13.15</v>
      </c>
      <c r="V43" s="3"/>
      <c r="W43" s="3">
        <f t="shared" si="3"/>
        <v>13.1514166</v>
      </c>
      <c r="X43" s="3">
        <f t="shared" si="4"/>
        <v>7.194774512</v>
      </c>
      <c r="Y43" s="3">
        <f t="shared" si="5"/>
        <v>7.106729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140</v>
      </c>
      <c r="B44" s="3" t="s">
        <v>141</v>
      </c>
      <c r="C44" s="3" t="s">
        <v>129</v>
      </c>
      <c r="D44" s="3" t="s">
        <v>29</v>
      </c>
      <c r="E44" s="3">
        <v>15.0</v>
      </c>
      <c r="F44" s="3" t="s">
        <v>27</v>
      </c>
      <c r="G44" s="3">
        <v>13.3</v>
      </c>
      <c r="I44" s="3">
        <v>13.4</v>
      </c>
      <c r="K44" s="3">
        <v>2.0</v>
      </c>
      <c r="L44" s="3">
        <v>458.0</v>
      </c>
      <c r="M44" s="3" t="s">
        <v>73</v>
      </c>
      <c r="N44" s="3">
        <v>1.0</v>
      </c>
      <c r="O44" s="3">
        <v>0.0</v>
      </c>
      <c r="P44" s="3">
        <v>-0.0423</v>
      </c>
      <c r="Q44" s="3">
        <v>0.0</v>
      </c>
      <c r="R44" s="3">
        <v>0.2371</v>
      </c>
      <c r="S44" s="3">
        <v>28.35</v>
      </c>
      <c r="T44" s="3">
        <v>33.0</v>
      </c>
      <c r="U44" s="3">
        <f t="shared" si="2"/>
        <v>13.35</v>
      </c>
      <c r="V44" s="3"/>
      <c r="W44" s="3">
        <f t="shared" si="3"/>
        <v>13.35137494</v>
      </c>
      <c r="X44" s="3">
        <f t="shared" si="4"/>
        <v>7.463262334</v>
      </c>
      <c r="Y44" s="3">
        <f t="shared" si="5"/>
        <v>7.377462143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140</v>
      </c>
      <c r="B45" s="3" t="s">
        <v>141</v>
      </c>
      <c r="C45" s="3" t="s">
        <v>129</v>
      </c>
      <c r="D45" s="3" t="s">
        <v>29</v>
      </c>
      <c r="E45" s="3">
        <v>15.0</v>
      </c>
      <c r="F45" s="3" t="s">
        <v>27</v>
      </c>
      <c r="G45" s="3">
        <v>13.05</v>
      </c>
      <c r="I45" s="3">
        <v>13.15</v>
      </c>
      <c r="K45" s="3">
        <v>0.0</v>
      </c>
      <c r="L45" s="3">
        <v>459.0</v>
      </c>
      <c r="M45" s="3" t="s">
        <v>74</v>
      </c>
      <c r="N45" s="3">
        <v>0.9998</v>
      </c>
      <c r="O45" s="3">
        <v>0.0</v>
      </c>
      <c r="P45" s="3">
        <v>0.0059</v>
      </c>
      <c r="Q45" s="3">
        <v>0.0</v>
      </c>
      <c r="R45" s="3">
        <v>0.2624</v>
      </c>
      <c r="S45" s="3">
        <v>28.09</v>
      </c>
      <c r="T45" s="3">
        <v>32.0</v>
      </c>
      <c r="U45" s="3">
        <f t="shared" si="2"/>
        <v>13.1</v>
      </c>
      <c r="V45" s="3"/>
      <c r="W45" s="3">
        <f t="shared" si="3"/>
        <v>13.09133327</v>
      </c>
      <c r="X45" s="3">
        <f t="shared" si="4"/>
        <v>6.757056753</v>
      </c>
      <c r="Y45" s="3">
        <f t="shared" si="5"/>
        <v>6.663550953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140</v>
      </c>
      <c r="B46" s="3" t="s">
        <v>141</v>
      </c>
      <c r="C46" s="3" t="s">
        <v>129</v>
      </c>
      <c r="D46" s="3" t="s">
        <v>29</v>
      </c>
      <c r="E46" s="3">
        <v>15.0</v>
      </c>
      <c r="F46" s="3" t="s">
        <v>27</v>
      </c>
      <c r="G46" s="3">
        <v>13.1</v>
      </c>
      <c r="I46" s="3">
        <v>13.2</v>
      </c>
      <c r="K46" s="3">
        <v>0.0</v>
      </c>
      <c r="L46" s="3">
        <v>459.0</v>
      </c>
      <c r="M46" s="3" t="s">
        <v>75</v>
      </c>
      <c r="N46" s="3">
        <v>0.9996</v>
      </c>
      <c r="O46" s="3">
        <v>0.0</v>
      </c>
      <c r="P46" s="3">
        <v>0.0541</v>
      </c>
      <c r="Q46" s="3">
        <v>0.0</v>
      </c>
      <c r="R46" s="3">
        <v>0.3376</v>
      </c>
      <c r="S46" s="3">
        <v>28.139999</v>
      </c>
      <c r="T46" s="3">
        <v>31.0</v>
      </c>
      <c r="U46" s="3">
        <f t="shared" si="2"/>
        <v>13.15</v>
      </c>
      <c r="V46" s="3"/>
      <c r="W46" s="3">
        <f t="shared" si="3"/>
        <v>13.14129063</v>
      </c>
      <c r="X46" s="3">
        <f t="shared" si="4"/>
        <v>5.373246171</v>
      </c>
      <c r="Y46" s="3">
        <f t="shared" si="5"/>
        <v>5.254837634</v>
      </c>
      <c r="Z46" s="3">
        <f t="shared" ref="Z46:AA46" si="49">_xlfn.NORM.S.DIST(X46)</f>
        <v>0.9999999613</v>
      </c>
      <c r="AA46" s="3">
        <f t="shared" si="49"/>
        <v>0.9999999259</v>
      </c>
    </row>
    <row r="47" ht="14.25" customHeight="1">
      <c r="A47" s="3" t="s">
        <v>140</v>
      </c>
      <c r="B47" s="3" t="s">
        <v>141</v>
      </c>
      <c r="C47" s="3" t="s">
        <v>129</v>
      </c>
      <c r="D47" s="3" t="s">
        <v>29</v>
      </c>
      <c r="E47" s="3">
        <v>15.0</v>
      </c>
      <c r="F47" s="3" t="s">
        <v>27</v>
      </c>
      <c r="G47" s="3">
        <v>12.95</v>
      </c>
      <c r="I47" s="3">
        <v>13.05</v>
      </c>
      <c r="K47" s="3">
        <v>0.0</v>
      </c>
      <c r="L47" s="3">
        <v>459.0</v>
      </c>
      <c r="M47" s="3" t="s">
        <v>76</v>
      </c>
      <c r="N47" s="3">
        <v>0.9996</v>
      </c>
      <c r="O47" s="3">
        <v>0.0</v>
      </c>
      <c r="P47" s="3">
        <v>0.0535</v>
      </c>
      <c r="Q47" s="3">
        <v>0.0</v>
      </c>
      <c r="R47" s="3">
        <v>0.2519</v>
      </c>
      <c r="S47" s="3">
        <v>28.0</v>
      </c>
      <c r="T47" s="3">
        <v>30.0</v>
      </c>
      <c r="U47" s="3">
        <f t="shared" si="2"/>
        <v>13</v>
      </c>
      <c r="V47" s="3"/>
      <c r="W47" s="3">
        <f t="shared" si="3"/>
        <v>13.00124995</v>
      </c>
      <c r="X47" s="3">
        <f t="shared" si="4"/>
        <v>7.225721948</v>
      </c>
      <c r="Y47" s="3">
        <f t="shared" si="5"/>
        <v>7.138808191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140</v>
      </c>
      <c r="B48" s="3" t="s">
        <v>141</v>
      </c>
      <c r="C48" s="3" t="s">
        <v>129</v>
      </c>
      <c r="D48" s="3" t="s">
        <v>29</v>
      </c>
      <c r="E48" s="3">
        <v>15.0</v>
      </c>
      <c r="F48" s="3" t="s">
        <v>27</v>
      </c>
      <c r="G48" s="3">
        <v>12.85</v>
      </c>
      <c r="I48" s="3">
        <v>12.9</v>
      </c>
      <c r="K48" s="3">
        <v>0.0</v>
      </c>
      <c r="L48" s="3">
        <v>459.0</v>
      </c>
      <c r="M48" s="3" t="s">
        <v>77</v>
      </c>
      <c r="N48" s="3">
        <v>1.0</v>
      </c>
      <c r="O48" s="3">
        <v>0.0</v>
      </c>
      <c r="P48" s="3">
        <v>-0.0423</v>
      </c>
      <c r="Q48" s="3">
        <v>0.0</v>
      </c>
      <c r="R48" s="3">
        <v>0.271</v>
      </c>
      <c r="S48" s="3">
        <v>27.870001</v>
      </c>
      <c r="T48" s="3">
        <v>29.0</v>
      </c>
      <c r="U48" s="3">
        <f t="shared" si="2"/>
        <v>12.875</v>
      </c>
      <c r="V48" s="3"/>
      <c r="W48" s="3">
        <f t="shared" si="3"/>
        <v>12.87120928</v>
      </c>
      <c r="X48" s="3">
        <f t="shared" si="4"/>
        <v>6.785505814</v>
      </c>
      <c r="Y48" s="3">
        <f t="shared" si="5"/>
        <v>6.693573537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140</v>
      </c>
      <c r="B49" s="3" t="s">
        <v>141</v>
      </c>
      <c r="C49" s="3" t="s">
        <v>129</v>
      </c>
      <c r="D49" s="3" t="s">
        <v>29</v>
      </c>
      <c r="E49" s="3">
        <v>15.0</v>
      </c>
      <c r="F49" s="3" t="s">
        <v>27</v>
      </c>
      <c r="G49" s="3">
        <v>12.9</v>
      </c>
      <c r="I49" s="3">
        <v>12.95</v>
      </c>
      <c r="K49" s="3">
        <v>0.0</v>
      </c>
      <c r="L49" s="3">
        <v>459.0</v>
      </c>
      <c r="M49" s="3" t="s">
        <v>78</v>
      </c>
      <c r="N49" s="3">
        <v>1.0</v>
      </c>
      <c r="O49" s="3">
        <v>0.0</v>
      </c>
      <c r="P49" s="3">
        <v>-0.0423</v>
      </c>
      <c r="Q49" s="3">
        <v>0.0</v>
      </c>
      <c r="R49" s="3">
        <v>0.2898</v>
      </c>
      <c r="S49" s="3">
        <v>27.91</v>
      </c>
      <c r="T49" s="3">
        <v>28.0</v>
      </c>
      <c r="U49" s="3">
        <f t="shared" si="2"/>
        <v>12.925</v>
      </c>
      <c r="V49" s="3"/>
      <c r="W49" s="3">
        <f t="shared" si="3"/>
        <v>12.91116662</v>
      </c>
      <c r="X49" s="3">
        <f t="shared" si="4"/>
        <v>6.477002114</v>
      </c>
      <c r="Y49" s="3">
        <f t="shared" si="5"/>
        <v>6.380402114</v>
      </c>
      <c r="Z49" s="3">
        <f t="shared" ref="Z49:AA49" si="52">_xlfn.NORM.S.DIST(X49)</f>
        <v>1</v>
      </c>
      <c r="AA49" s="3">
        <f t="shared" si="52"/>
        <v>0.9999999999</v>
      </c>
    </row>
    <row r="50" ht="14.25" customHeight="1">
      <c r="A50" s="3" t="s">
        <v>140</v>
      </c>
      <c r="B50" s="3" t="s">
        <v>141</v>
      </c>
      <c r="C50" s="3" t="s">
        <v>129</v>
      </c>
      <c r="D50" s="3" t="s">
        <v>29</v>
      </c>
      <c r="E50" s="3">
        <v>15.0</v>
      </c>
      <c r="F50" s="3" t="s">
        <v>27</v>
      </c>
      <c r="G50" s="3">
        <v>12.85</v>
      </c>
      <c r="I50" s="3">
        <v>13.0</v>
      </c>
      <c r="K50" s="3">
        <v>0.0</v>
      </c>
      <c r="L50" s="3">
        <v>459.0</v>
      </c>
      <c r="M50" s="3" t="s">
        <v>79</v>
      </c>
      <c r="N50" s="3">
        <v>1.0</v>
      </c>
      <c r="O50" s="3">
        <v>0.0</v>
      </c>
      <c r="P50" s="3">
        <v>-0.0423</v>
      </c>
      <c r="Q50" s="3">
        <v>0.0</v>
      </c>
      <c r="R50" s="3">
        <v>0.2881</v>
      </c>
      <c r="S50" s="3">
        <v>27.92</v>
      </c>
      <c r="T50" s="3">
        <v>27.0</v>
      </c>
      <c r="U50" s="3">
        <f t="shared" si="2"/>
        <v>12.925</v>
      </c>
      <c r="V50" s="3"/>
      <c r="W50" s="3">
        <f t="shared" si="3"/>
        <v>12.92112496</v>
      </c>
      <c r="X50" s="3">
        <f t="shared" si="4"/>
        <v>6.636220611</v>
      </c>
      <c r="Y50" s="3">
        <f t="shared" si="5"/>
        <v>6.54191775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140</v>
      </c>
      <c r="B51" s="3" t="s">
        <v>141</v>
      </c>
      <c r="C51" s="3" t="s">
        <v>129</v>
      </c>
      <c r="D51" s="3" t="s">
        <v>29</v>
      </c>
      <c r="E51" s="3">
        <v>15.0</v>
      </c>
      <c r="F51" s="3" t="s">
        <v>27</v>
      </c>
      <c r="G51" s="3">
        <v>12.6</v>
      </c>
      <c r="I51" s="3">
        <v>13.2</v>
      </c>
      <c r="K51" s="3">
        <v>0.0</v>
      </c>
      <c r="L51" s="3">
        <v>459.0</v>
      </c>
      <c r="M51" s="3" t="s">
        <v>80</v>
      </c>
      <c r="N51" s="3">
        <v>1.0</v>
      </c>
      <c r="O51" s="3">
        <v>0.0</v>
      </c>
      <c r="P51" s="3">
        <v>-0.0423</v>
      </c>
      <c r="Q51" s="3">
        <v>0.0</v>
      </c>
      <c r="R51" s="3">
        <v>0.2107</v>
      </c>
      <c r="S51" s="3">
        <v>28.139999</v>
      </c>
      <c r="T51" s="3">
        <v>26.0</v>
      </c>
      <c r="U51" s="3">
        <f t="shared" si="2"/>
        <v>12.9</v>
      </c>
      <c r="V51" s="3"/>
      <c r="W51" s="3">
        <f t="shared" si="3"/>
        <v>13.14108229</v>
      </c>
      <c r="X51" s="3">
        <f t="shared" si="4"/>
        <v>9.330938439</v>
      </c>
      <c r="Y51" s="3">
        <f t="shared" si="5"/>
        <v>9.263259906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140</v>
      </c>
      <c r="B52" s="3" t="s">
        <v>141</v>
      </c>
      <c r="C52" s="3" t="s">
        <v>129</v>
      </c>
      <c r="D52" s="3" t="s">
        <v>29</v>
      </c>
      <c r="E52" s="3">
        <v>15.0</v>
      </c>
      <c r="F52" s="3" t="s">
        <v>27</v>
      </c>
      <c r="G52" s="3">
        <v>12.65</v>
      </c>
      <c r="I52" s="3">
        <v>13.4</v>
      </c>
      <c r="K52" s="3">
        <v>0.0</v>
      </c>
      <c r="L52" s="3">
        <v>459.0</v>
      </c>
      <c r="M52" s="3" t="s">
        <v>81</v>
      </c>
      <c r="N52" s="3">
        <v>1.0</v>
      </c>
      <c r="O52" s="3">
        <v>0.0</v>
      </c>
      <c r="P52" s="3">
        <v>-0.0423</v>
      </c>
      <c r="Q52" s="3">
        <v>0.0</v>
      </c>
      <c r="R52" s="3">
        <v>0.2693</v>
      </c>
      <c r="S52" s="3">
        <v>28.040001</v>
      </c>
      <c r="T52" s="3">
        <v>25.0</v>
      </c>
      <c r="U52" s="3">
        <f t="shared" si="2"/>
        <v>13.025</v>
      </c>
      <c r="V52" s="3"/>
      <c r="W52" s="3">
        <f t="shared" si="3"/>
        <v>13.04104263</v>
      </c>
      <c r="X52" s="3">
        <f t="shared" si="4"/>
        <v>7.418502213</v>
      </c>
      <c r="Y52" s="3">
        <f t="shared" si="5"/>
        <v>7.333680686</v>
      </c>
      <c r="Z52" s="3">
        <f t="shared" ref="Z52:AA52" si="55">_xlfn.NORM.S.DIST(X52)</f>
        <v>1</v>
      </c>
      <c r="AA52" s="3">
        <f t="shared" si="55"/>
        <v>1</v>
      </c>
    </row>
    <row r="53" ht="14.25" customHeight="1">
      <c r="A53" s="3" t="s">
        <v>140</v>
      </c>
      <c r="B53" s="3" t="s">
        <v>141</v>
      </c>
      <c r="C53" s="3" t="s">
        <v>129</v>
      </c>
      <c r="D53" s="3" t="s">
        <v>29</v>
      </c>
      <c r="E53" s="3">
        <v>15.0</v>
      </c>
      <c r="F53" s="3" t="s">
        <v>27</v>
      </c>
      <c r="G53" s="3">
        <v>11.65</v>
      </c>
      <c r="I53" s="3">
        <v>14.6</v>
      </c>
      <c r="K53" s="3">
        <v>0.0</v>
      </c>
      <c r="L53" s="3">
        <v>459.0</v>
      </c>
      <c r="M53" s="3" t="s">
        <v>82</v>
      </c>
      <c r="N53" s="3">
        <v>0.9998</v>
      </c>
      <c r="O53" s="3">
        <v>0.0</v>
      </c>
      <c r="P53" s="3">
        <v>0.0269</v>
      </c>
      <c r="Q53" s="3">
        <v>0.0</v>
      </c>
      <c r="R53" s="3">
        <v>0.2119</v>
      </c>
      <c r="S53" s="3">
        <v>28.1</v>
      </c>
      <c r="T53" s="3">
        <v>24.0</v>
      </c>
      <c r="U53" s="3">
        <f t="shared" si="2"/>
        <v>13.125</v>
      </c>
      <c r="V53" s="3"/>
      <c r="W53" s="3">
        <f t="shared" si="3"/>
        <v>13.10099997</v>
      </c>
      <c r="X53" s="3">
        <f t="shared" si="4"/>
        <v>9.632787846</v>
      </c>
      <c r="Y53" s="3">
        <f t="shared" si="5"/>
        <v>9.567394087</v>
      </c>
      <c r="Z53" s="3">
        <f t="shared" ref="Z53:AA53" si="56">_xlfn.NORM.S.DIST(X53)</f>
        <v>1</v>
      </c>
      <c r="AA53" s="3">
        <f t="shared" si="56"/>
        <v>1</v>
      </c>
    </row>
    <row r="54" ht="14.25" customHeight="1">
      <c r="A54" s="3" t="s">
        <v>140</v>
      </c>
      <c r="B54" s="3" t="s">
        <v>141</v>
      </c>
      <c r="C54" s="3" t="s">
        <v>129</v>
      </c>
      <c r="D54" s="3" t="s">
        <v>29</v>
      </c>
      <c r="E54" s="3">
        <v>15.0</v>
      </c>
      <c r="F54" s="3" t="s">
        <v>27</v>
      </c>
      <c r="G54" s="3">
        <v>13.1</v>
      </c>
      <c r="I54" s="3">
        <v>13.2</v>
      </c>
      <c r="K54" s="3">
        <v>0.0</v>
      </c>
      <c r="L54" s="3">
        <v>459.0</v>
      </c>
      <c r="M54" s="3" t="s">
        <v>83</v>
      </c>
      <c r="N54" s="3">
        <v>0.9996</v>
      </c>
      <c r="O54" s="3">
        <v>0.0</v>
      </c>
      <c r="P54" s="3">
        <v>0.0964</v>
      </c>
      <c r="Q54" s="3">
        <v>0.0</v>
      </c>
      <c r="R54" s="3">
        <v>0.2004</v>
      </c>
      <c r="S54" s="3">
        <v>28.18</v>
      </c>
      <c r="T54" s="3">
        <v>23.0</v>
      </c>
      <c r="U54" s="3">
        <f t="shared" si="2"/>
        <v>13.15</v>
      </c>
      <c r="V54" s="3"/>
      <c r="W54" s="3">
        <f t="shared" si="3"/>
        <v>13.1809583</v>
      </c>
      <c r="X54" s="3">
        <f t="shared" si="4"/>
        <v>10.44650325</v>
      </c>
      <c r="Y54" s="3">
        <f t="shared" si="5"/>
        <v>10.3859606</v>
      </c>
      <c r="Z54" s="3">
        <f t="shared" ref="Z54:AA54" si="57">_xlfn.NORM.S.DIST(X54)</f>
        <v>1</v>
      </c>
      <c r="AA54" s="3">
        <f t="shared" si="57"/>
        <v>1</v>
      </c>
    </row>
    <row r="55" ht="14.25" customHeight="1">
      <c r="A55" s="3" t="s">
        <v>140</v>
      </c>
      <c r="B55" s="3" t="s">
        <v>141</v>
      </c>
      <c r="C55" s="3" t="s">
        <v>129</v>
      </c>
      <c r="D55" s="3" t="s">
        <v>29</v>
      </c>
      <c r="E55" s="3">
        <v>15.0</v>
      </c>
      <c r="F55" s="3" t="s">
        <v>27</v>
      </c>
      <c r="G55" s="3">
        <v>13.3</v>
      </c>
      <c r="I55" s="3">
        <v>13.35</v>
      </c>
      <c r="K55" s="3">
        <v>0.0</v>
      </c>
      <c r="L55" s="3">
        <v>459.0</v>
      </c>
      <c r="M55" s="3" t="s">
        <v>84</v>
      </c>
      <c r="N55" s="3">
        <v>0.9996</v>
      </c>
      <c r="O55" s="3">
        <v>0.0</v>
      </c>
      <c r="P55" s="3">
        <v>0.097</v>
      </c>
      <c r="Q55" s="3">
        <v>0.0</v>
      </c>
      <c r="R55" s="3">
        <v>0.2149</v>
      </c>
      <c r="S55" s="3">
        <v>28.32</v>
      </c>
      <c r="T55" s="3">
        <v>22.0</v>
      </c>
      <c r="U55" s="3">
        <f t="shared" si="2"/>
        <v>13.325</v>
      </c>
      <c r="V55" s="3"/>
      <c r="W55" s="3">
        <f t="shared" si="3"/>
        <v>13.32091664</v>
      </c>
      <c r="X55" s="3">
        <f t="shared" si="4"/>
        <v>10.04147377</v>
      </c>
      <c r="Y55" s="3">
        <f t="shared" si="5"/>
        <v>9.977977607</v>
      </c>
      <c r="Z55" s="3">
        <f t="shared" ref="Z55:AA55" si="58">_xlfn.NORM.S.DIST(X55)</f>
        <v>1</v>
      </c>
      <c r="AA55" s="3">
        <f t="shared" si="58"/>
        <v>1</v>
      </c>
    </row>
    <row r="56" ht="14.25" customHeight="1">
      <c r="A56" s="3" t="s">
        <v>140</v>
      </c>
      <c r="B56" s="3" t="s">
        <v>141</v>
      </c>
      <c r="C56" s="3" t="s">
        <v>129</v>
      </c>
      <c r="D56" s="3" t="s">
        <v>29</v>
      </c>
      <c r="E56" s="3">
        <v>15.0</v>
      </c>
      <c r="F56" s="3" t="s">
        <v>27</v>
      </c>
      <c r="G56" s="3">
        <v>13.05</v>
      </c>
      <c r="I56" s="3">
        <v>13.2</v>
      </c>
      <c r="K56" s="3">
        <v>0.0</v>
      </c>
      <c r="L56" s="3">
        <v>459.0</v>
      </c>
      <c r="M56" s="3" t="s">
        <v>85</v>
      </c>
      <c r="N56" s="3">
        <v>0.9996</v>
      </c>
      <c r="O56" s="3">
        <v>0.0</v>
      </c>
      <c r="P56" s="3">
        <v>0.1105</v>
      </c>
      <c r="Q56" s="3">
        <v>0.0</v>
      </c>
      <c r="R56" s="3">
        <v>0.4177</v>
      </c>
      <c r="S56" s="3">
        <v>28.110001</v>
      </c>
      <c r="T56" s="3">
        <v>21.0</v>
      </c>
      <c r="U56" s="3">
        <f t="shared" si="2"/>
        <v>13.125</v>
      </c>
      <c r="V56" s="3"/>
      <c r="W56" s="3">
        <f t="shared" si="3"/>
        <v>13.11087602</v>
      </c>
      <c r="X56" s="3">
        <f t="shared" si="4"/>
        <v>5.269575065</v>
      </c>
      <c r="Y56" s="3">
        <f t="shared" si="5"/>
        <v>5.148995462</v>
      </c>
      <c r="Z56" s="3">
        <f t="shared" ref="Z56:AA56" si="59">_xlfn.NORM.S.DIST(X56)</f>
        <v>0.9999999316</v>
      </c>
      <c r="AA56" s="3">
        <f t="shared" si="59"/>
        <v>0.9999998691</v>
      </c>
    </row>
    <row r="57" ht="14.25" customHeight="1">
      <c r="A57" s="3" t="s">
        <v>140</v>
      </c>
      <c r="B57" s="3" t="s">
        <v>141</v>
      </c>
      <c r="C57" s="3" t="s">
        <v>129</v>
      </c>
      <c r="D57" s="3" t="s">
        <v>29</v>
      </c>
      <c r="E57" s="3">
        <v>15.0</v>
      </c>
      <c r="F57" s="3" t="s">
        <v>27</v>
      </c>
      <c r="G57" s="3">
        <v>13.2</v>
      </c>
      <c r="I57" s="3">
        <v>13.3</v>
      </c>
      <c r="K57" s="3">
        <v>2.0</v>
      </c>
      <c r="L57" s="3">
        <v>459.0</v>
      </c>
      <c r="M57" s="3" t="s">
        <v>86</v>
      </c>
      <c r="N57" s="3">
        <v>0.9995</v>
      </c>
      <c r="O57" s="3">
        <v>0.0</v>
      </c>
      <c r="P57" s="3">
        <v>0.1258</v>
      </c>
      <c r="Q57" s="3">
        <v>0.0</v>
      </c>
      <c r="R57" s="3">
        <v>0.2434</v>
      </c>
      <c r="S57" s="3">
        <v>28.25</v>
      </c>
      <c r="T57" s="3">
        <v>20.0</v>
      </c>
      <c r="U57" s="3">
        <f t="shared" si="2"/>
        <v>13.25</v>
      </c>
      <c r="V57" s="3"/>
      <c r="W57" s="3">
        <f t="shared" si="3"/>
        <v>13.25083331</v>
      </c>
      <c r="X57" s="3">
        <f t="shared" si="4"/>
        <v>9.267143964</v>
      </c>
      <c r="Y57" s="3">
        <f t="shared" si="5"/>
        <v>9.198573782</v>
      </c>
      <c r="Z57" s="3">
        <f t="shared" ref="Z57:AA57" si="60">_xlfn.NORM.S.DIST(X57)</f>
        <v>1</v>
      </c>
      <c r="AA57" s="3">
        <f t="shared" si="60"/>
        <v>1</v>
      </c>
    </row>
    <row r="58" ht="14.25" customHeight="1">
      <c r="A58" s="3" t="s">
        <v>140</v>
      </c>
      <c r="B58" s="3" t="s">
        <v>141</v>
      </c>
      <c r="C58" s="3" t="s">
        <v>129</v>
      </c>
      <c r="D58" s="3" t="s">
        <v>29</v>
      </c>
      <c r="E58" s="3">
        <v>15.0</v>
      </c>
      <c r="F58" s="3" t="s">
        <v>27</v>
      </c>
      <c r="G58" s="3">
        <v>13.15</v>
      </c>
      <c r="I58" s="3">
        <v>13.2</v>
      </c>
      <c r="K58" s="3">
        <v>0.0</v>
      </c>
      <c r="L58" s="3">
        <v>461.0</v>
      </c>
      <c r="M58" s="3" t="s">
        <v>87</v>
      </c>
      <c r="N58" s="3">
        <v>0.9995</v>
      </c>
      <c r="O58" s="3">
        <v>0.0</v>
      </c>
      <c r="P58" s="3">
        <v>0.1645</v>
      </c>
      <c r="Q58" s="3">
        <v>0.0</v>
      </c>
      <c r="R58" s="3">
        <v>0.2346</v>
      </c>
      <c r="S58" s="3">
        <v>28.16</v>
      </c>
      <c r="T58" s="3">
        <v>19.0</v>
      </c>
      <c r="U58" s="3">
        <f t="shared" si="2"/>
        <v>13.175</v>
      </c>
      <c r="V58" s="3"/>
      <c r="W58" s="3">
        <f t="shared" si="3"/>
        <v>13.16079165</v>
      </c>
      <c r="X58" s="3">
        <f t="shared" si="4"/>
        <v>9.810671697</v>
      </c>
      <c r="Y58" s="3">
        <f t="shared" si="5"/>
        <v>9.746254097</v>
      </c>
      <c r="Z58" s="3">
        <f t="shared" ref="Z58:AA58" si="61">_xlfn.NORM.S.DIST(X58)</f>
        <v>1</v>
      </c>
      <c r="AA58" s="3">
        <f t="shared" si="61"/>
        <v>1</v>
      </c>
    </row>
    <row r="59" ht="14.25" customHeight="1">
      <c r="A59" s="3" t="s">
        <v>140</v>
      </c>
      <c r="B59" s="3" t="s">
        <v>141</v>
      </c>
      <c r="C59" s="3" t="s">
        <v>129</v>
      </c>
      <c r="D59" s="3" t="s">
        <v>29</v>
      </c>
      <c r="E59" s="3">
        <v>15.0</v>
      </c>
      <c r="F59" s="3" t="s">
        <v>27</v>
      </c>
      <c r="G59" s="3">
        <v>13.1</v>
      </c>
      <c r="I59" s="3">
        <v>13.2</v>
      </c>
      <c r="K59" s="3">
        <v>0.0</v>
      </c>
      <c r="L59" s="3">
        <v>461.0</v>
      </c>
      <c r="M59" s="3" t="s">
        <v>88</v>
      </c>
      <c r="N59" s="3">
        <v>0.9995</v>
      </c>
      <c r="O59" s="3">
        <v>0.0</v>
      </c>
      <c r="P59" s="3">
        <v>0.1895</v>
      </c>
      <c r="Q59" s="3">
        <v>0.0</v>
      </c>
      <c r="R59" s="3">
        <v>0.2518</v>
      </c>
      <c r="S59" s="3">
        <v>28.16</v>
      </c>
      <c r="T59" s="3">
        <v>18.0</v>
      </c>
      <c r="U59" s="3">
        <f t="shared" si="2"/>
        <v>13.15</v>
      </c>
      <c r="V59" s="3"/>
      <c r="W59" s="3">
        <f t="shared" si="3"/>
        <v>13.16074998</v>
      </c>
      <c r="X59" s="3">
        <f t="shared" si="4"/>
        <v>9.393770139</v>
      </c>
      <c r="Y59" s="3">
        <f t="shared" si="5"/>
        <v>9.326473758</v>
      </c>
      <c r="Z59" s="3">
        <f t="shared" ref="Z59:AA59" si="62">_xlfn.NORM.S.DIST(X59)</f>
        <v>1</v>
      </c>
      <c r="AA59" s="3">
        <f t="shared" si="62"/>
        <v>1</v>
      </c>
    </row>
    <row r="60" ht="14.25" customHeight="1">
      <c r="A60" s="3" t="s">
        <v>140</v>
      </c>
      <c r="B60" s="3" t="s">
        <v>141</v>
      </c>
      <c r="C60" s="3" t="s">
        <v>129</v>
      </c>
      <c r="D60" s="3" t="s">
        <v>29</v>
      </c>
      <c r="E60" s="3">
        <v>15.0</v>
      </c>
      <c r="F60" s="3" t="s">
        <v>27</v>
      </c>
      <c r="G60" s="3">
        <v>13.35</v>
      </c>
      <c r="I60" s="3">
        <v>13.4</v>
      </c>
      <c r="K60" s="3">
        <v>0.0</v>
      </c>
      <c r="L60" s="3">
        <v>461.0</v>
      </c>
      <c r="M60" s="3" t="s">
        <v>89</v>
      </c>
      <c r="N60" s="3">
        <v>0.9994</v>
      </c>
      <c r="O60" s="3">
        <v>0.0</v>
      </c>
      <c r="P60" s="3">
        <v>0.2164</v>
      </c>
      <c r="Q60" s="3">
        <v>0.0</v>
      </c>
      <c r="R60" s="3">
        <v>0.4013</v>
      </c>
      <c r="S60" s="3">
        <v>28.370001</v>
      </c>
      <c r="T60" s="3">
        <v>17.0</v>
      </c>
      <c r="U60" s="3">
        <f t="shared" si="2"/>
        <v>13.375</v>
      </c>
      <c r="V60" s="3"/>
      <c r="W60" s="3">
        <f t="shared" si="3"/>
        <v>13.37070932</v>
      </c>
      <c r="X60" s="3">
        <f t="shared" si="4"/>
        <v>6.16675008</v>
      </c>
      <c r="Y60" s="3">
        <f t="shared" si="5"/>
        <v>6.062519933</v>
      </c>
      <c r="Z60" s="3">
        <f t="shared" ref="Z60:AA60" si="63">_xlfn.NORM.S.DIST(X60)</f>
        <v>0.9999999997</v>
      </c>
      <c r="AA60" s="3">
        <f t="shared" si="63"/>
        <v>0.9999999993</v>
      </c>
    </row>
    <row r="61" ht="14.25" customHeight="1">
      <c r="A61" s="3" t="s">
        <v>140</v>
      </c>
      <c r="B61" s="3" t="s">
        <v>141</v>
      </c>
      <c r="C61" s="3" t="s">
        <v>129</v>
      </c>
      <c r="D61" s="3" t="s">
        <v>29</v>
      </c>
      <c r="E61" s="3">
        <v>15.0</v>
      </c>
      <c r="F61" s="3" t="s">
        <v>27</v>
      </c>
      <c r="G61" s="3">
        <v>13.55</v>
      </c>
      <c r="I61" s="3">
        <v>13.65</v>
      </c>
      <c r="K61" s="3">
        <v>0.0</v>
      </c>
      <c r="L61" s="3">
        <v>461.0</v>
      </c>
      <c r="M61" s="3" t="s">
        <v>90</v>
      </c>
      <c r="N61" s="3">
        <v>0.9994</v>
      </c>
      <c r="O61" s="3">
        <v>0.0</v>
      </c>
      <c r="P61" s="3">
        <v>0.2393</v>
      </c>
      <c r="Q61" s="3">
        <v>0.0</v>
      </c>
      <c r="R61" s="3">
        <v>0.3714</v>
      </c>
      <c r="S61" s="3">
        <v>28.610001</v>
      </c>
      <c r="T61" s="3">
        <v>16.0</v>
      </c>
      <c r="U61" s="3">
        <f t="shared" si="2"/>
        <v>13.6</v>
      </c>
      <c r="V61" s="3"/>
      <c r="W61" s="3">
        <f t="shared" si="3"/>
        <v>13.61066765</v>
      </c>
      <c r="X61" s="3">
        <f t="shared" si="4"/>
        <v>6.947015983</v>
      </c>
      <c r="Y61" s="3">
        <f t="shared" si="5"/>
        <v>6.85343198</v>
      </c>
      <c r="Z61" s="3">
        <f t="shared" ref="Z61:AA61" si="64">_xlfn.NORM.S.DIST(X61)</f>
        <v>1</v>
      </c>
      <c r="AA61" s="3">
        <f t="shared" si="64"/>
        <v>1</v>
      </c>
    </row>
    <row r="62" ht="14.25" customHeight="1">
      <c r="A62" s="3" t="s">
        <v>140</v>
      </c>
      <c r="B62" s="3" t="s">
        <v>141</v>
      </c>
      <c r="C62" s="3" t="s">
        <v>129</v>
      </c>
      <c r="D62" s="3" t="s">
        <v>29</v>
      </c>
      <c r="E62" s="3">
        <v>15.0</v>
      </c>
      <c r="F62" s="3" t="s">
        <v>27</v>
      </c>
      <c r="G62" s="3">
        <v>13.55</v>
      </c>
      <c r="I62" s="3">
        <v>13.65</v>
      </c>
      <c r="K62" s="3">
        <v>0.0</v>
      </c>
      <c r="L62" s="3">
        <v>461.0</v>
      </c>
      <c r="M62" s="3" t="s">
        <v>91</v>
      </c>
      <c r="N62" s="3">
        <v>0.9995</v>
      </c>
      <c r="O62" s="3">
        <v>0.0</v>
      </c>
      <c r="P62" s="3">
        <v>0.2401</v>
      </c>
      <c r="Q62" s="3">
        <v>0.0</v>
      </c>
      <c r="R62" s="3">
        <v>0.2901</v>
      </c>
      <c r="S62" s="3">
        <v>28.610001</v>
      </c>
      <c r="T62" s="3">
        <v>15.0</v>
      </c>
      <c r="U62" s="3">
        <f t="shared" si="2"/>
        <v>13.6</v>
      </c>
      <c r="V62" s="3"/>
      <c r="W62" s="3">
        <f t="shared" si="3"/>
        <v>13.61062599</v>
      </c>
      <c r="X62" s="3">
        <f t="shared" si="4"/>
        <v>9.159064538</v>
      </c>
      <c r="Y62" s="3">
        <f t="shared" si="5"/>
        <v>9.088287386</v>
      </c>
      <c r="Z62" s="3">
        <f t="shared" ref="Z62:AA62" si="65">_xlfn.NORM.S.DIST(X62)</f>
        <v>1</v>
      </c>
      <c r="AA62" s="3">
        <f t="shared" si="65"/>
        <v>1</v>
      </c>
    </row>
    <row r="63" ht="14.25" customHeight="1">
      <c r="A63" s="3" t="s">
        <v>140</v>
      </c>
      <c r="B63" s="3" t="s">
        <v>141</v>
      </c>
      <c r="C63" s="3" t="s">
        <v>129</v>
      </c>
      <c r="D63" s="3" t="s">
        <v>29</v>
      </c>
      <c r="E63" s="3">
        <v>15.0</v>
      </c>
      <c r="F63" s="3" t="s">
        <v>27</v>
      </c>
      <c r="G63" s="3">
        <v>13.75</v>
      </c>
      <c r="I63" s="3">
        <v>13.85</v>
      </c>
      <c r="K63" s="3">
        <v>10.0</v>
      </c>
      <c r="L63" s="3">
        <v>461.0</v>
      </c>
      <c r="M63" s="3" t="s">
        <v>92</v>
      </c>
      <c r="N63" s="3">
        <v>0.9994</v>
      </c>
      <c r="O63" s="3">
        <v>0.0</v>
      </c>
      <c r="P63" s="3">
        <v>0.309</v>
      </c>
      <c r="Q63" s="3">
        <v>0.0</v>
      </c>
      <c r="R63" s="3">
        <v>0.2458</v>
      </c>
      <c r="S63" s="3">
        <v>28.799999</v>
      </c>
      <c r="T63" s="3">
        <v>14.0</v>
      </c>
      <c r="U63" s="3">
        <f t="shared" si="2"/>
        <v>13.8</v>
      </c>
      <c r="V63" s="3"/>
      <c r="W63" s="3">
        <f t="shared" si="3"/>
        <v>13.80058232</v>
      </c>
      <c r="X63" s="3">
        <f t="shared" si="4"/>
        <v>11.2891233</v>
      </c>
      <c r="Y63" s="3">
        <f t="shared" si="5"/>
        <v>11.23118768</v>
      </c>
      <c r="Z63" s="3">
        <f t="shared" ref="Z63:AA63" si="66">_xlfn.NORM.S.DIST(X63)</f>
        <v>1</v>
      </c>
      <c r="AA63" s="3">
        <f t="shared" si="66"/>
        <v>1</v>
      </c>
    </row>
    <row r="64" ht="14.25" customHeight="1">
      <c r="A64" s="3" t="s">
        <v>140</v>
      </c>
      <c r="B64" s="3" t="s">
        <v>141</v>
      </c>
      <c r="C64" s="3" t="s">
        <v>129</v>
      </c>
      <c r="D64" s="3" t="s">
        <v>29</v>
      </c>
      <c r="E64" s="3">
        <v>15.0</v>
      </c>
      <c r="F64" s="3" t="s">
        <v>27</v>
      </c>
      <c r="G64" s="3">
        <v>13.55</v>
      </c>
      <c r="I64" s="3">
        <v>13.65</v>
      </c>
      <c r="K64" s="3">
        <v>0.0</v>
      </c>
      <c r="L64" s="3">
        <v>464.0</v>
      </c>
      <c r="M64" s="3" t="s">
        <v>93</v>
      </c>
      <c r="N64" s="3">
        <v>0.9994</v>
      </c>
      <c r="O64" s="3">
        <v>0.0</v>
      </c>
      <c r="P64" s="3">
        <v>0.3726</v>
      </c>
      <c r="Q64" s="3">
        <v>0.0</v>
      </c>
      <c r="R64" s="3">
        <v>0.2696</v>
      </c>
      <c r="S64" s="3">
        <v>28.559999</v>
      </c>
      <c r="T64" s="3">
        <v>13.0</v>
      </c>
      <c r="U64" s="3">
        <f t="shared" si="2"/>
        <v>13.6</v>
      </c>
      <c r="V64" s="3"/>
      <c r="W64" s="3">
        <f t="shared" si="3"/>
        <v>13.56054066</v>
      </c>
      <c r="X64" s="3">
        <f t="shared" si="4"/>
        <v>10.54756817</v>
      </c>
      <c r="Y64" s="3">
        <f t="shared" si="5"/>
        <v>10.48633436</v>
      </c>
      <c r="Z64" s="3">
        <f t="shared" ref="Z64:AA64" si="67">_xlfn.NORM.S.DIST(X64)</f>
        <v>1</v>
      </c>
      <c r="AA64" s="3">
        <f t="shared" si="67"/>
        <v>1</v>
      </c>
    </row>
    <row r="65" ht="14.25" customHeight="1">
      <c r="A65" s="3" t="s">
        <v>140</v>
      </c>
      <c r="B65" s="3" t="s">
        <v>141</v>
      </c>
      <c r="C65" s="3" t="s">
        <v>129</v>
      </c>
      <c r="D65" s="3" t="s">
        <v>29</v>
      </c>
      <c r="E65" s="3">
        <v>15.0</v>
      </c>
      <c r="F65" s="3" t="s">
        <v>27</v>
      </c>
      <c r="G65" s="3">
        <v>13.55</v>
      </c>
      <c r="I65" s="3">
        <v>13.65</v>
      </c>
      <c r="K65" s="3">
        <v>0.0</v>
      </c>
      <c r="L65" s="3">
        <v>464.0</v>
      </c>
      <c r="M65" s="3" t="s">
        <v>94</v>
      </c>
      <c r="N65" s="3">
        <v>0.9997</v>
      </c>
      <c r="O65" s="3">
        <v>0.0</v>
      </c>
      <c r="P65" s="3">
        <v>0.1659</v>
      </c>
      <c r="Q65" s="3">
        <v>0.0</v>
      </c>
      <c r="R65" s="3">
        <v>0.2698</v>
      </c>
      <c r="S65" s="3">
        <v>28.6</v>
      </c>
      <c r="T65" s="3">
        <v>12.0</v>
      </c>
      <c r="U65" s="3">
        <f t="shared" si="2"/>
        <v>13.6</v>
      </c>
      <c r="V65" s="3"/>
      <c r="W65" s="3">
        <f t="shared" si="3"/>
        <v>13.60049999</v>
      </c>
      <c r="X65" s="3">
        <f t="shared" si="4"/>
        <v>10.99143849</v>
      </c>
      <c r="Y65" s="3">
        <f t="shared" si="5"/>
        <v>10.9325633</v>
      </c>
      <c r="Z65" s="3">
        <f t="shared" ref="Z65:AA65" si="68">_xlfn.NORM.S.DIST(X65)</f>
        <v>1</v>
      </c>
      <c r="AA65" s="3">
        <f t="shared" si="68"/>
        <v>1</v>
      </c>
    </row>
    <row r="66" ht="14.25" customHeight="1">
      <c r="A66" s="3" t="s">
        <v>140</v>
      </c>
      <c r="B66" s="3" t="s">
        <v>141</v>
      </c>
      <c r="C66" s="3" t="s">
        <v>129</v>
      </c>
      <c r="D66" s="3" t="s">
        <v>29</v>
      </c>
      <c r="E66" s="3">
        <v>15.0</v>
      </c>
      <c r="F66" s="3" t="s">
        <v>27</v>
      </c>
      <c r="G66" s="3">
        <v>13.65</v>
      </c>
      <c r="I66" s="3">
        <v>13.75</v>
      </c>
      <c r="K66" s="3">
        <v>0.0</v>
      </c>
      <c r="L66" s="3">
        <v>464.0</v>
      </c>
      <c r="M66" s="3" t="s">
        <v>95</v>
      </c>
      <c r="N66" s="3">
        <v>1.0</v>
      </c>
      <c r="O66" s="3">
        <v>0.0</v>
      </c>
      <c r="P66" s="3">
        <v>-0.0416</v>
      </c>
      <c r="Q66" s="3">
        <v>0.0</v>
      </c>
      <c r="R66" s="3">
        <v>0.2626</v>
      </c>
      <c r="S66" s="3">
        <v>28.700001</v>
      </c>
      <c r="T66" s="3">
        <v>11.0</v>
      </c>
      <c r="U66" s="3">
        <f t="shared" si="2"/>
        <v>13.7</v>
      </c>
      <c r="V66" s="3"/>
      <c r="W66" s="3">
        <f t="shared" si="3"/>
        <v>13.70045933</v>
      </c>
      <c r="X66" s="3">
        <f t="shared" si="4"/>
        <v>11.85435957</v>
      </c>
      <c r="Y66" s="3">
        <f t="shared" si="5"/>
        <v>11.79949515</v>
      </c>
      <c r="Z66" s="3">
        <f t="shared" ref="Z66:AA66" si="69">_xlfn.NORM.S.DIST(X66)</f>
        <v>1</v>
      </c>
      <c r="AA66" s="3">
        <f t="shared" si="69"/>
        <v>1</v>
      </c>
    </row>
    <row r="67" ht="14.25" customHeight="1">
      <c r="A67" s="3" t="s">
        <v>140</v>
      </c>
      <c r="B67" s="3" t="s">
        <v>141</v>
      </c>
      <c r="C67" s="3" t="s">
        <v>129</v>
      </c>
      <c r="D67" s="3" t="s">
        <v>29</v>
      </c>
      <c r="E67" s="3">
        <v>15.0</v>
      </c>
      <c r="F67" s="3" t="s">
        <v>27</v>
      </c>
      <c r="G67" s="3">
        <v>12.55</v>
      </c>
      <c r="I67" s="3">
        <v>13.65</v>
      </c>
      <c r="K67" s="3">
        <v>0.0</v>
      </c>
      <c r="L67" s="3">
        <v>464.0</v>
      </c>
      <c r="M67" s="3" t="s">
        <v>96</v>
      </c>
      <c r="N67" s="3">
        <v>0.9998</v>
      </c>
      <c r="O67" s="3">
        <v>0.0</v>
      </c>
      <c r="P67" s="3">
        <v>0.1658</v>
      </c>
      <c r="Q67" s="3">
        <v>0.0</v>
      </c>
      <c r="R67" s="3">
        <v>0.3362</v>
      </c>
      <c r="S67" s="3">
        <v>28.59</v>
      </c>
      <c r="T67" s="3">
        <v>10.0</v>
      </c>
      <c r="U67" s="3">
        <f t="shared" si="2"/>
        <v>13.1</v>
      </c>
      <c r="V67" s="3"/>
      <c r="W67" s="3">
        <f t="shared" si="3"/>
        <v>13.59041666</v>
      </c>
      <c r="X67" s="3">
        <f t="shared" si="4"/>
        <v>9.664800742</v>
      </c>
      <c r="Y67" s="3">
        <f t="shared" si="5"/>
        <v>9.597828099</v>
      </c>
      <c r="Z67" s="3">
        <f t="shared" ref="Z67:AA67" si="70">_xlfn.NORM.S.DIST(X67)</f>
        <v>1</v>
      </c>
      <c r="AA67" s="3">
        <f t="shared" si="70"/>
        <v>1</v>
      </c>
    </row>
    <row r="68" ht="14.25" customHeight="1">
      <c r="A68" s="3" t="s">
        <v>140</v>
      </c>
      <c r="B68" s="3" t="s">
        <v>141</v>
      </c>
      <c r="C68" s="3" t="s">
        <v>129</v>
      </c>
      <c r="D68" s="3" t="s">
        <v>29</v>
      </c>
      <c r="E68" s="3">
        <v>15.0</v>
      </c>
      <c r="F68" s="3" t="s">
        <v>27</v>
      </c>
      <c r="G68" s="3">
        <v>14.55</v>
      </c>
      <c r="I68" s="3">
        <v>14.7</v>
      </c>
      <c r="K68" s="3">
        <v>0.0</v>
      </c>
      <c r="L68" s="3">
        <v>464.0</v>
      </c>
      <c r="M68" s="3" t="s">
        <v>97</v>
      </c>
      <c r="N68" s="3">
        <v>1.0</v>
      </c>
      <c r="O68" s="3">
        <v>0.0</v>
      </c>
      <c r="P68" s="3">
        <v>-0.0416</v>
      </c>
      <c r="Q68" s="3">
        <v>0.0</v>
      </c>
      <c r="R68" s="3">
        <v>0.3593</v>
      </c>
      <c r="S68" s="3">
        <v>29.610001</v>
      </c>
      <c r="T68" s="3">
        <v>9.0</v>
      </c>
      <c r="U68" s="3">
        <f t="shared" si="2"/>
        <v>14.625</v>
      </c>
      <c r="V68" s="3"/>
      <c r="W68" s="3">
        <f t="shared" si="3"/>
        <v>14.610376</v>
      </c>
      <c r="X68" s="3">
        <f t="shared" si="4"/>
        <v>10.04976477</v>
      </c>
      <c r="Y68" s="3">
        <f t="shared" si="5"/>
        <v>9.981863453</v>
      </c>
      <c r="Z68" s="3">
        <f t="shared" ref="Z68:AA68" si="71">_xlfn.NORM.S.DIST(X68)</f>
        <v>1</v>
      </c>
      <c r="AA68" s="3">
        <f t="shared" si="71"/>
        <v>1</v>
      </c>
    </row>
    <row r="69" ht="14.25" customHeight="1">
      <c r="A69" s="3" t="s">
        <v>140</v>
      </c>
      <c r="B69" s="3" t="s">
        <v>141</v>
      </c>
      <c r="C69" s="3" t="s">
        <v>129</v>
      </c>
      <c r="D69" s="3" t="s">
        <v>29</v>
      </c>
      <c r="E69" s="3">
        <v>15.0</v>
      </c>
      <c r="F69" s="3" t="s">
        <v>27</v>
      </c>
      <c r="G69" s="3">
        <v>15.2</v>
      </c>
      <c r="I69" s="3">
        <v>15.35</v>
      </c>
      <c r="K69" s="3">
        <v>0.0</v>
      </c>
      <c r="L69" s="3">
        <v>464.0</v>
      </c>
      <c r="M69" s="3" t="s">
        <v>98</v>
      </c>
      <c r="N69" s="3">
        <v>1.0</v>
      </c>
      <c r="O69" s="3">
        <v>0.0</v>
      </c>
      <c r="P69" s="3">
        <v>-0.0416</v>
      </c>
      <c r="Q69" s="3">
        <v>0.0</v>
      </c>
      <c r="R69" s="3">
        <v>0.3453</v>
      </c>
      <c r="S69" s="3">
        <v>30.280001</v>
      </c>
      <c r="T69" s="3">
        <v>8.0</v>
      </c>
      <c r="U69" s="3">
        <f t="shared" si="2"/>
        <v>15.275</v>
      </c>
      <c r="V69" s="3"/>
      <c r="W69" s="3">
        <f t="shared" si="3"/>
        <v>15.28033433</v>
      </c>
      <c r="X69" s="3">
        <f t="shared" si="4"/>
        <v>11.44849727</v>
      </c>
      <c r="Y69" s="3">
        <f t="shared" si="5"/>
        <v>11.38697373</v>
      </c>
      <c r="Z69" s="3">
        <f t="shared" ref="Z69:AA69" si="72">_xlfn.NORM.S.DIST(X69)</f>
        <v>1</v>
      </c>
      <c r="AA69" s="3">
        <f t="shared" si="72"/>
        <v>1</v>
      </c>
    </row>
    <row r="70" ht="14.25" customHeight="1">
      <c r="A70" s="3" t="s">
        <v>140</v>
      </c>
      <c r="B70" s="3" t="s">
        <v>141</v>
      </c>
      <c r="C70" s="3" t="s">
        <v>129</v>
      </c>
      <c r="D70" s="3" t="s">
        <v>29</v>
      </c>
      <c r="E70" s="3">
        <v>15.0</v>
      </c>
      <c r="F70" s="3" t="s">
        <v>27</v>
      </c>
      <c r="G70" s="3">
        <v>13.9</v>
      </c>
      <c r="I70" s="3">
        <v>14.0</v>
      </c>
      <c r="K70" s="3">
        <v>0.0</v>
      </c>
      <c r="L70" s="3">
        <v>464.0</v>
      </c>
      <c r="M70" s="3" t="s">
        <v>99</v>
      </c>
      <c r="N70" s="3">
        <v>1.0</v>
      </c>
      <c r="O70" s="3">
        <v>0.0</v>
      </c>
      <c r="P70" s="3">
        <v>-0.0416</v>
      </c>
      <c r="Q70" s="3">
        <v>0.0</v>
      </c>
      <c r="R70" s="3">
        <v>0.4819</v>
      </c>
      <c r="S70" s="3">
        <v>28.940001</v>
      </c>
      <c r="T70" s="3">
        <v>7.0</v>
      </c>
      <c r="U70" s="3">
        <f t="shared" si="2"/>
        <v>13.95</v>
      </c>
      <c r="V70" s="3"/>
      <c r="W70" s="3">
        <f t="shared" si="3"/>
        <v>13.94029266</v>
      </c>
      <c r="X70" s="3">
        <f t="shared" si="4"/>
        <v>8.222694118</v>
      </c>
      <c r="Y70" s="3">
        <f t="shared" si="5"/>
        <v>8.142377451</v>
      </c>
      <c r="Z70" s="3">
        <f t="shared" ref="Z70:AA70" si="73">_xlfn.NORM.S.DIST(X70)</f>
        <v>1</v>
      </c>
      <c r="AA70" s="3">
        <f t="shared" si="73"/>
        <v>1</v>
      </c>
    </row>
    <row r="71" ht="14.25" customHeight="1">
      <c r="A71" s="3" t="s">
        <v>140</v>
      </c>
      <c r="B71" s="3" t="s">
        <v>141</v>
      </c>
      <c r="C71" s="3" t="s">
        <v>129</v>
      </c>
      <c r="D71" s="3" t="s">
        <v>29</v>
      </c>
      <c r="E71" s="3">
        <v>15.0</v>
      </c>
      <c r="F71" s="3" t="s">
        <v>27</v>
      </c>
      <c r="G71" s="3">
        <v>13.8</v>
      </c>
      <c r="I71" s="3">
        <v>13.85</v>
      </c>
      <c r="K71" s="3">
        <v>0.0</v>
      </c>
      <c r="L71" s="3">
        <v>464.0</v>
      </c>
      <c r="M71" s="3" t="s">
        <v>100</v>
      </c>
      <c r="N71" s="3">
        <v>1.0</v>
      </c>
      <c r="O71" s="3">
        <v>0.0</v>
      </c>
      <c r="P71" s="3">
        <v>-0.0416</v>
      </c>
      <c r="Q71" s="3">
        <v>0.0</v>
      </c>
      <c r="R71" s="3">
        <v>0.4631</v>
      </c>
      <c r="S71" s="3">
        <v>28.790001</v>
      </c>
      <c r="T71" s="3">
        <v>6.0</v>
      </c>
      <c r="U71" s="3">
        <f t="shared" si="2"/>
        <v>13.825</v>
      </c>
      <c r="V71" s="3"/>
      <c r="W71" s="3">
        <f t="shared" si="3"/>
        <v>13.790251</v>
      </c>
      <c r="X71" s="3">
        <f t="shared" si="4"/>
        <v>9.159909401</v>
      </c>
      <c r="Y71" s="3">
        <f t="shared" si="5"/>
        <v>9.08845152</v>
      </c>
      <c r="Z71" s="3">
        <f t="shared" ref="Z71:AA71" si="74">_xlfn.NORM.S.DIST(X71)</f>
        <v>1</v>
      </c>
      <c r="AA71" s="3">
        <f t="shared" si="74"/>
        <v>1</v>
      </c>
    </row>
    <row r="72" ht="14.25" customHeight="1">
      <c r="A72" s="3" t="s">
        <v>140</v>
      </c>
      <c r="B72" s="3" t="s">
        <v>141</v>
      </c>
      <c r="C72" s="3" t="s">
        <v>129</v>
      </c>
      <c r="D72" s="3" t="s">
        <v>29</v>
      </c>
      <c r="E72" s="3">
        <v>15.0</v>
      </c>
      <c r="F72" s="3" t="s">
        <v>27</v>
      </c>
      <c r="G72" s="3">
        <v>13.35</v>
      </c>
      <c r="I72" s="3">
        <v>14.15</v>
      </c>
      <c r="K72" s="3">
        <v>0.0</v>
      </c>
      <c r="L72" s="3">
        <v>464.0</v>
      </c>
      <c r="M72" s="3" t="s">
        <v>101</v>
      </c>
      <c r="N72" s="3">
        <v>1.0</v>
      </c>
      <c r="O72" s="3">
        <v>0.0</v>
      </c>
      <c r="P72" s="3">
        <v>-0.0416</v>
      </c>
      <c r="Q72" s="3">
        <v>0.0</v>
      </c>
      <c r="R72" s="3">
        <v>0.5837</v>
      </c>
      <c r="S72" s="3">
        <v>28.690001</v>
      </c>
      <c r="T72" s="3">
        <v>5.0</v>
      </c>
      <c r="U72" s="3">
        <f t="shared" si="2"/>
        <v>13.75</v>
      </c>
      <c r="V72" s="3"/>
      <c r="W72" s="3">
        <f t="shared" si="3"/>
        <v>13.69020933</v>
      </c>
      <c r="X72" s="3">
        <f t="shared" si="4"/>
        <v>7.92869063</v>
      </c>
      <c r="Y72" s="3">
        <f t="shared" si="5"/>
        <v>7.846471207</v>
      </c>
      <c r="Z72" s="3">
        <f t="shared" ref="Z72:AA72" si="75">_xlfn.NORM.S.DIST(X72)</f>
        <v>1</v>
      </c>
      <c r="AA72" s="3">
        <f t="shared" si="75"/>
        <v>1</v>
      </c>
    </row>
    <row r="73" ht="14.25" customHeight="1">
      <c r="A73" s="3" t="s">
        <v>140</v>
      </c>
      <c r="B73" s="3" t="s">
        <v>141</v>
      </c>
      <c r="C73" s="3" t="s">
        <v>129</v>
      </c>
      <c r="D73" s="3" t="s">
        <v>29</v>
      </c>
      <c r="E73" s="3">
        <v>15.0</v>
      </c>
      <c r="F73" s="3" t="s">
        <v>27</v>
      </c>
      <c r="G73" s="3">
        <v>13.9</v>
      </c>
      <c r="I73" s="3">
        <v>14.0</v>
      </c>
      <c r="K73" s="3">
        <v>0.0</v>
      </c>
      <c r="L73" s="3">
        <v>464.0</v>
      </c>
      <c r="M73" s="3" t="s">
        <v>102</v>
      </c>
      <c r="N73" s="3">
        <v>1.0</v>
      </c>
      <c r="O73" s="3">
        <v>0.0</v>
      </c>
      <c r="P73" s="3">
        <v>-0.0416</v>
      </c>
      <c r="Q73" s="3">
        <v>0.0</v>
      </c>
      <c r="R73" s="3">
        <v>0.5261</v>
      </c>
      <c r="S73" s="3">
        <v>28.969999</v>
      </c>
      <c r="T73" s="3">
        <v>4.0</v>
      </c>
      <c r="U73" s="3">
        <f t="shared" si="2"/>
        <v>13.95</v>
      </c>
      <c r="V73" s="3"/>
      <c r="W73" s="3">
        <f t="shared" si="3"/>
        <v>13.97016567</v>
      </c>
      <c r="X73" s="3">
        <f t="shared" si="4"/>
        <v>9.963710803</v>
      </c>
      <c r="Y73" s="3">
        <f t="shared" si="5"/>
        <v>9.897428433</v>
      </c>
      <c r="Z73" s="3">
        <f t="shared" ref="Z73:AA73" si="76">_xlfn.NORM.S.DIST(X73)</f>
        <v>1</v>
      </c>
      <c r="AA73" s="3">
        <f t="shared" si="76"/>
        <v>1</v>
      </c>
    </row>
    <row r="74" ht="14.25" customHeight="1">
      <c r="A74" s="3" t="s">
        <v>140</v>
      </c>
      <c r="B74" s="3" t="s">
        <v>141</v>
      </c>
      <c r="C74" s="3" t="s">
        <v>129</v>
      </c>
      <c r="D74" s="3" t="s">
        <v>29</v>
      </c>
      <c r="E74" s="3">
        <v>15.0</v>
      </c>
      <c r="F74" s="3" t="s">
        <v>27</v>
      </c>
      <c r="G74" s="3">
        <v>13.65</v>
      </c>
      <c r="I74" s="3">
        <v>14.25</v>
      </c>
      <c r="K74" s="3">
        <v>0.0</v>
      </c>
      <c r="L74" s="3">
        <v>464.0</v>
      </c>
      <c r="M74" s="3" t="s">
        <v>103</v>
      </c>
      <c r="N74" s="3">
        <v>1.0</v>
      </c>
      <c r="O74" s="3">
        <v>0.0</v>
      </c>
      <c r="P74" s="3">
        <v>-0.0416</v>
      </c>
      <c r="Q74" s="3">
        <v>0.0</v>
      </c>
      <c r="R74" s="3">
        <v>0.7308</v>
      </c>
      <c r="S74" s="3">
        <v>28.83</v>
      </c>
      <c r="T74" s="3">
        <v>3.0</v>
      </c>
      <c r="U74" s="3">
        <f t="shared" si="2"/>
        <v>13.95</v>
      </c>
      <c r="V74" s="3"/>
      <c r="W74" s="3">
        <f t="shared" si="3"/>
        <v>13.830125</v>
      </c>
      <c r="X74" s="3">
        <f t="shared" si="4"/>
        <v>8.234008427</v>
      </c>
      <c r="Y74" s="3">
        <f t="shared" si="5"/>
        <v>8.15427161</v>
      </c>
      <c r="Z74" s="3">
        <f t="shared" ref="Z74:AA74" si="77">_xlfn.NORM.S.DIST(X74)</f>
        <v>1</v>
      </c>
      <c r="AA74" s="3">
        <f t="shared" si="77"/>
        <v>1</v>
      </c>
    </row>
    <row r="75" ht="14.25" customHeight="1">
      <c r="A75" s="3" t="s">
        <v>140</v>
      </c>
      <c r="B75" s="3" t="s">
        <v>141</v>
      </c>
      <c r="C75" s="3" t="s">
        <v>129</v>
      </c>
      <c r="D75" s="3" t="s">
        <v>29</v>
      </c>
      <c r="E75" s="3">
        <v>15.0</v>
      </c>
      <c r="F75" s="3" t="s">
        <v>27</v>
      </c>
      <c r="G75" s="3">
        <v>11.6</v>
      </c>
      <c r="I75" s="3">
        <v>15.25</v>
      </c>
      <c r="K75" s="3">
        <v>0.0</v>
      </c>
      <c r="L75" s="3">
        <v>464.0</v>
      </c>
      <c r="M75" s="3" t="s">
        <v>104</v>
      </c>
      <c r="N75" s="3">
        <v>1.0</v>
      </c>
      <c r="O75" s="3">
        <v>0.0</v>
      </c>
      <c r="P75" s="3">
        <v>-0.0416</v>
      </c>
      <c r="Q75" s="3">
        <v>0.0</v>
      </c>
      <c r="R75" s="3">
        <v>0.9179</v>
      </c>
      <c r="S75" s="3">
        <v>28.790001</v>
      </c>
      <c r="T75" s="3">
        <v>2.0</v>
      </c>
      <c r="U75" s="3">
        <f t="shared" si="2"/>
        <v>13.425</v>
      </c>
      <c r="V75" s="3"/>
      <c r="W75" s="3">
        <f t="shared" si="3"/>
        <v>13.79008433</v>
      </c>
      <c r="X75" s="3">
        <f t="shared" si="4"/>
        <v>8.013973526</v>
      </c>
      <c r="Y75" s="3">
        <f t="shared" si="5"/>
        <v>7.932200495</v>
      </c>
      <c r="Z75" s="3">
        <f t="shared" ref="Z75:AA75" si="78">_xlfn.NORM.S.DIST(X75)</f>
        <v>1</v>
      </c>
      <c r="AA75" s="3">
        <f t="shared" si="78"/>
        <v>1</v>
      </c>
    </row>
    <row r="76" ht="14.25" customHeight="1">
      <c r="A76" s="3" t="s">
        <v>140</v>
      </c>
      <c r="B76" s="3" t="s">
        <v>141</v>
      </c>
      <c r="C76" s="3" t="s">
        <v>129</v>
      </c>
      <c r="D76" s="3" t="s">
        <v>29</v>
      </c>
      <c r="E76" s="3">
        <v>15.0</v>
      </c>
      <c r="F76" s="3" t="s">
        <v>27</v>
      </c>
      <c r="G76" s="3">
        <v>14.7</v>
      </c>
      <c r="I76" s="3">
        <v>14.85</v>
      </c>
      <c r="K76" s="3">
        <v>4.0</v>
      </c>
      <c r="L76" s="3">
        <v>464.0</v>
      </c>
      <c r="M76" s="3" t="s">
        <v>105</v>
      </c>
      <c r="N76" s="3">
        <v>1.0</v>
      </c>
      <c r="O76" s="3">
        <v>0.0</v>
      </c>
      <c r="P76" s="3">
        <v>-0.0416</v>
      </c>
      <c r="Q76" s="3">
        <v>0.0</v>
      </c>
      <c r="R76" s="3">
        <v>0.252</v>
      </c>
      <c r="S76" s="3">
        <v>29.77</v>
      </c>
      <c r="T76" s="3">
        <v>1.0</v>
      </c>
      <c r="U76" s="3">
        <f t="shared" si="2"/>
        <v>14.775</v>
      </c>
      <c r="V76" s="3"/>
      <c r="W76" s="3">
        <f t="shared" si="3"/>
        <v>14.77004167</v>
      </c>
      <c r="X76" s="3">
        <f t="shared" si="4"/>
        <v>43.18746493</v>
      </c>
      <c r="Y76" s="3">
        <f t="shared" si="5"/>
        <v>43.17159042</v>
      </c>
      <c r="Z76" s="3">
        <f t="shared" ref="Z76:AA76" si="79">_xlfn.NORM.S.DIST(X76)</f>
        <v>1</v>
      </c>
      <c r="AA76" s="3">
        <f t="shared" si="79"/>
        <v>1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142</v>
      </c>
      <c r="B2" s="3" t="s">
        <v>143</v>
      </c>
      <c r="C2" s="3" t="s">
        <v>132</v>
      </c>
      <c r="D2" s="3" t="s">
        <v>29</v>
      </c>
      <c r="E2" s="3">
        <v>45.0</v>
      </c>
      <c r="F2" s="3" t="s">
        <v>27</v>
      </c>
      <c r="G2" s="3">
        <v>45.85</v>
      </c>
      <c r="I2" s="3">
        <v>50.0</v>
      </c>
      <c r="K2" s="3">
        <v>0.0</v>
      </c>
      <c r="L2" s="3">
        <v>0.0</v>
      </c>
      <c r="M2" s="3" t="s">
        <v>30</v>
      </c>
      <c r="N2" s="3">
        <v>1.0</v>
      </c>
      <c r="O2" s="3">
        <v>0.0</v>
      </c>
      <c r="P2" s="3">
        <v>-0.1362</v>
      </c>
      <c r="Q2" s="3">
        <v>0.0</v>
      </c>
      <c r="R2" s="3">
        <v>0.1854</v>
      </c>
      <c r="S2" s="3">
        <v>93.199997</v>
      </c>
      <c r="T2" s="3">
        <v>51.0</v>
      </c>
      <c r="U2" s="3">
        <f t="shared" ref="U2:U52" si="2">(I2+G2)*0.5</f>
        <v>47.925</v>
      </c>
      <c r="V2" s="3"/>
      <c r="W2" s="3">
        <f t="shared" ref="W2:W52" si="3">( S2*Z2 ) - ( E2 * EXP(-0.0007*T2/$AC$2) * AA2)</f>
        <v>48.20637155</v>
      </c>
      <c r="X2" s="3">
        <f t="shared" ref="X2:X52" si="4">((LN(S2/E2) + (0.0007 + (R2^2)/2) * T2/$AC$2)) / (R2 * SQRT(T2/$AC$2))</f>
        <v>8.772866817</v>
      </c>
      <c r="Y2" s="3">
        <f t="shared" ref="Y2:Y52" si="5">X2-(R2*SQRT(T2/$AC$2))</f>
        <v>8.689461345</v>
      </c>
      <c r="Z2" s="3">
        <f t="shared" ref="Z2:AA2" si="1">_xlfn.NORM.S.DIST(X2)</f>
        <v>1</v>
      </c>
      <c r="AA2" s="3">
        <f t="shared" si="1"/>
        <v>1</v>
      </c>
      <c r="AC2" s="6">
        <v>252.0</v>
      </c>
    </row>
    <row r="3" ht="14.25" customHeight="1">
      <c r="A3" s="3" t="s">
        <v>142</v>
      </c>
      <c r="B3" s="3" t="s">
        <v>143</v>
      </c>
      <c r="C3" s="3" t="s">
        <v>132</v>
      </c>
      <c r="D3" s="3" t="s">
        <v>29</v>
      </c>
      <c r="E3" s="3">
        <v>45.0</v>
      </c>
      <c r="F3" s="3" t="s">
        <v>27</v>
      </c>
      <c r="G3" s="3">
        <v>46.8</v>
      </c>
      <c r="I3" s="3">
        <v>50.9</v>
      </c>
      <c r="K3" s="3">
        <v>0.0</v>
      </c>
      <c r="L3" s="3">
        <v>0.0</v>
      </c>
      <c r="M3" s="3" t="s">
        <v>31</v>
      </c>
      <c r="N3" s="3">
        <v>1.0</v>
      </c>
      <c r="O3" s="3">
        <v>0.0</v>
      </c>
      <c r="P3" s="3">
        <v>-0.1362</v>
      </c>
      <c r="Q3" s="3">
        <v>0.0</v>
      </c>
      <c r="R3" s="3">
        <v>0.2282</v>
      </c>
      <c r="S3" s="3">
        <v>93.620003</v>
      </c>
      <c r="T3" s="3">
        <v>50.0</v>
      </c>
      <c r="U3" s="3">
        <f t="shared" si="2"/>
        <v>48.85</v>
      </c>
      <c r="V3" s="3"/>
      <c r="W3" s="3">
        <f t="shared" si="3"/>
        <v>48.62625257</v>
      </c>
      <c r="X3" s="3">
        <f t="shared" si="4"/>
        <v>7.259208793</v>
      </c>
      <c r="Y3" s="3">
        <f t="shared" si="5"/>
        <v>7.157560434</v>
      </c>
      <c r="Z3" s="3">
        <f t="shared" ref="Z3:AA3" si="6">_xlfn.NORM.S.DIST(X3)</f>
        <v>1</v>
      </c>
      <c r="AA3" s="3">
        <f t="shared" si="6"/>
        <v>1</v>
      </c>
    </row>
    <row r="4" ht="14.25" customHeight="1">
      <c r="A4" s="3" t="s">
        <v>142</v>
      </c>
      <c r="B4" s="3" t="s">
        <v>143</v>
      </c>
      <c r="C4" s="3" t="s">
        <v>132</v>
      </c>
      <c r="D4" s="3" t="s">
        <v>29</v>
      </c>
      <c r="E4" s="3">
        <v>45.0</v>
      </c>
      <c r="F4" s="3" t="s">
        <v>27</v>
      </c>
      <c r="G4" s="3">
        <v>47.25</v>
      </c>
      <c r="I4" s="3">
        <v>50.75</v>
      </c>
      <c r="K4" s="3">
        <v>0.0</v>
      </c>
      <c r="L4" s="3">
        <v>0.0</v>
      </c>
      <c r="M4" s="3" t="s">
        <v>32</v>
      </c>
      <c r="N4" s="3">
        <v>0.9997</v>
      </c>
      <c r="O4" s="3">
        <v>0.0</v>
      </c>
      <c r="P4" s="3">
        <v>0.0108</v>
      </c>
      <c r="Q4" s="3">
        <v>0.0</v>
      </c>
      <c r="R4" s="3">
        <v>0.1999</v>
      </c>
      <c r="S4" s="3">
        <v>93.849998</v>
      </c>
      <c r="T4" s="3">
        <v>49.0</v>
      </c>
      <c r="U4" s="3">
        <f t="shared" si="2"/>
        <v>49</v>
      </c>
      <c r="V4" s="3"/>
      <c r="W4" s="3">
        <f t="shared" si="3"/>
        <v>48.85612258</v>
      </c>
      <c r="X4" s="3">
        <f t="shared" si="4"/>
        <v>8.384303627</v>
      </c>
      <c r="Y4" s="3">
        <f t="shared" si="5"/>
        <v>8.296156012</v>
      </c>
      <c r="Z4" s="3">
        <f t="shared" ref="Z4:AA4" si="7">_xlfn.NORM.S.DIST(X4)</f>
        <v>1</v>
      </c>
      <c r="AA4" s="3">
        <f t="shared" si="7"/>
        <v>1</v>
      </c>
    </row>
    <row r="5" ht="14.25" customHeight="1">
      <c r="A5" s="3" t="s">
        <v>142</v>
      </c>
      <c r="B5" s="3" t="s">
        <v>143</v>
      </c>
      <c r="C5" s="3" t="s">
        <v>132</v>
      </c>
      <c r="D5" s="3" t="s">
        <v>29</v>
      </c>
      <c r="E5" s="3">
        <v>45.0</v>
      </c>
      <c r="F5" s="3" t="s">
        <v>27</v>
      </c>
      <c r="G5" s="3">
        <v>46.75</v>
      </c>
      <c r="I5" s="3">
        <v>50.5</v>
      </c>
      <c r="K5" s="3">
        <v>0.0</v>
      </c>
      <c r="L5" s="3">
        <v>0.0</v>
      </c>
      <c r="M5" s="3" t="s">
        <v>33</v>
      </c>
      <c r="N5" s="3">
        <v>0.9997</v>
      </c>
      <c r="O5" s="3">
        <v>0.0</v>
      </c>
      <c r="P5" s="3">
        <v>0.0102</v>
      </c>
      <c r="Q5" s="3">
        <v>0.0</v>
      </c>
      <c r="R5" s="3">
        <v>0.2156</v>
      </c>
      <c r="S5" s="3">
        <v>93.449997</v>
      </c>
      <c r="T5" s="3">
        <v>48.0</v>
      </c>
      <c r="U5" s="3">
        <f t="shared" si="2"/>
        <v>48.625</v>
      </c>
      <c r="V5" s="3"/>
      <c r="W5" s="3">
        <f t="shared" si="3"/>
        <v>48.4559966</v>
      </c>
      <c r="X5" s="3">
        <f t="shared" si="4"/>
        <v>7.814655408</v>
      </c>
      <c r="Y5" s="3">
        <f t="shared" si="5"/>
        <v>7.720559854</v>
      </c>
      <c r="Z5" s="3">
        <f t="shared" ref="Z5:AA5" si="8">_xlfn.NORM.S.DIST(X5)</f>
        <v>1</v>
      </c>
      <c r="AA5" s="3">
        <f t="shared" si="8"/>
        <v>1</v>
      </c>
    </row>
    <row r="6" ht="14.25" customHeight="1">
      <c r="A6" s="3" t="s">
        <v>142</v>
      </c>
      <c r="B6" s="3" t="s">
        <v>143</v>
      </c>
      <c r="C6" s="3" t="s">
        <v>132</v>
      </c>
      <c r="D6" s="3" t="s">
        <v>29</v>
      </c>
      <c r="E6" s="3">
        <v>45.0</v>
      </c>
      <c r="F6" s="3" t="s">
        <v>27</v>
      </c>
      <c r="G6" s="3">
        <v>46.6</v>
      </c>
      <c r="I6" s="3">
        <v>50.5</v>
      </c>
      <c r="K6" s="3">
        <v>0.0</v>
      </c>
      <c r="L6" s="3">
        <v>0.0</v>
      </c>
      <c r="M6" s="3" t="s">
        <v>34</v>
      </c>
      <c r="N6" s="3">
        <v>1.0</v>
      </c>
      <c r="O6" s="3">
        <v>0.0</v>
      </c>
      <c r="P6" s="3">
        <v>-0.1362</v>
      </c>
      <c r="Q6" s="3">
        <v>0.0</v>
      </c>
      <c r="R6" s="3">
        <v>0.2</v>
      </c>
      <c r="S6" s="3">
        <v>93.809998</v>
      </c>
      <c r="T6" s="3">
        <v>47.0</v>
      </c>
      <c r="U6" s="3">
        <f t="shared" si="2"/>
        <v>48.55</v>
      </c>
      <c r="V6" s="3"/>
      <c r="W6" s="3">
        <f t="shared" si="3"/>
        <v>48.81587262</v>
      </c>
      <c r="X6" s="3">
        <f t="shared" si="4"/>
        <v>8.549761593</v>
      </c>
      <c r="Y6" s="3">
        <f t="shared" si="5"/>
        <v>8.463388464</v>
      </c>
      <c r="Z6" s="3">
        <f t="shared" ref="Z6:AA6" si="9">_xlfn.NORM.S.DIST(X6)</f>
        <v>1</v>
      </c>
      <c r="AA6" s="3">
        <f t="shared" si="9"/>
        <v>1</v>
      </c>
    </row>
    <row r="7" ht="14.25" customHeight="1">
      <c r="A7" s="3" t="s">
        <v>142</v>
      </c>
      <c r="B7" s="3" t="s">
        <v>143</v>
      </c>
      <c r="C7" s="3" t="s">
        <v>132</v>
      </c>
      <c r="D7" s="3" t="s">
        <v>29</v>
      </c>
      <c r="E7" s="3">
        <v>45.0</v>
      </c>
      <c r="F7" s="3" t="s">
        <v>27</v>
      </c>
      <c r="G7" s="3">
        <v>46.6</v>
      </c>
      <c r="I7" s="3">
        <v>49.9</v>
      </c>
      <c r="K7" s="3">
        <v>0.0</v>
      </c>
      <c r="L7" s="3">
        <v>0.0</v>
      </c>
      <c r="M7" s="3" t="s">
        <v>35</v>
      </c>
      <c r="N7" s="3">
        <v>0.9996</v>
      </c>
      <c r="O7" s="3">
        <v>0.0</v>
      </c>
      <c r="P7" s="3">
        <v>0.0485</v>
      </c>
      <c r="Q7" s="3">
        <v>0.0</v>
      </c>
      <c r="R7" s="3">
        <v>0.1807</v>
      </c>
      <c r="S7" s="3">
        <v>93.32</v>
      </c>
      <c r="T7" s="3">
        <v>46.0</v>
      </c>
      <c r="U7" s="3">
        <f t="shared" si="2"/>
        <v>48.25</v>
      </c>
      <c r="V7" s="3"/>
      <c r="W7" s="3">
        <f t="shared" si="3"/>
        <v>48.32574963</v>
      </c>
      <c r="X7" s="3">
        <f t="shared" si="4"/>
        <v>9.487655942</v>
      </c>
      <c r="Y7" s="3">
        <f t="shared" si="5"/>
        <v>9.410452476</v>
      </c>
      <c r="Z7" s="3">
        <f t="shared" ref="Z7:AA7" si="10">_xlfn.NORM.S.DIST(X7)</f>
        <v>1</v>
      </c>
      <c r="AA7" s="3">
        <f t="shared" si="10"/>
        <v>1</v>
      </c>
    </row>
    <row r="8" ht="14.25" customHeight="1">
      <c r="A8" s="3" t="s">
        <v>142</v>
      </c>
      <c r="B8" s="3" t="s">
        <v>143</v>
      </c>
      <c r="C8" s="3" t="s">
        <v>132</v>
      </c>
      <c r="D8" s="3" t="s">
        <v>29</v>
      </c>
      <c r="E8" s="3">
        <v>45.0</v>
      </c>
      <c r="F8" s="3" t="s">
        <v>27</v>
      </c>
      <c r="G8" s="3">
        <v>47.3</v>
      </c>
      <c r="I8" s="3">
        <v>51.05</v>
      </c>
      <c r="K8" s="3">
        <v>0.0</v>
      </c>
      <c r="L8" s="3">
        <v>0.0</v>
      </c>
      <c r="M8" s="3" t="s">
        <v>36</v>
      </c>
      <c r="N8" s="3">
        <v>0.9997</v>
      </c>
      <c r="O8" s="3">
        <v>0.0</v>
      </c>
      <c r="P8" s="3">
        <v>0.0511</v>
      </c>
      <c r="Q8" s="3">
        <v>0.0</v>
      </c>
      <c r="R8" s="3">
        <v>0.1928</v>
      </c>
      <c r="S8" s="3">
        <v>94.650002</v>
      </c>
      <c r="T8" s="3">
        <v>45.0</v>
      </c>
      <c r="U8" s="3">
        <f t="shared" si="2"/>
        <v>49.175</v>
      </c>
      <c r="V8" s="3"/>
      <c r="W8" s="3">
        <f t="shared" si="3"/>
        <v>49.65562665</v>
      </c>
      <c r="X8" s="3">
        <f t="shared" si="4"/>
        <v>9.168295187</v>
      </c>
      <c r="Y8" s="3">
        <f t="shared" si="5"/>
        <v>9.086822317</v>
      </c>
      <c r="Z8" s="3">
        <f t="shared" ref="Z8:AA8" si="11">_xlfn.NORM.S.DIST(X8)</f>
        <v>1</v>
      </c>
      <c r="AA8" s="3">
        <f t="shared" si="11"/>
        <v>1</v>
      </c>
    </row>
    <row r="9" ht="14.25" customHeight="1">
      <c r="A9" s="3" t="s">
        <v>142</v>
      </c>
      <c r="B9" s="3" t="s">
        <v>143</v>
      </c>
      <c r="C9" s="3" t="s">
        <v>132</v>
      </c>
      <c r="D9" s="3" t="s">
        <v>29</v>
      </c>
      <c r="E9" s="3">
        <v>45.0</v>
      </c>
      <c r="F9" s="3" t="s">
        <v>27</v>
      </c>
      <c r="G9" s="3">
        <v>47.9</v>
      </c>
      <c r="I9" s="3">
        <v>51.25</v>
      </c>
      <c r="K9" s="3">
        <v>0.0</v>
      </c>
      <c r="L9" s="3">
        <v>0.0</v>
      </c>
      <c r="M9" s="3" t="s">
        <v>37</v>
      </c>
      <c r="N9" s="3">
        <v>0.9993</v>
      </c>
      <c r="O9" s="3">
        <v>0.0</v>
      </c>
      <c r="P9" s="3">
        <v>0.2373</v>
      </c>
      <c r="Q9" s="3">
        <v>0.0</v>
      </c>
      <c r="R9" s="3">
        <v>0.2284</v>
      </c>
      <c r="S9" s="3">
        <v>94.389999</v>
      </c>
      <c r="T9" s="3">
        <v>44.0</v>
      </c>
      <c r="U9" s="3">
        <f t="shared" si="2"/>
        <v>49.575</v>
      </c>
      <c r="V9" s="3"/>
      <c r="W9" s="3">
        <f t="shared" si="3"/>
        <v>49.39549866</v>
      </c>
      <c r="X9" s="3">
        <f t="shared" si="4"/>
        <v>7.810805368</v>
      </c>
      <c r="Y9" s="3">
        <f t="shared" si="5"/>
        <v>7.715367184</v>
      </c>
      <c r="Z9" s="3">
        <f t="shared" ref="Z9:AA9" si="12">_xlfn.NORM.S.DIST(X9)</f>
        <v>1</v>
      </c>
      <c r="AA9" s="3">
        <f t="shared" si="12"/>
        <v>1</v>
      </c>
    </row>
    <row r="10" ht="14.25" customHeight="1">
      <c r="A10" s="3" t="s">
        <v>142</v>
      </c>
      <c r="B10" s="3" t="s">
        <v>143</v>
      </c>
      <c r="C10" s="3" t="s">
        <v>132</v>
      </c>
      <c r="D10" s="3" t="s">
        <v>29</v>
      </c>
      <c r="E10" s="3">
        <v>45.0</v>
      </c>
      <c r="F10" s="3" t="s">
        <v>27</v>
      </c>
      <c r="G10" s="3">
        <v>48.0</v>
      </c>
      <c r="I10" s="3">
        <v>51.55</v>
      </c>
      <c r="K10" s="3">
        <v>0.0</v>
      </c>
      <c r="L10" s="3">
        <v>0.0</v>
      </c>
      <c r="M10" s="3" t="s">
        <v>38</v>
      </c>
      <c r="N10" s="3">
        <v>0.9997</v>
      </c>
      <c r="O10" s="3">
        <v>0.0</v>
      </c>
      <c r="P10" s="3">
        <v>0.0336</v>
      </c>
      <c r="Q10" s="3">
        <v>0.0</v>
      </c>
      <c r="R10" s="3">
        <v>0.1931</v>
      </c>
      <c r="S10" s="3">
        <v>95.360001</v>
      </c>
      <c r="T10" s="3">
        <v>43.0</v>
      </c>
      <c r="U10" s="3">
        <f t="shared" si="2"/>
        <v>49.775</v>
      </c>
      <c r="V10" s="3"/>
      <c r="W10" s="3">
        <f t="shared" si="3"/>
        <v>50.36537568</v>
      </c>
      <c r="X10" s="3">
        <f t="shared" si="4"/>
        <v>9.456412532</v>
      </c>
      <c r="Y10" s="3">
        <f t="shared" si="5"/>
        <v>9.376646823</v>
      </c>
      <c r="Z10" s="3">
        <f t="shared" ref="Z10:AA10" si="13">_xlfn.NORM.S.DIST(X10)</f>
        <v>1</v>
      </c>
      <c r="AA10" s="3">
        <f t="shared" si="13"/>
        <v>1</v>
      </c>
    </row>
    <row r="11" ht="14.25" customHeight="1">
      <c r="A11" s="3" t="s">
        <v>142</v>
      </c>
      <c r="B11" s="3" t="s">
        <v>143</v>
      </c>
      <c r="C11" s="3" t="s">
        <v>132</v>
      </c>
      <c r="D11" s="3" t="s">
        <v>29</v>
      </c>
      <c r="E11" s="3">
        <v>45.0</v>
      </c>
      <c r="F11" s="3" t="s">
        <v>27</v>
      </c>
      <c r="G11" s="3">
        <v>48.85</v>
      </c>
      <c r="I11" s="3">
        <v>52.15</v>
      </c>
      <c r="K11" s="3">
        <v>0.0</v>
      </c>
      <c r="L11" s="3">
        <v>0.0</v>
      </c>
      <c r="M11" s="3" t="s">
        <v>39</v>
      </c>
      <c r="N11" s="3">
        <v>1.0</v>
      </c>
      <c r="O11" s="3">
        <v>0.0</v>
      </c>
      <c r="P11" s="3">
        <v>-0.1362</v>
      </c>
      <c r="Q11" s="3">
        <v>0.0</v>
      </c>
      <c r="R11" s="3">
        <v>0.2043</v>
      </c>
      <c r="S11" s="3">
        <v>95.360001</v>
      </c>
      <c r="T11" s="3">
        <v>42.0</v>
      </c>
      <c r="U11" s="3">
        <f t="shared" si="2"/>
        <v>50.5</v>
      </c>
      <c r="V11" s="3"/>
      <c r="W11" s="3">
        <f t="shared" si="3"/>
        <v>50.36525069</v>
      </c>
      <c r="X11" s="3">
        <f t="shared" si="4"/>
        <v>9.047304845</v>
      </c>
      <c r="Y11" s="3">
        <f t="shared" si="5"/>
        <v>8.963899719</v>
      </c>
      <c r="Z11" s="3">
        <f t="shared" ref="Z11:AA11" si="14">_xlfn.NORM.S.DIST(X11)</f>
        <v>1</v>
      </c>
      <c r="AA11" s="3">
        <f t="shared" si="14"/>
        <v>1</v>
      </c>
    </row>
    <row r="12" ht="14.25" customHeight="1">
      <c r="A12" s="3" t="s">
        <v>142</v>
      </c>
      <c r="B12" s="3" t="s">
        <v>143</v>
      </c>
      <c r="C12" s="3" t="s">
        <v>132</v>
      </c>
      <c r="D12" s="3" t="s">
        <v>29</v>
      </c>
      <c r="E12" s="3">
        <v>45.0</v>
      </c>
      <c r="F12" s="3" t="s">
        <v>27</v>
      </c>
      <c r="G12" s="3">
        <v>48.5</v>
      </c>
      <c r="I12" s="3">
        <v>51.8</v>
      </c>
      <c r="K12" s="3">
        <v>0.0</v>
      </c>
      <c r="L12" s="3">
        <v>0.0</v>
      </c>
      <c r="M12" s="3" t="s">
        <v>40</v>
      </c>
      <c r="N12" s="3">
        <v>1.0</v>
      </c>
      <c r="O12" s="3">
        <v>0.0</v>
      </c>
      <c r="P12" s="3">
        <v>-0.1362</v>
      </c>
      <c r="Q12" s="3">
        <v>0.0</v>
      </c>
      <c r="R12" s="3">
        <v>0.1822</v>
      </c>
      <c r="S12" s="3">
        <v>95.029999</v>
      </c>
      <c r="T12" s="3">
        <v>41.0</v>
      </c>
      <c r="U12" s="3">
        <f t="shared" si="2"/>
        <v>50.15</v>
      </c>
      <c r="V12" s="3"/>
      <c r="W12" s="3">
        <f t="shared" si="3"/>
        <v>50.03512371</v>
      </c>
      <c r="X12" s="3">
        <f t="shared" si="4"/>
        <v>10.2098816</v>
      </c>
      <c r="Y12" s="3">
        <f t="shared" si="5"/>
        <v>10.1363896</v>
      </c>
      <c r="Z12" s="3">
        <f t="shared" ref="Z12:AA12" si="15">_xlfn.NORM.S.DIST(X12)</f>
        <v>1</v>
      </c>
      <c r="AA12" s="3">
        <f t="shared" si="15"/>
        <v>1</v>
      </c>
    </row>
    <row r="13" ht="14.25" customHeight="1">
      <c r="A13" s="3" t="s">
        <v>142</v>
      </c>
      <c r="B13" s="3" t="s">
        <v>143</v>
      </c>
      <c r="C13" s="3" t="s">
        <v>132</v>
      </c>
      <c r="D13" s="3" t="s">
        <v>29</v>
      </c>
      <c r="E13" s="3">
        <v>45.0</v>
      </c>
      <c r="F13" s="3" t="s">
        <v>27</v>
      </c>
      <c r="G13" s="3">
        <v>48.7</v>
      </c>
      <c r="I13" s="3">
        <v>51.9</v>
      </c>
      <c r="K13" s="3">
        <v>0.0</v>
      </c>
      <c r="L13" s="3">
        <v>0.0</v>
      </c>
      <c r="M13" s="3" t="s">
        <v>41</v>
      </c>
      <c r="N13" s="3">
        <v>1.0</v>
      </c>
      <c r="O13" s="3">
        <v>0.0</v>
      </c>
      <c r="P13" s="3">
        <v>-0.1362</v>
      </c>
      <c r="Q13" s="3">
        <v>0.0</v>
      </c>
      <c r="R13" s="3">
        <v>0.2015</v>
      </c>
      <c r="S13" s="3">
        <v>95.300003</v>
      </c>
      <c r="T13" s="3">
        <v>40.0</v>
      </c>
      <c r="U13" s="3">
        <f t="shared" si="2"/>
        <v>50.3</v>
      </c>
      <c r="V13" s="3"/>
      <c r="W13" s="3">
        <f t="shared" si="3"/>
        <v>50.30500272</v>
      </c>
      <c r="X13" s="3">
        <f t="shared" si="4"/>
        <v>9.388457346</v>
      </c>
      <c r="Y13" s="3">
        <f t="shared" si="5"/>
        <v>9.308177825</v>
      </c>
      <c r="Z13" s="3">
        <f t="shared" ref="Z13:AA13" si="16">_xlfn.NORM.S.DIST(X13)</f>
        <v>1</v>
      </c>
      <c r="AA13" s="3">
        <f t="shared" si="16"/>
        <v>1</v>
      </c>
    </row>
    <row r="14" ht="14.25" customHeight="1">
      <c r="A14" s="3" t="s">
        <v>142</v>
      </c>
      <c r="B14" s="3" t="s">
        <v>143</v>
      </c>
      <c r="C14" s="3" t="s">
        <v>132</v>
      </c>
      <c r="D14" s="3" t="s">
        <v>29</v>
      </c>
      <c r="E14" s="3">
        <v>45.0</v>
      </c>
      <c r="F14" s="3" t="s">
        <v>27</v>
      </c>
      <c r="G14" s="3">
        <v>48.15</v>
      </c>
      <c r="I14" s="3">
        <v>51.9</v>
      </c>
      <c r="K14" s="3">
        <v>0.0</v>
      </c>
      <c r="L14" s="3">
        <v>0.0</v>
      </c>
      <c r="M14" s="3" t="s">
        <v>42</v>
      </c>
      <c r="N14" s="3">
        <v>0.9997</v>
      </c>
      <c r="O14" s="3">
        <v>0.0</v>
      </c>
      <c r="P14" s="3">
        <v>0.0333</v>
      </c>
      <c r="Q14" s="3">
        <v>0.0</v>
      </c>
      <c r="R14" s="3">
        <v>0.1862</v>
      </c>
      <c r="S14" s="3">
        <v>95.160004</v>
      </c>
      <c r="T14" s="3">
        <v>39.0</v>
      </c>
      <c r="U14" s="3">
        <f t="shared" si="2"/>
        <v>50.025</v>
      </c>
      <c r="V14" s="3"/>
      <c r="W14" s="3">
        <f t="shared" si="3"/>
        <v>50.16487874</v>
      </c>
      <c r="X14" s="3">
        <f t="shared" si="4"/>
        <v>10.26186129</v>
      </c>
      <c r="Y14" s="3">
        <f t="shared" si="5"/>
        <v>10.1886106</v>
      </c>
      <c r="Z14" s="3">
        <f t="shared" ref="Z14:AA14" si="17">_xlfn.NORM.S.DIST(X14)</f>
        <v>1</v>
      </c>
      <c r="AA14" s="3">
        <f t="shared" si="17"/>
        <v>1</v>
      </c>
    </row>
    <row r="15" ht="14.25" customHeight="1">
      <c r="A15" s="3" t="s">
        <v>142</v>
      </c>
      <c r="B15" s="3" t="s">
        <v>143</v>
      </c>
      <c r="C15" s="3" t="s">
        <v>132</v>
      </c>
      <c r="D15" s="3" t="s">
        <v>29</v>
      </c>
      <c r="E15" s="3">
        <v>45.0</v>
      </c>
      <c r="F15" s="3" t="s">
        <v>27</v>
      </c>
      <c r="G15" s="3">
        <v>48.6</v>
      </c>
      <c r="I15" s="3">
        <v>52.15</v>
      </c>
      <c r="K15" s="3">
        <v>0.0</v>
      </c>
      <c r="L15" s="3">
        <v>0.0</v>
      </c>
      <c r="M15" s="3" t="s">
        <v>43</v>
      </c>
      <c r="N15" s="3">
        <v>0.9995</v>
      </c>
      <c r="O15" s="3">
        <v>0.0</v>
      </c>
      <c r="P15" s="3">
        <v>0.2168</v>
      </c>
      <c r="Q15" s="3">
        <v>0.0</v>
      </c>
      <c r="R15" s="3">
        <v>0.1597</v>
      </c>
      <c r="S15" s="3">
        <v>95.910004</v>
      </c>
      <c r="T15" s="3">
        <v>38.0</v>
      </c>
      <c r="U15" s="3">
        <f t="shared" si="2"/>
        <v>50.375</v>
      </c>
      <c r="V15" s="3"/>
      <c r="W15" s="3">
        <f t="shared" si="3"/>
        <v>50.91475375</v>
      </c>
      <c r="X15" s="3">
        <f t="shared" si="4"/>
        <v>12.2353756</v>
      </c>
      <c r="Y15" s="3">
        <f t="shared" si="5"/>
        <v>12.17336064</v>
      </c>
      <c r="Z15" s="3">
        <f t="shared" ref="Z15:AA15" si="18">_xlfn.NORM.S.DIST(X15)</f>
        <v>1</v>
      </c>
      <c r="AA15" s="3">
        <f t="shared" si="18"/>
        <v>1</v>
      </c>
    </row>
    <row r="16" ht="14.25" customHeight="1">
      <c r="A16" s="3" t="s">
        <v>142</v>
      </c>
      <c r="B16" s="3" t="s">
        <v>143</v>
      </c>
      <c r="C16" s="3" t="s">
        <v>132</v>
      </c>
      <c r="D16" s="3" t="s">
        <v>29</v>
      </c>
      <c r="E16" s="3">
        <v>45.0</v>
      </c>
      <c r="F16" s="3" t="s">
        <v>27</v>
      </c>
      <c r="G16" s="3">
        <v>50.4</v>
      </c>
      <c r="I16" s="3">
        <v>51.6</v>
      </c>
      <c r="K16" s="3">
        <v>0.0</v>
      </c>
      <c r="L16" s="3">
        <v>0.0</v>
      </c>
      <c r="M16" s="3" t="s">
        <v>44</v>
      </c>
      <c r="N16" s="3">
        <v>0.9995</v>
      </c>
      <c r="O16" s="3">
        <v>0.0</v>
      </c>
      <c r="P16" s="3">
        <v>0.2305</v>
      </c>
      <c r="Q16" s="3">
        <v>0.0</v>
      </c>
      <c r="R16" s="3">
        <v>0.1943</v>
      </c>
      <c r="S16" s="3">
        <v>96.480003</v>
      </c>
      <c r="T16" s="3">
        <v>37.0</v>
      </c>
      <c r="U16" s="3">
        <f t="shared" si="2"/>
        <v>51</v>
      </c>
      <c r="V16" s="3"/>
      <c r="W16" s="3">
        <f t="shared" si="3"/>
        <v>51.48462776</v>
      </c>
      <c r="X16" s="3">
        <f t="shared" si="4"/>
        <v>10.28250162</v>
      </c>
      <c r="Y16" s="3">
        <f t="shared" si="5"/>
        <v>10.20805013</v>
      </c>
      <c r="Z16" s="3">
        <f t="shared" ref="Z16:AA16" si="19">_xlfn.NORM.S.DIST(X16)</f>
        <v>1</v>
      </c>
      <c r="AA16" s="3">
        <f t="shared" si="19"/>
        <v>1</v>
      </c>
    </row>
    <row r="17" ht="14.25" customHeight="1">
      <c r="A17" s="3" t="s">
        <v>142</v>
      </c>
      <c r="B17" s="3" t="s">
        <v>143</v>
      </c>
      <c r="C17" s="3" t="s">
        <v>132</v>
      </c>
      <c r="D17" s="3" t="s">
        <v>29</v>
      </c>
      <c r="E17" s="3">
        <v>45.0</v>
      </c>
      <c r="F17" s="3" t="s">
        <v>27</v>
      </c>
      <c r="G17" s="3">
        <v>50.3</v>
      </c>
      <c r="I17" s="3">
        <v>54.2</v>
      </c>
      <c r="K17" s="3">
        <v>0.0</v>
      </c>
      <c r="L17" s="3">
        <v>0.0</v>
      </c>
      <c r="M17" s="3" t="s">
        <v>45</v>
      </c>
      <c r="N17" s="3">
        <v>0.9995</v>
      </c>
      <c r="O17" s="3">
        <v>0.0</v>
      </c>
      <c r="P17" s="3">
        <v>0.2336</v>
      </c>
      <c r="Q17" s="3">
        <v>0.0</v>
      </c>
      <c r="R17" s="3">
        <v>0.2092</v>
      </c>
      <c r="S17" s="3">
        <v>97.309998</v>
      </c>
      <c r="T17" s="3">
        <v>36.0</v>
      </c>
      <c r="U17" s="3">
        <f t="shared" si="2"/>
        <v>52.25</v>
      </c>
      <c r="V17" s="3"/>
      <c r="W17" s="3">
        <f t="shared" si="3"/>
        <v>52.31449778</v>
      </c>
      <c r="X17" s="3">
        <f t="shared" si="4"/>
        <v>9.794658545</v>
      </c>
      <c r="Y17" s="3">
        <f t="shared" si="5"/>
        <v>9.715588377</v>
      </c>
      <c r="Z17" s="3">
        <f t="shared" ref="Z17:AA17" si="20">_xlfn.NORM.S.DIST(X17)</f>
        <v>1</v>
      </c>
      <c r="AA17" s="3">
        <f t="shared" si="20"/>
        <v>1</v>
      </c>
    </row>
    <row r="18" ht="14.25" customHeight="1">
      <c r="A18" s="3" t="s">
        <v>142</v>
      </c>
      <c r="B18" s="3" t="s">
        <v>143</v>
      </c>
      <c r="C18" s="3" t="s">
        <v>132</v>
      </c>
      <c r="D18" s="3" t="s">
        <v>29</v>
      </c>
      <c r="E18" s="3">
        <v>45.0</v>
      </c>
      <c r="F18" s="3" t="s">
        <v>27</v>
      </c>
      <c r="G18" s="3">
        <v>50.15</v>
      </c>
      <c r="I18" s="3">
        <v>54.2</v>
      </c>
      <c r="K18" s="3">
        <v>0.0</v>
      </c>
      <c r="L18" s="3">
        <v>0.0</v>
      </c>
      <c r="M18" s="3" t="s">
        <v>46</v>
      </c>
      <c r="N18" s="3">
        <v>0.9995</v>
      </c>
      <c r="O18" s="3">
        <v>0.0</v>
      </c>
      <c r="P18" s="3">
        <v>0.2443</v>
      </c>
      <c r="Q18" s="3">
        <v>0.0</v>
      </c>
      <c r="R18" s="3">
        <v>0.2055</v>
      </c>
      <c r="S18" s="3">
        <v>97.389999</v>
      </c>
      <c r="T18" s="3">
        <v>35.0</v>
      </c>
      <c r="U18" s="3">
        <f t="shared" si="2"/>
        <v>52.175</v>
      </c>
      <c r="V18" s="3"/>
      <c r="W18" s="3">
        <f t="shared" si="3"/>
        <v>52.39437379</v>
      </c>
      <c r="X18" s="3">
        <f t="shared" si="4"/>
        <v>10.12061882</v>
      </c>
      <c r="Y18" s="3">
        <f t="shared" si="5"/>
        <v>10.04403349</v>
      </c>
      <c r="Z18" s="3">
        <f t="shared" ref="Z18:AA18" si="21">_xlfn.NORM.S.DIST(X18)</f>
        <v>1</v>
      </c>
      <c r="AA18" s="3">
        <f t="shared" si="21"/>
        <v>1</v>
      </c>
    </row>
    <row r="19" ht="14.25" customHeight="1">
      <c r="A19" s="3" t="s">
        <v>142</v>
      </c>
      <c r="B19" s="3" t="s">
        <v>143</v>
      </c>
      <c r="C19" s="3" t="s">
        <v>132</v>
      </c>
      <c r="D19" s="3" t="s">
        <v>29</v>
      </c>
      <c r="E19" s="3">
        <v>45.0</v>
      </c>
      <c r="F19" s="3" t="s">
        <v>27</v>
      </c>
      <c r="G19" s="3">
        <v>50.0</v>
      </c>
      <c r="I19" s="3">
        <v>54.2</v>
      </c>
      <c r="K19" s="3">
        <v>0.0</v>
      </c>
      <c r="L19" s="3">
        <v>0.0</v>
      </c>
      <c r="M19" s="3" t="s">
        <v>47</v>
      </c>
      <c r="N19" s="3">
        <v>0.9994</v>
      </c>
      <c r="O19" s="3">
        <v>0.0</v>
      </c>
      <c r="P19" s="3">
        <v>0.2859</v>
      </c>
      <c r="Q19" s="3">
        <v>0.0</v>
      </c>
      <c r="R19" s="3">
        <v>0.2502</v>
      </c>
      <c r="S19" s="3">
        <v>97.120003</v>
      </c>
      <c r="T19" s="3">
        <v>34.0</v>
      </c>
      <c r="U19" s="3">
        <f t="shared" si="2"/>
        <v>52.1</v>
      </c>
      <c r="V19" s="3"/>
      <c r="W19" s="3">
        <f t="shared" si="3"/>
        <v>52.1242528</v>
      </c>
      <c r="X19" s="3">
        <f t="shared" si="4"/>
        <v>8.417657992</v>
      </c>
      <c r="Y19" s="3">
        <f t="shared" si="5"/>
        <v>8.325755668</v>
      </c>
      <c r="Z19" s="3">
        <f t="shared" ref="Z19:AA19" si="22">_xlfn.NORM.S.DIST(X19)</f>
        <v>1</v>
      </c>
      <c r="AA19" s="3">
        <f t="shared" si="22"/>
        <v>1</v>
      </c>
    </row>
    <row r="20" ht="14.25" customHeight="1">
      <c r="A20" s="3" t="s">
        <v>142</v>
      </c>
      <c r="B20" s="3" t="s">
        <v>143</v>
      </c>
      <c r="C20" s="3" t="s">
        <v>132</v>
      </c>
      <c r="D20" s="3" t="s">
        <v>29</v>
      </c>
      <c r="E20" s="3">
        <v>45.0</v>
      </c>
      <c r="F20" s="3" t="s">
        <v>27</v>
      </c>
      <c r="G20" s="3">
        <v>49.9</v>
      </c>
      <c r="I20" s="3">
        <v>53.9</v>
      </c>
      <c r="K20" s="3">
        <v>0.0</v>
      </c>
      <c r="L20" s="3">
        <v>0.0</v>
      </c>
      <c r="M20" s="3" t="s">
        <v>48</v>
      </c>
      <c r="N20" s="3">
        <v>0.9995</v>
      </c>
      <c r="O20" s="3">
        <v>0.0</v>
      </c>
      <c r="P20" s="3">
        <v>0.2927</v>
      </c>
      <c r="Q20" s="3">
        <v>0.0</v>
      </c>
      <c r="R20" s="3">
        <v>0.2543</v>
      </c>
      <c r="S20" s="3">
        <v>97.239998</v>
      </c>
      <c r="T20" s="3">
        <v>33.0</v>
      </c>
      <c r="U20" s="3">
        <f t="shared" si="2"/>
        <v>51.9</v>
      </c>
      <c r="V20" s="3"/>
      <c r="W20" s="3">
        <f t="shared" si="3"/>
        <v>52.24412281</v>
      </c>
      <c r="X20" s="3">
        <f t="shared" si="4"/>
        <v>8.419999868</v>
      </c>
      <c r="Y20" s="3">
        <f t="shared" si="5"/>
        <v>8.327975454</v>
      </c>
      <c r="Z20" s="3">
        <f t="shared" ref="Z20:AA20" si="23">_xlfn.NORM.S.DIST(X20)</f>
        <v>1</v>
      </c>
      <c r="AA20" s="3">
        <f t="shared" si="23"/>
        <v>1</v>
      </c>
    </row>
    <row r="21" ht="14.25" customHeight="1">
      <c r="A21" s="3" t="s">
        <v>142</v>
      </c>
      <c r="B21" s="3" t="s">
        <v>143</v>
      </c>
      <c r="C21" s="3" t="s">
        <v>132</v>
      </c>
      <c r="D21" s="3" t="s">
        <v>29</v>
      </c>
      <c r="E21" s="3">
        <v>45.0</v>
      </c>
      <c r="F21" s="3" t="s">
        <v>27</v>
      </c>
      <c r="G21" s="3">
        <v>50.35</v>
      </c>
      <c r="I21" s="3">
        <v>53.55</v>
      </c>
      <c r="K21" s="3">
        <v>0.0</v>
      </c>
      <c r="L21" s="3">
        <v>0.0</v>
      </c>
      <c r="M21" s="3" t="s">
        <v>49</v>
      </c>
      <c r="N21" s="3">
        <v>0.9994</v>
      </c>
      <c r="O21" s="3">
        <v>0.0</v>
      </c>
      <c r="P21" s="3">
        <v>0.3024</v>
      </c>
      <c r="Q21" s="3">
        <v>0.0</v>
      </c>
      <c r="R21" s="3">
        <v>0.2175</v>
      </c>
      <c r="S21" s="3">
        <v>96.879997</v>
      </c>
      <c r="T21" s="3">
        <v>32.0</v>
      </c>
      <c r="U21" s="3">
        <f t="shared" si="2"/>
        <v>51.95</v>
      </c>
      <c r="V21" s="3"/>
      <c r="W21" s="3">
        <f t="shared" si="3"/>
        <v>51.88399682</v>
      </c>
      <c r="X21" s="3">
        <f t="shared" si="4"/>
        <v>9.933494456</v>
      </c>
      <c r="Y21" s="3">
        <f t="shared" si="5"/>
        <v>9.855988696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142</v>
      </c>
      <c r="B22" s="3" t="s">
        <v>143</v>
      </c>
      <c r="C22" s="3" t="s">
        <v>132</v>
      </c>
      <c r="D22" s="3" t="s">
        <v>29</v>
      </c>
      <c r="E22" s="3">
        <v>45.0</v>
      </c>
      <c r="F22" s="3" t="s">
        <v>27</v>
      </c>
      <c r="G22" s="3">
        <v>49.65</v>
      </c>
      <c r="I22" s="3">
        <v>53.85</v>
      </c>
      <c r="K22" s="3">
        <v>0.0</v>
      </c>
      <c r="L22" s="3">
        <v>0.0</v>
      </c>
      <c r="M22" s="3" t="s">
        <v>50</v>
      </c>
      <c r="N22" s="3">
        <v>0.9994</v>
      </c>
      <c r="O22" s="3">
        <v>0.0</v>
      </c>
      <c r="P22" s="3">
        <v>0.3336</v>
      </c>
      <c r="Q22" s="3">
        <v>0.0</v>
      </c>
      <c r="R22" s="3">
        <v>0.233</v>
      </c>
      <c r="S22" s="3">
        <v>96.93</v>
      </c>
      <c r="T22" s="3">
        <v>31.0</v>
      </c>
      <c r="U22" s="3">
        <f t="shared" si="2"/>
        <v>51.75</v>
      </c>
      <c r="V22" s="3"/>
      <c r="W22" s="3">
        <f t="shared" si="3"/>
        <v>51.93387483</v>
      </c>
      <c r="X22" s="3">
        <f t="shared" si="4"/>
        <v>9.431442105</v>
      </c>
      <c r="Y22" s="3">
        <f t="shared" si="5"/>
        <v>9.349720574</v>
      </c>
      <c r="Z22" s="3">
        <f t="shared" ref="Z22:AA22" si="25">_xlfn.NORM.S.DIST(X22)</f>
        <v>1</v>
      </c>
      <c r="AA22" s="3">
        <f t="shared" si="25"/>
        <v>1</v>
      </c>
    </row>
    <row r="23" ht="14.25" customHeight="1">
      <c r="A23" s="3" t="s">
        <v>142</v>
      </c>
      <c r="B23" s="3" t="s">
        <v>143</v>
      </c>
      <c r="C23" s="3" t="s">
        <v>133</v>
      </c>
      <c r="D23" s="3" t="s">
        <v>29</v>
      </c>
      <c r="E23" s="3">
        <v>45.0</v>
      </c>
      <c r="F23" s="3" t="s">
        <v>27</v>
      </c>
      <c r="G23" s="3">
        <v>51.15</v>
      </c>
      <c r="I23" s="3">
        <v>54.85</v>
      </c>
      <c r="K23" s="3">
        <v>0.0</v>
      </c>
      <c r="L23" s="3">
        <v>0.0</v>
      </c>
      <c r="M23" s="3" t="s">
        <v>52</v>
      </c>
      <c r="N23" s="3">
        <v>0.9995</v>
      </c>
      <c r="O23" s="3">
        <v>0.0</v>
      </c>
      <c r="P23" s="3">
        <v>0.3244</v>
      </c>
      <c r="Q23" s="3">
        <v>0.0</v>
      </c>
      <c r="R23" s="3">
        <v>0.2569</v>
      </c>
      <c r="S23" s="3">
        <v>98.0</v>
      </c>
      <c r="T23" s="3">
        <v>30.0</v>
      </c>
      <c r="U23" s="3">
        <f t="shared" si="2"/>
        <v>53</v>
      </c>
      <c r="V23" s="3"/>
      <c r="W23" s="3">
        <f t="shared" si="3"/>
        <v>53.00374984</v>
      </c>
      <c r="X23" s="3">
        <f t="shared" si="4"/>
        <v>8.825883051</v>
      </c>
      <c r="Y23" s="3">
        <f t="shared" si="5"/>
        <v>8.73724413</v>
      </c>
      <c r="Z23" s="3">
        <f t="shared" ref="Z23:AA23" si="26">_xlfn.NORM.S.DIST(X23)</f>
        <v>1</v>
      </c>
      <c r="AA23" s="3">
        <f t="shared" si="26"/>
        <v>1</v>
      </c>
    </row>
    <row r="24" ht="14.25" customHeight="1">
      <c r="A24" s="3" t="s">
        <v>142</v>
      </c>
      <c r="B24" s="3" t="s">
        <v>143</v>
      </c>
      <c r="C24" s="3" t="s">
        <v>133</v>
      </c>
      <c r="D24" s="3" t="s">
        <v>29</v>
      </c>
      <c r="E24" s="3">
        <v>45.0</v>
      </c>
      <c r="F24" s="3" t="s">
        <v>27</v>
      </c>
      <c r="G24" s="3">
        <v>49.7</v>
      </c>
      <c r="I24" s="3">
        <v>53.2</v>
      </c>
      <c r="K24" s="3">
        <v>0.0</v>
      </c>
      <c r="L24" s="3">
        <v>0.0</v>
      </c>
      <c r="M24" s="3" t="s">
        <v>53</v>
      </c>
      <c r="N24" s="3">
        <v>0.9995</v>
      </c>
      <c r="O24" s="3">
        <v>0.0</v>
      </c>
      <c r="P24" s="3">
        <v>0.3578</v>
      </c>
      <c r="Q24" s="3">
        <v>0.0</v>
      </c>
      <c r="R24" s="3">
        <v>0.2165</v>
      </c>
      <c r="S24" s="3">
        <v>96.510002</v>
      </c>
      <c r="T24" s="3">
        <v>29.0</v>
      </c>
      <c r="U24" s="3">
        <f t="shared" si="2"/>
        <v>51.45</v>
      </c>
      <c r="V24" s="3"/>
      <c r="W24" s="3">
        <f t="shared" si="3"/>
        <v>51.51362685</v>
      </c>
      <c r="X24" s="3">
        <f t="shared" si="4"/>
        <v>10.42646355</v>
      </c>
      <c r="Y24" s="3">
        <f t="shared" si="5"/>
        <v>10.3530195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142</v>
      </c>
      <c r="B25" s="3" t="s">
        <v>143</v>
      </c>
      <c r="C25" s="3" t="s">
        <v>133</v>
      </c>
      <c r="D25" s="3" t="s">
        <v>29</v>
      </c>
      <c r="E25" s="3">
        <v>45.0</v>
      </c>
      <c r="F25" s="3" t="s">
        <v>27</v>
      </c>
      <c r="G25" s="3">
        <v>50.5</v>
      </c>
      <c r="I25" s="3">
        <v>54.75</v>
      </c>
      <c r="K25" s="3">
        <v>0.0</v>
      </c>
      <c r="L25" s="3">
        <v>0.0</v>
      </c>
      <c r="M25" s="3" t="s">
        <v>54</v>
      </c>
      <c r="N25" s="3">
        <v>0.9995</v>
      </c>
      <c r="O25" s="3">
        <v>0.0</v>
      </c>
      <c r="P25" s="3">
        <v>0.3659</v>
      </c>
      <c r="Q25" s="3">
        <v>0.0</v>
      </c>
      <c r="R25" s="3">
        <v>0.1976</v>
      </c>
      <c r="S25" s="3">
        <v>97.910004</v>
      </c>
      <c r="T25" s="3">
        <v>28.0</v>
      </c>
      <c r="U25" s="3">
        <f t="shared" si="2"/>
        <v>52.625</v>
      </c>
      <c r="V25" s="3"/>
      <c r="W25" s="3">
        <f t="shared" si="3"/>
        <v>52.91350386</v>
      </c>
      <c r="X25" s="3">
        <f t="shared" si="4"/>
        <v>11.83653685</v>
      </c>
      <c r="Y25" s="3">
        <f t="shared" si="5"/>
        <v>11.77067018</v>
      </c>
      <c r="Z25" s="3">
        <f t="shared" ref="Z25:AA25" si="28">_xlfn.NORM.S.DIST(X25)</f>
        <v>1</v>
      </c>
      <c r="AA25" s="3">
        <f t="shared" si="28"/>
        <v>1</v>
      </c>
    </row>
    <row r="26" ht="14.25" customHeight="1">
      <c r="A26" s="3" t="s">
        <v>142</v>
      </c>
      <c r="B26" s="3" t="s">
        <v>143</v>
      </c>
      <c r="C26" s="3" t="s">
        <v>133</v>
      </c>
      <c r="D26" s="3" t="s">
        <v>29</v>
      </c>
      <c r="E26" s="3">
        <v>45.0</v>
      </c>
      <c r="F26" s="3" t="s">
        <v>27</v>
      </c>
      <c r="G26" s="3">
        <v>50.45</v>
      </c>
      <c r="I26" s="3">
        <v>54.35</v>
      </c>
      <c r="K26" s="3">
        <v>0.0</v>
      </c>
      <c r="L26" s="3">
        <v>0.0</v>
      </c>
      <c r="M26" s="3" t="s">
        <v>55</v>
      </c>
      <c r="N26" s="3">
        <v>0.9995</v>
      </c>
      <c r="O26" s="3">
        <v>0.0</v>
      </c>
      <c r="P26" s="3">
        <v>0.3786</v>
      </c>
      <c r="Q26" s="3">
        <v>0.0</v>
      </c>
      <c r="R26" s="3">
        <v>0.2561</v>
      </c>
      <c r="S26" s="3">
        <v>97.830002</v>
      </c>
      <c r="T26" s="3">
        <v>27.0</v>
      </c>
      <c r="U26" s="3">
        <f t="shared" si="2"/>
        <v>52.4</v>
      </c>
      <c r="V26" s="3"/>
      <c r="W26" s="3">
        <f t="shared" si="3"/>
        <v>52.83337687</v>
      </c>
      <c r="X26" s="3">
        <f t="shared" si="4"/>
        <v>9.306599984</v>
      </c>
      <c r="Y26" s="3">
        <f t="shared" si="5"/>
        <v>9.222771581</v>
      </c>
      <c r="Z26" s="3">
        <f t="shared" ref="Z26:AA26" si="29">_xlfn.NORM.S.DIST(X26)</f>
        <v>1</v>
      </c>
      <c r="AA26" s="3">
        <f t="shared" si="29"/>
        <v>1</v>
      </c>
    </row>
    <row r="27" ht="14.25" customHeight="1">
      <c r="A27" s="3" t="s">
        <v>142</v>
      </c>
      <c r="B27" s="3" t="s">
        <v>143</v>
      </c>
      <c r="C27" s="3" t="s">
        <v>133</v>
      </c>
      <c r="D27" s="3" t="s">
        <v>29</v>
      </c>
      <c r="E27" s="3">
        <v>45.0</v>
      </c>
      <c r="F27" s="3" t="s">
        <v>27</v>
      </c>
      <c r="G27" s="3">
        <v>50.1</v>
      </c>
      <c r="I27" s="3">
        <v>53.7</v>
      </c>
      <c r="K27" s="3">
        <v>0.0</v>
      </c>
      <c r="L27" s="3">
        <v>0.0</v>
      </c>
      <c r="M27" s="3" t="s">
        <v>56</v>
      </c>
      <c r="N27" s="3">
        <v>0.9995</v>
      </c>
      <c r="O27" s="3">
        <v>0.0</v>
      </c>
      <c r="P27" s="3">
        <v>0.3924</v>
      </c>
      <c r="Q27" s="3">
        <v>0.0</v>
      </c>
      <c r="R27" s="3">
        <v>0.2036</v>
      </c>
      <c r="S27" s="3">
        <v>97.110001</v>
      </c>
      <c r="T27" s="3">
        <v>26.0</v>
      </c>
      <c r="U27" s="3">
        <f t="shared" si="2"/>
        <v>51.9</v>
      </c>
      <c r="V27" s="3"/>
      <c r="W27" s="3">
        <f t="shared" si="3"/>
        <v>52.11325088</v>
      </c>
      <c r="X27" s="3">
        <f t="shared" si="4"/>
        <v>11.79536164</v>
      </c>
      <c r="Y27" s="3">
        <f t="shared" si="5"/>
        <v>11.72996368</v>
      </c>
      <c r="Z27" s="3">
        <f t="shared" ref="Z27:AA27" si="30">_xlfn.NORM.S.DIST(X27)</f>
        <v>1</v>
      </c>
      <c r="AA27" s="3">
        <f t="shared" si="30"/>
        <v>1</v>
      </c>
    </row>
    <row r="28" ht="14.25" customHeight="1">
      <c r="A28" s="3" t="s">
        <v>142</v>
      </c>
      <c r="B28" s="3" t="s">
        <v>143</v>
      </c>
      <c r="C28" s="3" t="s">
        <v>133</v>
      </c>
      <c r="D28" s="3" t="s">
        <v>29</v>
      </c>
      <c r="E28" s="3">
        <v>45.0</v>
      </c>
      <c r="F28" s="3" t="s">
        <v>27</v>
      </c>
      <c r="G28" s="3">
        <v>50.2</v>
      </c>
      <c r="I28" s="3">
        <v>53.8</v>
      </c>
      <c r="K28" s="3">
        <v>0.0</v>
      </c>
      <c r="L28" s="3">
        <v>0.0</v>
      </c>
      <c r="M28" s="3" t="s">
        <v>57</v>
      </c>
      <c r="N28" s="3">
        <v>0.9995</v>
      </c>
      <c r="O28" s="3">
        <v>0.0</v>
      </c>
      <c r="P28" s="3">
        <v>0.3978</v>
      </c>
      <c r="Q28" s="3">
        <v>0.0</v>
      </c>
      <c r="R28" s="3">
        <v>0.1971</v>
      </c>
      <c r="S28" s="3">
        <v>97.25</v>
      </c>
      <c r="T28" s="3">
        <v>25.0</v>
      </c>
      <c r="U28" s="3">
        <f t="shared" si="2"/>
        <v>52</v>
      </c>
      <c r="V28" s="3"/>
      <c r="W28" s="3">
        <f t="shared" si="3"/>
        <v>52.25312489</v>
      </c>
      <c r="X28" s="3">
        <f t="shared" si="4"/>
        <v>12.44540382</v>
      </c>
      <c r="Y28" s="3">
        <f t="shared" si="5"/>
        <v>12.38332316</v>
      </c>
      <c r="Z28" s="3">
        <f t="shared" ref="Z28:AA28" si="31">_xlfn.NORM.S.DIST(X28)</f>
        <v>1</v>
      </c>
      <c r="AA28" s="3">
        <f t="shared" si="31"/>
        <v>1</v>
      </c>
    </row>
    <row r="29" ht="14.25" customHeight="1">
      <c r="A29" s="3" t="s">
        <v>142</v>
      </c>
      <c r="B29" s="3" t="s">
        <v>143</v>
      </c>
      <c r="C29" s="3" t="s">
        <v>133</v>
      </c>
      <c r="D29" s="3" t="s">
        <v>29</v>
      </c>
      <c r="E29" s="3">
        <v>45.0</v>
      </c>
      <c r="F29" s="3" t="s">
        <v>27</v>
      </c>
      <c r="G29" s="3">
        <v>50.5</v>
      </c>
      <c r="I29" s="3">
        <v>53.8</v>
      </c>
      <c r="K29" s="3">
        <v>0.0</v>
      </c>
      <c r="L29" s="3">
        <v>0.0</v>
      </c>
      <c r="M29" s="3" t="s">
        <v>58</v>
      </c>
      <c r="N29" s="3">
        <v>0.9994</v>
      </c>
      <c r="O29" s="3">
        <v>0.0</v>
      </c>
      <c r="P29" s="3">
        <v>0.4819</v>
      </c>
      <c r="Q29" s="3">
        <v>0.0</v>
      </c>
      <c r="R29" s="3">
        <v>0.1855</v>
      </c>
      <c r="S29" s="3">
        <v>97.129997</v>
      </c>
      <c r="T29" s="3">
        <v>24.0</v>
      </c>
      <c r="U29" s="3">
        <f t="shared" si="2"/>
        <v>52.15</v>
      </c>
      <c r="V29" s="3"/>
      <c r="W29" s="3">
        <f t="shared" si="3"/>
        <v>52.1329969</v>
      </c>
      <c r="X29" s="3">
        <f t="shared" si="4"/>
        <v>13.46968705</v>
      </c>
      <c r="Y29" s="3">
        <f t="shared" si="5"/>
        <v>13.41244051</v>
      </c>
      <c r="Z29" s="3">
        <f t="shared" ref="Z29:AA29" si="32">_xlfn.NORM.S.DIST(X29)</f>
        <v>1</v>
      </c>
      <c r="AA29" s="3">
        <f t="shared" si="32"/>
        <v>1</v>
      </c>
    </row>
    <row r="30" ht="14.25" customHeight="1">
      <c r="A30" s="3" t="s">
        <v>142</v>
      </c>
      <c r="B30" s="3" t="s">
        <v>143</v>
      </c>
      <c r="C30" s="3" t="s">
        <v>133</v>
      </c>
      <c r="D30" s="3" t="s">
        <v>29</v>
      </c>
      <c r="E30" s="3">
        <v>45.0</v>
      </c>
      <c r="F30" s="3" t="s">
        <v>27</v>
      </c>
      <c r="G30" s="3">
        <v>50.9</v>
      </c>
      <c r="I30" s="3">
        <v>54.6</v>
      </c>
      <c r="K30" s="3">
        <v>0.0</v>
      </c>
      <c r="L30" s="3">
        <v>0.0</v>
      </c>
      <c r="M30" s="3" t="s">
        <v>59</v>
      </c>
      <c r="N30" s="3">
        <v>0.9995</v>
      </c>
      <c r="O30" s="3">
        <v>0.0</v>
      </c>
      <c r="P30" s="3">
        <v>0.4918</v>
      </c>
      <c r="Q30" s="3">
        <v>0.0</v>
      </c>
      <c r="R30" s="3">
        <v>0.266</v>
      </c>
      <c r="S30" s="3">
        <v>97.699997</v>
      </c>
      <c r="T30" s="3">
        <v>23.0</v>
      </c>
      <c r="U30" s="3">
        <f t="shared" si="2"/>
        <v>52.75</v>
      </c>
      <c r="V30" s="3"/>
      <c r="W30" s="3">
        <f t="shared" si="3"/>
        <v>52.70287191</v>
      </c>
      <c r="X30" s="3">
        <f t="shared" si="4"/>
        <v>9.687932682</v>
      </c>
      <c r="Y30" s="3">
        <f t="shared" si="5"/>
        <v>9.607571691</v>
      </c>
      <c r="Z30" s="3">
        <f t="shared" ref="Z30:AA30" si="33">_xlfn.NORM.S.DIST(X30)</f>
        <v>1</v>
      </c>
      <c r="AA30" s="3">
        <f t="shared" si="33"/>
        <v>1</v>
      </c>
    </row>
    <row r="31" ht="14.25" customHeight="1">
      <c r="A31" s="3" t="s">
        <v>142</v>
      </c>
      <c r="B31" s="3" t="s">
        <v>143</v>
      </c>
      <c r="C31" s="3" t="s">
        <v>133</v>
      </c>
      <c r="D31" s="3" t="s">
        <v>29</v>
      </c>
      <c r="E31" s="3">
        <v>45.0</v>
      </c>
      <c r="F31" s="3" t="s">
        <v>27</v>
      </c>
      <c r="G31" s="3">
        <v>51.25</v>
      </c>
      <c r="I31" s="3">
        <v>54.1</v>
      </c>
      <c r="K31" s="3">
        <v>0.0</v>
      </c>
      <c r="L31" s="3">
        <v>0.0</v>
      </c>
      <c r="M31" s="3" t="s">
        <v>60</v>
      </c>
      <c r="N31" s="3">
        <v>0.9992</v>
      </c>
      <c r="O31" s="3">
        <v>0.0</v>
      </c>
      <c r="P31" s="3">
        <v>0.7552</v>
      </c>
      <c r="Q31" s="3">
        <v>0.0</v>
      </c>
      <c r="R31" s="3">
        <v>0.2303</v>
      </c>
      <c r="S31" s="3">
        <v>97.970001</v>
      </c>
      <c r="T31" s="3">
        <v>22.0</v>
      </c>
      <c r="U31" s="3">
        <f t="shared" si="2"/>
        <v>52.675</v>
      </c>
      <c r="V31" s="3"/>
      <c r="W31" s="3">
        <f t="shared" si="3"/>
        <v>52.97275092</v>
      </c>
      <c r="X31" s="3">
        <f t="shared" si="4"/>
        <v>11.46828278</v>
      </c>
      <c r="Y31" s="3">
        <f t="shared" si="5"/>
        <v>11.40023641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142</v>
      </c>
      <c r="B32" s="3" t="s">
        <v>143</v>
      </c>
      <c r="C32" s="3" t="s">
        <v>133</v>
      </c>
      <c r="D32" s="3" t="s">
        <v>29</v>
      </c>
      <c r="E32" s="3">
        <v>45.0</v>
      </c>
      <c r="F32" s="3" t="s">
        <v>27</v>
      </c>
      <c r="G32" s="3">
        <v>51.8</v>
      </c>
      <c r="I32" s="3">
        <v>55.5</v>
      </c>
      <c r="K32" s="3">
        <v>0.0</v>
      </c>
      <c r="L32" s="3">
        <v>0.0</v>
      </c>
      <c r="M32" s="3" t="s">
        <v>61</v>
      </c>
      <c r="N32" s="3">
        <v>0.9991</v>
      </c>
      <c r="O32" s="3">
        <v>0.0</v>
      </c>
      <c r="P32" s="3">
        <v>1.0313</v>
      </c>
      <c r="Q32" s="3">
        <v>0.0</v>
      </c>
      <c r="R32" s="3">
        <v>0.2364</v>
      </c>
      <c r="S32" s="3">
        <v>99.209999</v>
      </c>
      <c r="T32" s="3">
        <v>21.0</v>
      </c>
      <c r="U32" s="3">
        <f t="shared" si="2"/>
        <v>53.65</v>
      </c>
      <c r="V32" s="3"/>
      <c r="W32" s="3">
        <f t="shared" si="3"/>
        <v>54.21262392</v>
      </c>
      <c r="X32" s="3">
        <f t="shared" si="4"/>
        <v>11.61973377</v>
      </c>
      <c r="Y32" s="3">
        <f t="shared" si="5"/>
        <v>11.55149097</v>
      </c>
      <c r="Z32" s="3">
        <f t="shared" ref="Z32:AA32" si="35">_xlfn.NORM.S.DIST(X32)</f>
        <v>1</v>
      </c>
      <c r="AA32" s="3">
        <f t="shared" si="35"/>
        <v>1</v>
      </c>
    </row>
    <row r="33" ht="14.25" customHeight="1">
      <c r="A33" s="3" t="s">
        <v>142</v>
      </c>
      <c r="B33" s="3" t="s">
        <v>143</v>
      </c>
      <c r="C33" s="3" t="s">
        <v>133</v>
      </c>
      <c r="D33" s="3" t="s">
        <v>29</v>
      </c>
      <c r="E33" s="3">
        <v>45.0</v>
      </c>
      <c r="F33" s="3" t="s">
        <v>27</v>
      </c>
      <c r="G33" s="3">
        <v>52.55</v>
      </c>
      <c r="I33" s="3">
        <v>56.45</v>
      </c>
      <c r="K33" s="3">
        <v>0.0</v>
      </c>
      <c r="L33" s="3">
        <v>0.0</v>
      </c>
      <c r="M33" s="3" t="s">
        <v>62</v>
      </c>
      <c r="N33" s="3">
        <v>0.9993</v>
      </c>
      <c r="O33" s="3">
        <v>0.0</v>
      </c>
      <c r="P33" s="3">
        <v>0.7715</v>
      </c>
      <c r="Q33" s="3">
        <v>0.0</v>
      </c>
      <c r="R33" s="3">
        <v>0.209</v>
      </c>
      <c r="S33" s="3">
        <v>99.769997</v>
      </c>
      <c r="T33" s="3">
        <v>20.0</v>
      </c>
      <c r="U33" s="3">
        <f t="shared" si="2"/>
        <v>54.5</v>
      </c>
      <c r="V33" s="3"/>
      <c r="W33" s="3">
        <f t="shared" si="3"/>
        <v>54.77249693</v>
      </c>
      <c r="X33" s="3">
        <f t="shared" si="4"/>
        <v>13.55309813</v>
      </c>
      <c r="Y33" s="3">
        <f t="shared" si="5"/>
        <v>13.49421905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142</v>
      </c>
      <c r="B34" s="3" t="s">
        <v>143</v>
      </c>
      <c r="C34" s="3" t="s">
        <v>133</v>
      </c>
      <c r="D34" s="3" t="s">
        <v>29</v>
      </c>
      <c r="E34" s="3">
        <v>45.0</v>
      </c>
      <c r="F34" s="3" t="s">
        <v>27</v>
      </c>
      <c r="G34" s="3">
        <v>54.1</v>
      </c>
      <c r="I34" s="3">
        <v>57.7</v>
      </c>
      <c r="K34" s="3">
        <v>0.0</v>
      </c>
      <c r="L34" s="3">
        <v>0.0</v>
      </c>
      <c r="M34" s="3" t="s">
        <v>63</v>
      </c>
      <c r="N34" s="3">
        <v>1.0</v>
      </c>
      <c r="O34" s="3">
        <v>0.0</v>
      </c>
      <c r="P34" s="3">
        <v>-0.1307</v>
      </c>
      <c r="Q34" s="3">
        <v>0.0</v>
      </c>
      <c r="R34" s="3">
        <v>0.178</v>
      </c>
      <c r="S34" s="3">
        <v>101.019997</v>
      </c>
      <c r="T34" s="3">
        <v>19.0</v>
      </c>
      <c r="U34" s="3">
        <f t="shared" si="2"/>
        <v>55.9</v>
      </c>
      <c r="V34" s="3"/>
      <c r="W34" s="3">
        <f t="shared" si="3"/>
        <v>56.02237194</v>
      </c>
      <c r="X34" s="3">
        <f t="shared" si="4"/>
        <v>16.57053723</v>
      </c>
      <c r="Y34" s="3">
        <f t="shared" si="5"/>
        <v>16.52166113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142</v>
      </c>
      <c r="B35" s="3" t="s">
        <v>143</v>
      </c>
      <c r="C35" s="3" t="s">
        <v>133</v>
      </c>
      <c r="D35" s="3" t="s">
        <v>29</v>
      </c>
      <c r="E35" s="3">
        <v>45.0</v>
      </c>
      <c r="F35" s="3" t="s">
        <v>27</v>
      </c>
      <c r="G35" s="3">
        <v>53.4</v>
      </c>
      <c r="I35" s="3">
        <v>56.95</v>
      </c>
      <c r="K35" s="3">
        <v>0.0</v>
      </c>
      <c r="L35" s="3">
        <v>0.0</v>
      </c>
      <c r="M35" s="3" t="s">
        <v>64</v>
      </c>
      <c r="N35" s="3">
        <v>1.0</v>
      </c>
      <c r="O35" s="3">
        <v>0.0</v>
      </c>
      <c r="P35" s="3">
        <v>-0.1307</v>
      </c>
      <c r="Q35" s="3">
        <v>0.0</v>
      </c>
      <c r="R35" s="3">
        <v>0.1472</v>
      </c>
      <c r="S35" s="3">
        <v>100.220001</v>
      </c>
      <c r="T35" s="3">
        <v>18.0</v>
      </c>
      <c r="U35" s="3">
        <f t="shared" si="2"/>
        <v>55.175</v>
      </c>
      <c r="V35" s="3"/>
      <c r="W35" s="3">
        <f t="shared" si="3"/>
        <v>55.22225094</v>
      </c>
      <c r="X35" s="3">
        <f t="shared" si="4"/>
        <v>20.37396353</v>
      </c>
      <c r="Y35" s="3">
        <f t="shared" si="5"/>
        <v>20.33462268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142</v>
      </c>
      <c r="B36" s="3" t="s">
        <v>143</v>
      </c>
      <c r="C36" s="3" t="s">
        <v>133</v>
      </c>
      <c r="D36" s="3" t="s">
        <v>29</v>
      </c>
      <c r="E36" s="3">
        <v>45.0</v>
      </c>
      <c r="F36" s="3" t="s">
        <v>27</v>
      </c>
      <c r="G36" s="3">
        <v>53.35</v>
      </c>
      <c r="I36" s="3">
        <v>56.85</v>
      </c>
      <c r="K36" s="3">
        <v>0.0</v>
      </c>
      <c r="L36" s="3">
        <v>0.0</v>
      </c>
      <c r="M36" s="3" t="s">
        <v>65</v>
      </c>
      <c r="N36" s="3">
        <v>1.0</v>
      </c>
      <c r="O36" s="3">
        <v>0.0</v>
      </c>
      <c r="P36" s="3">
        <v>-0.1307</v>
      </c>
      <c r="Q36" s="3">
        <v>0.0</v>
      </c>
      <c r="R36" s="3">
        <v>0.2241</v>
      </c>
      <c r="S36" s="3">
        <v>100.169998</v>
      </c>
      <c r="T36" s="3">
        <v>17.0</v>
      </c>
      <c r="U36" s="3">
        <f t="shared" si="2"/>
        <v>55.1</v>
      </c>
      <c r="V36" s="3"/>
      <c r="W36" s="3">
        <f t="shared" si="3"/>
        <v>55.17212295</v>
      </c>
      <c r="X36" s="3">
        <f t="shared" si="4"/>
        <v>13.77779894</v>
      </c>
      <c r="Y36" s="3">
        <f t="shared" si="5"/>
        <v>13.71959317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142</v>
      </c>
      <c r="B37" s="3" t="s">
        <v>143</v>
      </c>
      <c r="C37" s="3" t="s">
        <v>133</v>
      </c>
      <c r="D37" s="3" t="s">
        <v>29</v>
      </c>
      <c r="E37" s="3">
        <v>45.0</v>
      </c>
      <c r="F37" s="3" t="s">
        <v>27</v>
      </c>
      <c r="G37" s="3">
        <v>54.05</v>
      </c>
      <c r="I37" s="3">
        <v>58.1</v>
      </c>
      <c r="K37" s="3">
        <v>0.0</v>
      </c>
      <c r="L37" s="3">
        <v>0.0</v>
      </c>
      <c r="M37" s="3" t="s">
        <v>66</v>
      </c>
      <c r="N37" s="3">
        <v>1.0</v>
      </c>
      <c r="O37" s="3">
        <v>0.0</v>
      </c>
      <c r="P37" s="3">
        <v>-0.1307</v>
      </c>
      <c r="Q37" s="3">
        <v>0.0</v>
      </c>
      <c r="R37" s="3">
        <v>0.2051</v>
      </c>
      <c r="S37" s="3">
        <v>101.209999</v>
      </c>
      <c r="T37" s="3">
        <v>16.0</v>
      </c>
      <c r="U37" s="3">
        <f t="shared" si="2"/>
        <v>56.075</v>
      </c>
      <c r="V37" s="3"/>
      <c r="W37" s="3">
        <f t="shared" si="3"/>
        <v>56.21199896</v>
      </c>
      <c r="X37" s="3">
        <f t="shared" si="4"/>
        <v>15.71032435</v>
      </c>
      <c r="Y37" s="3">
        <f t="shared" si="5"/>
        <v>15.65864401</v>
      </c>
      <c r="Z37" s="3">
        <f t="shared" ref="Z37:AA37" si="40">_xlfn.NORM.S.DIST(X37)</f>
        <v>1</v>
      </c>
      <c r="AA37" s="3">
        <f t="shared" si="40"/>
        <v>1</v>
      </c>
    </row>
    <row r="38" ht="14.25" customHeight="1">
      <c r="A38" s="3" t="s">
        <v>142</v>
      </c>
      <c r="B38" s="3" t="s">
        <v>143</v>
      </c>
      <c r="C38" s="3" t="s">
        <v>133</v>
      </c>
      <c r="D38" s="3" t="s">
        <v>29</v>
      </c>
      <c r="E38" s="3">
        <v>45.0</v>
      </c>
      <c r="F38" s="3" t="s">
        <v>27</v>
      </c>
      <c r="G38" s="3">
        <v>51.85</v>
      </c>
      <c r="I38" s="3">
        <v>55.25</v>
      </c>
      <c r="K38" s="3">
        <v>0.0</v>
      </c>
      <c r="L38" s="3">
        <v>0.0</v>
      </c>
      <c r="M38" s="3" t="s">
        <v>67</v>
      </c>
      <c r="N38" s="3">
        <v>0.9996</v>
      </c>
      <c r="O38" s="3">
        <v>0.0</v>
      </c>
      <c r="P38" s="3">
        <v>0.6256</v>
      </c>
      <c r="Q38" s="3">
        <v>0.0</v>
      </c>
      <c r="R38" s="3">
        <v>0.3151</v>
      </c>
      <c r="S38" s="3">
        <v>98.580002</v>
      </c>
      <c r="T38" s="3">
        <v>15.0</v>
      </c>
      <c r="U38" s="3">
        <f t="shared" si="2"/>
        <v>53.55</v>
      </c>
      <c r="V38" s="3"/>
      <c r="W38" s="3">
        <f t="shared" si="3"/>
        <v>53.58187696</v>
      </c>
      <c r="X38" s="3">
        <f t="shared" si="4"/>
        <v>10.23983024</v>
      </c>
      <c r="Y38" s="3">
        <f t="shared" si="5"/>
        <v>10.16295371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142</v>
      </c>
      <c r="B39" s="3" t="s">
        <v>143</v>
      </c>
      <c r="C39" s="3" t="s">
        <v>133</v>
      </c>
      <c r="D39" s="3" t="s">
        <v>29</v>
      </c>
      <c r="E39" s="3">
        <v>45.0</v>
      </c>
      <c r="F39" s="3" t="s">
        <v>27</v>
      </c>
      <c r="G39" s="3">
        <v>52.1</v>
      </c>
      <c r="I39" s="3">
        <v>55.45</v>
      </c>
      <c r="K39" s="3">
        <v>0.0</v>
      </c>
      <c r="L39" s="3">
        <v>0.0</v>
      </c>
      <c r="M39" s="3" t="s">
        <v>68</v>
      </c>
      <c r="N39" s="3">
        <v>0.9993</v>
      </c>
      <c r="O39" s="3">
        <v>0.0</v>
      </c>
      <c r="P39" s="3">
        <v>1.3836</v>
      </c>
      <c r="Q39" s="3">
        <v>0.0</v>
      </c>
      <c r="R39" s="3">
        <v>0.3943</v>
      </c>
      <c r="S39" s="3">
        <v>98.720001</v>
      </c>
      <c r="T39" s="3">
        <v>14.0</v>
      </c>
      <c r="U39" s="3">
        <f t="shared" si="2"/>
        <v>53.775</v>
      </c>
      <c r="V39" s="3"/>
      <c r="W39" s="3">
        <f t="shared" si="3"/>
        <v>53.72175097</v>
      </c>
      <c r="X39" s="3">
        <f t="shared" si="4"/>
        <v>8.500158589</v>
      </c>
      <c r="Y39" s="3">
        <f t="shared" si="5"/>
        <v>8.407221188</v>
      </c>
      <c r="Z39" s="3">
        <f t="shared" ref="Z39:AA39" si="42">_xlfn.NORM.S.DIST(X39)</f>
        <v>1</v>
      </c>
      <c r="AA39" s="3">
        <f t="shared" si="42"/>
        <v>1</v>
      </c>
    </row>
    <row r="40" ht="14.25" customHeight="1">
      <c r="A40" s="3" t="s">
        <v>142</v>
      </c>
      <c r="B40" s="3" t="s">
        <v>143</v>
      </c>
      <c r="C40" s="3" t="s">
        <v>133</v>
      </c>
      <c r="D40" s="3" t="s">
        <v>29</v>
      </c>
      <c r="E40" s="3">
        <v>45.0</v>
      </c>
      <c r="F40" s="3" t="s">
        <v>27</v>
      </c>
      <c r="G40" s="3">
        <v>53.8</v>
      </c>
      <c r="I40" s="3">
        <v>57.2</v>
      </c>
      <c r="K40" s="3">
        <v>0.0</v>
      </c>
      <c r="L40" s="3">
        <v>0.0</v>
      </c>
      <c r="M40" s="3" t="s">
        <v>69</v>
      </c>
      <c r="N40" s="3">
        <v>0.9991</v>
      </c>
      <c r="O40" s="3">
        <v>0.0</v>
      </c>
      <c r="P40" s="3">
        <v>1.8057</v>
      </c>
      <c r="Q40" s="3">
        <v>0.0</v>
      </c>
      <c r="R40" s="3">
        <v>0.3187</v>
      </c>
      <c r="S40" s="3">
        <v>101.209999</v>
      </c>
      <c r="T40" s="3">
        <v>13.0</v>
      </c>
      <c r="U40" s="3">
        <f t="shared" si="2"/>
        <v>55.5</v>
      </c>
      <c r="V40" s="3"/>
      <c r="W40" s="3">
        <f t="shared" si="3"/>
        <v>56.21162397</v>
      </c>
      <c r="X40" s="3">
        <f t="shared" si="4"/>
        <v>11.23412135</v>
      </c>
      <c r="Y40" s="3">
        <f t="shared" si="5"/>
        <v>11.16173553</v>
      </c>
      <c r="Z40" s="3">
        <f t="shared" ref="Z40:AA40" si="43">_xlfn.NORM.S.DIST(X40)</f>
        <v>1</v>
      </c>
      <c r="AA40" s="3">
        <f t="shared" si="43"/>
        <v>1</v>
      </c>
    </row>
    <row r="41" ht="14.25" customHeight="1">
      <c r="A41" s="3" t="s">
        <v>142</v>
      </c>
      <c r="B41" s="3" t="s">
        <v>143</v>
      </c>
      <c r="C41" s="3" t="s">
        <v>133</v>
      </c>
      <c r="D41" s="3" t="s">
        <v>29</v>
      </c>
      <c r="E41" s="3">
        <v>45.0</v>
      </c>
      <c r="F41" s="3" t="s">
        <v>27</v>
      </c>
      <c r="G41" s="3">
        <v>54.65</v>
      </c>
      <c r="I41" s="3">
        <v>58.95</v>
      </c>
      <c r="K41" s="3">
        <v>0.0</v>
      </c>
      <c r="L41" s="3">
        <v>0.0</v>
      </c>
      <c r="M41" s="3" t="s">
        <v>70</v>
      </c>
      <c r="N41" s="3">
        <v>0.999</v>
      </c>
      <c r="O41" s="3">
        <v>0.0</v>
      </c>
      <c r="P41" s="3">
        <v>2.2715</v>
      </c>
      <c r="Q41" s="3">
        <v>0.0</v>
      </c>
      <c r="R41" s="3">
        <v>0.1508</v>
      </c>
      <c r="S41" s="3">
        <v>102.160004</v>
      </c>
      <c r="T41" s="3">
        <v>12.0</v>
      </c>
      <c r="U41" s="3">
        <f t="shared" si="2"/>
        <v>56.8</v>
      </c>
      <c r="V41" s="3"/>
      <c r="W41" s="3">
        <f t="shared" si="3"/>
        <v>57.16150398</v>
      </c>
      <c r="X41" s="3">
        <f t="shared" si="4"/>
        <v>24.93226698</v>
      </c>
      <c r="Y41" s="3">
        <f t="shared" si="5"/>
        <v>24.89935972</v>
      </c>
      <c r="Z41" s="3">
        <f t="shared" ref="Z41:AA41" si="44">_xlfn.NORM.S.DIST(X41)</f>
        <v>1</v>
      </c>
      <c r="AA41" s="3">
        <f t="shared" si="44"/>
        <v>1</v>
      </c>
    </row>
    <row r="42" ht="14.25" customHeight="1">
      <c r="A42" s="3" t="s">
        <v>142</v>
      </c>
      <c r="B42" s="3" t="s">
        <v>143</v>
      </c>
      <c r="C42" s="3" t="s">
        <v>133</v>
      </c>
      <c r="D42" s="3" t="s">
        <v>29</v>
      </c>
      <c r="E42" s="3">
        <v>45.0</v>
      </c>
      <c r="F42" s="3" t="s">
        <v>27</v>
      </c>
      <c r="G42" s="3">
        <v>54.8</v>
      </c>
      <c r="I42" s="3">
        <v>58.8</v>
      </c>
      <c r="K42" s="3">
        <v>0.0</v>
      </c>
      <c r="L42" s="3">
        <v>0.0</v>
      </c>
      <c r="M42" s="3" t="s">
        <v>71</v>
      </c>
      <c r="N42" s="3">
        <v>0.9991</v>
      </c>
      <c r="O42" s="3">
        <v>0.0</v>
      </c>
      <c r="P42" s="3">
        <v>2.333</v>
      </c>
      <c r="Q42" s="3">
        <v>0.0</v>
      </c>
      <c r="R42" s="3">
        <v>0.225</v>
      </c>
      <c r="S42" s="3">
        <v>102.050003</v>
      </c>
      <c r="T42" s="3">
        <v>11.0</v>
      </c>
      <c r="U42" s="3">
        <f t="shared" si="2"/>
        <v>56.8</v>
      </c>
      <c r="V42" s="3"/>
      <c r="W42" s="3">
        <f t="shared" si="3"/>
        <v>57.05137798</v>
      </c>
      <c r="X42" s="3">
        <f t="shared" si="4"/>
        <v>17.44220189</v>
      </c>
      <c r="Y42" s="3">
        <f t="shared" si="5"/>
        <v>17.39519315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142</v>
      </c>
      <c r="B43" s="3" t="s">
        <v>143</v>
      </c>
      <c r="C43" s="3" t="s">
        <v>133</v>
      </c>
      <c r="D43" s="3" t="s">
        <v>29</v>
      </c>
      <c r="E43" s="3">
        <v>45.0</v>
      </c>
      <c r="F43" s="3" t="s">
        <v>27</v>
      </c>
      <c r="G43" s="3">
        <v>54.9</v>
      </c>
      <c r="I43" s="3">
        <v>58.65</v>
      </c>
      <c r="K43" s="3">
        <v>0.0</v>
      </c>
      <c r="L43" s="3">
        <v>0.0</v>
      </c>
      <c r="M43" s="3" t="s">
        <v>72</v>
      </c>
      <c r="N43" s="3">
        <v>0.9992</v>
      </c>
      <c r="O43" s="3">
        <v>0.0</v>
      </c>
      <c r="P43" s="3">
        <v>2.5702</v>
      </c>
      <c r="Q43" s="3">
        <v>0.0</v>
      </c>
      <c r="R43" s="3">
        <v>0.3201</v>
      </c>
      <c r="S43" s="3">
        <v>101.949997</v>
      </c>
      <c r="T43" s="3">
        <v>10.0</v>
      </c>
      <c r="U43" s="3">
        <f t="shared" si="2"/>
        <v>56.775</v>
      </c>
      <c r="V43" s="3"/>
      <c r="W43" s="3">
        <f t="shared" si="3"/>
        <v>56.95124698</v>
      </c>
      <c r="X43" s="3">
        <f t="shared" si="4"/>
        <v>12.85775948</v>
      </c>
      <c r="Y43" s="3">
        <f t="shared" si="5"/>
        <v>12.79399403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142</v>
      </c>
      <c r="B44" s="3" t="s">
        <v>143</v>
      </c>
      <c r="C44" s="3" t="s">
        <v>133</v>
      </c>
      <c r="D44" s="3" t="s">
        <v>29</v>
      </c>
      <c r="E44" s="3">
        <v>45.0</v>
      </c>
      <c r="F44" s="3" t="s">
        <v>27</v>
      </c>
      <c r="G44" s="3">
        <v>55.95</v>
      </c>
      <c r="I44" s="3">
        <v>60.15</v>
      </c>
      <c r="K44" s="3">
        <v>0.0</v>
      </c>
      <c r="L44" s="3">
        <v>0.0</v>
      </c>
      <c r="M44" s="3" t="s">
        <v>73</v>
      </c>
      <c r="N44" s="3">
        <v>0.9992</v>
      </c>
      <c r="O44" s="3">
        <v>0.0</v>
      </c>
      <c r="P44" s="3">
        <v>2.7101</v>
      </c>
      <c r="Q44" s="3">
        <v>0.0</v>
      </c>
      <c r="R44" s="3">
        <v>0.3598</v>
      </c>
      <c r="S44" s="3">
        <v>102.660004</v>
      </c>
      <c r="T44" s="3">
        <v>9.0</v>
      </c>
      <c r="U44" s="3">
        <f t="shared" si="2"/>
        <v>58.05</v>
      </c>
      <c r="V44" s="3"/>
      <c r="W44" s="3">
        <f t="shared" si="3"/>
        <v>57.66112899</v>
      </c>
      <c r="X44" s="3">
        <f t="shared" si="4"/>
        <v>12.1639383</v>
      </c>
      <c r="Y44" s="3">
        <f t="shared" si="5"/>
        <v>12.09594249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142</v>
      </c>
      <c r="B45" s="3" t="s">
        <v>143</v>
      </c>
      <c r="C45" s="3" t="s">
        <v>133</v>
      </c>
      <c r="D45" s="3" t="s">
        <v>29</v>
      </c>
      <c r="E45" s="3">
        <v>45.0</v>
      </c>
      <c r="F45" s="3" t="s">
        <v>27</v>
      </c>
      <c r="G45" s="3">
        <v>56.0</v>
      </c>
      <c r="I45" s="3">
        <v>60.55</v>
      </c>
      <c r="K45" s="3">
        <v>0.0</v>
      </c>
      <c r="L45" s="3">
        <v>0.0</v>
      </c>
      <c r="M45" s="3" t="s">
        <v>74</v>
      </c>
      <c r="N45" s="3">
        <v>0.9993</v>
      </c>
      <c r="O45" s="3">
        <v>0.0</v>
      </c>
      <c r="P45" s="3">
        <v>2.7264</v>
      </c>
      <c r="Q45" s="3">
        <v>0.0</v>
      </c>
      <c r="R45" s="3">
        <v>0.4203</v>
      </c>
      <c r="S45" s="3">
        <v>103.239998</v>
      </c>
      <c r="T45" s="3">
        <v>8.0</v>
      </c>
      <c r="U45" s="3">
        <f t="shared" si="2"/>
        <v>58.275</v>
      </c>
      <c r="V45" s="3"/>
      <c r="W45" s="3">
        <f t="shared" si="3"/>
        <v>58.24099799</v>
      </c>
      <c r="X45" s="3">
        <f t="shared" si="4"/>
        <v>11.12642435</v>
      </c>
      <c r="Y45" s="3">
        <f t="shared" si="5"/>
        <v>11.05153775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142</v>
      </c>
      <c r="B46" s="3" t="s">
        <v>143</v>
      </c>
      <c r="C46" s="3" t="s">
        <v>133</v>
      </c>
      <c r="D46" s="3" t="s">
        <v>29</v>
      </c>
      <c r="E46" s="3">
        <v>45.0</v>
      </c>
      <c r="F46" s="3" t="s">
        <v>27</v>
      </c>
      <c r="G46" s="3">
        <v>56.8</v>
      </c>
      <c r="I46" s="3">
        <v>60.6</v>
      </c>
      <c r="K46" s="3">
        <v>0.0</v>
      </c>
      <c r="L46" s="3">
        <v>0.0</v>
      </c>
      <c r="M46" s="3" t="s">
        <v>75</v>
      </c>
      <c r="N46" s="3">
        <v>0.9994</v>
      </c>
      <c r="O46" s="3">
        <v>0.0</v>
      </c>
      <c r="P46" s="3">
        <v>2.7313</v>
      </c>
      <c r="Q46" s="3">
        <v>0.0</v>
      </c>
      <c r="R46" s="3">
        <v>0.2615</v>
      </c>
      <c r="S46" s="3">
        <v>103.410004</v>
      </c>
      <c r="T46" s="3">
        <v>7.0</v>
      </c>
      <c r="U46" s="3">
        <f t="shared" si="2"/>
        <v>58.7</v>
      </c>
      <c r="V46" s="3"/>
      <c r="W46" s="3">
        <f t="shared" si="3"/>
        <v>58.41087899</v>
      </c>
      <c r="X46" s="3">
        <f t="shared" si="4"/>
        <v>19.11300381</v>
      </c>
      <c r="Y46" s="3">
        <f t="shared" si="5"/>
        <v>19.06942048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142</v>
      </c>
      <c r="B47" s="3" t="s">
        <v>143</v>
      </c>
      <c r="C47" s="3" t="s">
        <v>133</v>
      </c>
      <c r="D47" s="3" t="s">
        <v>29</v>
      </c>
      <c r="E47" s="3">
        <v>45.0</v>
      </c>
      <c r="F47" s="3" t="s">
        <v>27</v>
      </c>
      <c r="G47" s="3">
        <v>58.0</v>
      </c>
      <c r="I47" s="3">
        <v>59.3</v>
      </c>
      <c r="K47" s="3">
        <v>0.0</v>
      </c>
      <c r="L47" s="3">
        <v>0.0</v>
      </c>
      <c r="M47" s="3" t="s">
        <v>76</v>
      </c>
      <c r="N47" s="3">
        <v>0.9994</v>
      </c>
      <c r="O47" s="3">
        <v>0.0</v>
      </c>
      <c r="P47" s="3">
        <v>2.7376</v>
      </c>
      <c r="Q47" s="3">
        <v>0.0</v>
      </c>
      <c r="R47" s="3">
        <v>0.4832</v>
      </c>
      <c r="S47" s="3">
        <v>103.629997</v>
      </c>
      <c r="T47" s="3">
        <v>6.0</v>
      </c>
      <c r="U47" s="3">
        <f t="shared" si="2"/>
        <v>58.65</v>
      </c>
      <c r="V47" s="3"/>
      <c r="W47" s="3">
        <f t="shared" si="3"/>
        <v>58.63074699</v>
      </c>
      <c r="X47" s="3">
        <f t="shared" si="4"/>
        <v>11.22542296</v>
      </c>
      <c r="Y47" s="3">
        <f t="shared" si="5"/>
        <v>11.15086358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142</v>
      </c>
      <c r="B48" s="3" t="s">
        <v>143</v>
      </c>
      <c r="C48" s="3" t="s">
        <v>133</v>
      </c>
      <c r="D48" s="3" t="s">
        <v>29</v>
      </c>
      <c r="E48" s="3">
        <v>45.0</v>
      </c>
      <c r="F48" s="3" t="s">
        <v>27</v>
      </c>
      <c r="G48" s="3">
        <v>56.8</v>
      </c>
      <c r="I48" s="3">
        <v>60.65</v>
      </c>
      <c r="K48" s="3">
        <v>0.0</v>
      </c>
      <c r="L48" s="3">
        <v>0.0</v>
      </c>
      <c r="M48" s="3" t="s">
        <v>77</v>
      </c>
      <c r="N48" s="3">
        <v>1.0</v>
      </c>
      <c r="O48" s="3">
        <v>0.0</v>
      </c>
      <c r="P48" s="3">
        <v>-0.127</v>
      </c>
      <c r="Q48" s="3">
        <v>0.0</v>
      </c>
      <c r="R48" s="3">
        <v>0.2609</v>
      </c>
      <c r="S48" s="3">
        <v>104.07</v>
      </c>
      <c r="T48" s="3">
        <v>5.0</v>
      </c>
      <c r="U48" s="3">
        <f t="shared" si="2"/>
        <v>58.725</v>
      </c>
      <c r="V48" s="3"/>
      <c r="W48" s="3">
        <f t="shared" si="3"/>
        <v>59.070625</v>
      </c>
      <c r="X48" s="3">
        <f t="shared" si="4"/>
        <v>22.83231563</v>
      </c>
      <c r="Y48" s="3">
        <f t="shared" si="5"/>
        <v>22.7955655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142</v>
      </c>
      <c r="B49" s="3" t="s">
        <v>143</v>
      </c>
      <c r="C49" s="3" t="s">
        <v>133</v>
      </c>
      <c r="D49" s="3" t="s">
        <v>29</v>
      </c>
      <c r="E49" s="3">
        <v>45.0</v>
      </c>
      <c r="F49" s="3" t="s">
        <v>27</v>
      </c>
      <c r="G49" s="3">
        <v>55.5</v>
      </c>
      <c r="I49" s="3">
        <v>59.6</v>
      </c>
      <c r="K49" s="3">
        <v>0.0</v>
      </c>
      <c r="L49" s="3">
        <v>0.0</v>
      </c>
      <c r="M49" s="3" t="s">
        <v>78</v>
      </c>
      <c r="N49" s="3">
        <v>1.0</v>
      </c>
      <c r="O49" s="3">
        <v>0.0</v>
      </c>
      <c r="P49" s="3">
        <v>-0.127</v>
      </c>
      <c r="Q49" s="3">
        <v>0.0</v>
      </c>
      <c r="R49" s="3">
        <v>0.1338</v>
      </c>
      <c r="S49" s="3">
        <v>103.010002</v>
      </c>
      <c r="T49" s="3">
        <v>4.0</v>
      </c>
      <c r="U49" s="3">
        <f t="shared" si="2"/>
        <v>57.55</v>
      </c>
      <c r="V49" s="3"/>
      <c r="W49" s="3">
        <f t="shared" si="3"/>
        <v>58.010502</v>
      </c>
      <c r="X49" s="3">
        <f t="shared" si="4"/>
        <v>49.13722523</v>
      </c>
      <c r="Y49" s="3">
        <f t="shared" si="5"/>
        <v>49.12036801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142</v>
      </c>
      <c r="B50" s="3" t="s">
        <v>143</v>
      </c>
      <c r="C50" s="3" t="s">
        <v>133</v>
      </c>
      <c r="D50" s="3" t="s">
        <v>29</v>
      </c>
      <c r="E50" s="3">
        <v>45.0</v>
      </c>
      <c r="F50" s="3" t="s">
        <v>27</v>
      </c>
      <c r="G50" s="3">
        <v>56.15</v>
      </c>
      <c r="I50" s="3">
        <v>60.2</v>
      </c>
      <c r="K50" s="3">
        <v>0.0</v>
      </c>
      <c r="L50" s="3">
        <v>0.0</v>
      </c>
      <c r="M50" s="3" t="s">
        <v>79</v>
      </c>
      <c r="N50" s="3">
        <v>1.0</v>
      </c>
      <c r="O50" s="3">
        <v>0.0</v>
      </c>
      <c r="P50" s="3">
        <v>-0.127</v>
      </c>
      <c r="Q50" s="3">
        <v>0.0</v>
      </c>
      <c r="R50" s="3">
        <v>0.1331</v>
      </c>
      <c r="S50" s="3">
        <v>103.650002</v>
      </c>
      <c r="T50" s="3">
        <v>3.0</v>
      </c>
      <c r="U50" s="3">
        <f t="shared" si="2"/>
        <v>58.175</v>
      </c>
      <c r="V50" s="3"/>
      <c r="W50" s="3">
        <f t="shared" si="3"/>
        <v>58.650377</v>
      </c>
      <c r="X50" s="3">
        <f t="shared" si="4"/>
        <v>57.46096496</v>
      </c>
      <c r="Y50" s="3">
        <f t="shared" si="5"/>
        <v>57.44644256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142</v>
      </c>
      <c r="B51" s="3" t="s">
        <v>143</v>
      </c>
      <c r="C51" s="3" t="s">
        <v>133</v>
      </c>
      <c r="D51" s="3" t="s">
        <v>29</v>
      </c>
      <c r="E51" s="3">
        <v>45.0</v>
      </c>
      <c r="F51" s="3" t="s">
        <v>27</v>
      </c>
      <c r="G51" s="3">
        <v>57.15</v>
      </c>
      <c r="I51" s="3">
        <v>60.6</v>
      </c>
      <c r="K51" s="3">
        <v>0.0</v>
      </c>
      <c r="L51" s="3">
        <v>0.0</v>
      </c>
      <c r="M51" s="3" t="s">
        <v>80</v>
      </c>
      <c r="N51" s="3">
        <v>1.0</v>
      </c>
      <c r="O51" s="3">
        <v>0.0</v>
      </c>
      <c r="P51" s="3">
        <v>-0.127</v>
      </c>
      <c r="Q51" s="3">
        <v>0.0</v>
      </c>
      <c r="R51" s="3">
        <v>0.1283</v>
      </c>
      <c r="S51" s="3">
        <v>103.989998</v>
      </c>
      <c r="T51" s="3">
        <v>2.0</v>
      </c>
      <c r="U51" s="3">
        <f t="shared" si="2"/>
        <v>58.875</v>
      </c>
      <c r="V51" s="3"/>
      <c r="W51" s="3">
        <f t="shared" si="3"/>
        <v>58.990248</v>
      </c>
      <c r="X51" s="3">
        <f t="shared" si="4"/>
        <v>73.29067863</v>
      </c>
      <c r="Y51" s="3">
        <f t="shared" si="5"/>
        <v>73.27924876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142</v>
      </c>
      <c r="B52" s="3" t="s">
        <v>143</v>
      </c>
      <c r="C52" s="3" t="s">
        <v>133</v>
      </c>
      <c r="D52" s="3" t="s">
        <v>29</v>
      </c>
      <c r="E52" s="3">
        <v>45.0</v>
      </c>
      <c r="F52" s="3" t="s">
        <v>27</v>
      </c>
      <c r="G52" s="3">
        <v>56.15</v>
      </c>
      <c r="I52" s="3">
        <v>60.0</v>
      </c>
      <c r="K52" s="3">
        <v>0.0</v>
      </c>
      <c r="L52" s="3">
        <v>0.0</v>
      </c>
      <c r="M52" s="3" t="s">
        <v>81</v>
      </c>
      <c r="N52" s="3">
        <v>1.0</v>
      </c>
      <c r="O52" s="3">
        <v>0.0</v>
      </c>
      <c r="P52" s="3">
        <v>-0.127</v>
      </c>
      <c r="Q52" s="3">
        <v>0.0</v>
      </c>
      <c r="R52" s="3">
        <v>3.4959</v>
      </c>
      <c r="S52" s="3">
        <v>102.790001</v>
      </c>
      <c r="T52" s="3">
        <v>1.0</v>
      </c>
      <c r="U52" s="3">
        <f t="shared" si="2"/>
        <v>58.075</v>
      </c>
      <c r="V52" s="3"/>
      <c r="W52" s="3">
        <f t="shared" si="3"/>
        <v>57.79043808</v>
      </c>
      <c r="X52" s="3">
        <f t="shared" si="4"/>
        <v>3.861016949</v>
      </c>
      <c r="Y52" s="3">
        <f t="shared" si="5"/>
        <v>3.640795948</v>
      </c>
      <c r="Z52" s="3">
        <f t="shared" ref="Z52:AA52" si="55">_xlfn.NORM.S.DIST(X52)</f>
        <v>0.999943542</v>
      </c>
      <c r="AA52" s="3">
        <f t="shared" si="55"/>
        <v>0.9998641018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144</v>
      </c>
      <c r="B2" s="3" t="s">
        <v>145</v>
      </c>
      <c r="C2" s="3" t="s">
        <v>132</v>
      </c>
      <c r="D2" s="3" t="s">
        <v>29</v>
      </c>
      <c r="E2" s="3">
        <v>55.0</v>
      </c>
      <c r="F2" s="3" t="s">
        <v>27</v>
      </c>
      <c r="G2" s="3">
        <v>53.05</v>
      </c>
      <c r="I2" s="3">
        <v>56.9</v>
      </c>
      <c r="K2" s="3">
        <v>0.0</v>
      </c>
      <c r="L2" s="3">
        <v>0.0</v>
      </c>
      <c r="M2" s="3" t="s">
        <v>30</v>
      </c>
      <c r="N2" s="3">
        <v>1.0</v>
      </c>
      <c r="O2" s="3">
        <v>0.0</v>
      </c>
      <c r="P2" s="3">
        <v>-0.1664</v>
      </c>
      <c r="Q2" s="3">
        <v>0.0</v>
      </c>
      <c r="R2" s="3">
        <v>0.195</v>
      </c>
      <c r="S2" s="3">
        <v>110.389999</v>
      </c>
      <c r="T2" s="3">
        <v>51.0</v>
      </c>
      <c r="U2" s="3">
        <f t="shared" ref="U2:U52" si="2">(I2+G2)*0.5</f>
        <v>54.975</v>
      </c>
      <c r="V2" s="3"/>
      <c r="W2" s="3">
        <f t="shared" ref="W2:W52" si="3">( S2*Z2 ) - ( E2 * EXP(-0.0007*T2/$AC$2) * AA2)</f>
        <v>55.39779011</v>
      </c>
      <c r="X2" s="3">
        <f t="shared" ref="X2:X52" si="4">((LN(S2/E2) + (0.0007 + (R2^2)/2) * T2/$AC$2)) / (R2 * SQRT(T2/$AC$2))</f>
        <v>7.987257448</v>
      </c>
      <c r="Y2" s="3">
        <f t="shared" ref="Y2:Y52" si="5">X2-(R2*SQRT(T2/$AC$2))</f>
        <v>7.899533246</v>
      </c>
      <c r="Z2" s="3">
        <f t="shared" ref="Z2:AA2" si="1">_xlfn.NORM.S.DIST(X2)</f>
        <v>1</v>
      </c>
      <c r="AA2" s="3">
        <f t="shared" si="1"/>
        <v>1</v>
      </c>
      <c r="AC2" s="6">
        <v>252.0</v>
      </c>
    </row>
    <row r="3" ht="14.25" customHeight="1">
      <c r="A3" s="3" t="s">
        <v>144</v>
      </c>
      <c r="B3" s="3" t="s">
        <v>145</v>
      </c>
      <c r="C3" s="3" t="s">
        <v>132</v>
      </c>
      <c r="D3" s="3" t="s">
        <v>29</v>
      </c>
      <c r="E3" s="3">
        <v>55.0</v>
      </c>
      <c r="F3" s="3" t="s">
        <v>27</v>
      </c>
      <c r="G3" s="3">
        <v>53.0</v>
      </c>
      <c r="I3" s="3">
        <v>57.0</v>
      </c>
      <c r="K3" s="3">
        <v>0.0</v>
      </c>
      <c r="L3" s="3">
        <v>0.0</v>
      </c>
      <c r="M3" s="3" t="s">
        <v>31</v>
      </c>
      <c r="N3" s="3">
        <v>1.0</v>
      </c>
      <c r="O3" s="3">
        <v>0.0</v>
      </c>
      <c r="P3" s="3">
        <v>-0.1664</v>
      </c>
      <c r="Q3" s="3">
        <v>0.0</v>
      </c>
      <c r="R3" s="3">
        <v>0.1891</v>
      </c>
      <c r="S3" s="3">
        <v>109.919998</v>
      </c>
      <c r="T3" s="3">
        <v>50.0</v>
      </c>
      <c r="U3" s="3">
        <f t="shared" si="2"/>
        <v>55</v>
      </c>
      <c r="V3" s="3"/>
      <c r="W3" s="3">
        <f t="shared" si="3"/>
        <v>54.92763636</v>
      </c>
      <c r="X3" s="3">
        <f t="shared" si="4"/>
        <v>8.264167782</v>
      </c>
      <c r="Y3" s="3">
        <f t="shared" si="5"/>
        <v>8.179935948</v>
      </c>
      <c r="Z3" s="3">
        <f t="shared" ref="Z3:AA3" si="6">_xlfn.NORM.S.DIST(X3)</f>
        <v>1</v>
      </c>
      <c r="AA3" s="3">
        <f t="shared" si="6"/>
        <v>1</v>
      </c>
    </row>
    <row r="4" ht="14.25" customHeight="1">
      <c r="A4" s="3" t="s">
        <v>144</v>
      </c>
      <c r="B4" s="3" t="s">
        <v>145</v>
      </c>
      <c r="C4" s="3" t="s">
        <v>132</v>
      </c>
      <c r="D4" s="3" t="s">
        <v>29</v>
      </c>
      <c r="E4" s="3">
        <v>55.0</v>
      </c>
      <c r="F4" s="3" t="s">
        <v>27</v>
      </c>
      <c r="G4" s="3">
        <v>53.15</v>
      </c>
      <c r="I4" s="3">
        <v>57.45</v>
      </c>
      <c r="K4" s="3">
        <v>0.0</v>
      </c>
      <c r="L4" s="3">
        <v>0.0</v>
      </c>
      <c r="M4" s="3" t="s">
        <v>32</v>
      </c>
      <c r="N4" s="3">
        <v>1.0</v>
      </c>
      <c r="O4" s="3">
        <v>0.0</v>
      </c>
      <c r="P4" s="3">
        <v>-0.1664</v>
      </c>
      <c r="Q4" s="3">
        <v>0.0</v>
      </c>
      <c r="R4" s="3">
        <v>0.1729</v>
      </c>
      <c r="S4" s="3">
        <v>110.5</v>
      </c>
      <c r="T4" s="3">
        <v>49.0</v>
      </c>
      <c r="U4" s="3">
        <f t="shared" si="2"/>
        <v>55.3</v>
      </c>
      <c r="V4" s="3"/>
      <c r="W4" s="3">
        <f t="shared" si="3"/>
        <v>55.5074856</v>
      </c>
      <c r="X4" s="3">
        <f t="shared" si="4"/>
        <v>9.190830462</v>
      </c>
      <c r="Y4" s="3">
        <f t="shared" si="5"/>
        <v>9.114588729</v>
      </c>
      <c r="Z4" s="3">
        <f t="shared" ref="Z4:AA4" si="7">_xlfn.NORM.S.DIST(X4)</f>
        <v>1</v>
      </c>
      <c r="AA4" s="3">
        <f t="shared" si="7"/>
        <v>1</v>
      </c>
    </row>
    <row r="5" ht="14.25" customHeight="1">
      <c r="A5" s="3" t="s">
        <v>144</v>
      </c>
      <c r="B5" s="3" t="s">
        <v>145</v>
      </c>
      <c r="C5" s="3" t="s">
        <v>132</v>
      </c>
      <c r="D5" s="3" t="s">
        <v>29</v>
      </c>
      <c r="E5" s="3">
        <v>55.0</v>
      </c>
      <c r="F5" s="3" t="s">
        <v>27</v>
      </c>
      <c r="G5" s="3">
        <v>52.75</v>
      </c>
      <c r="I5" s="3">
        <v>56.55</v>
      </c>
      <c r="K5" s="3">
        <v>0.0</v>
      </c>
      <c r="L5" s="3">
        <v>0.0</v>
      </c>
      <c r="M5" s="3" t="s">
        <v>33</v>
      </c>
      <c r="N5" s="3">
        <v>1.0</v>
      </c>
      <c r="O5" s="3">
        <v>0.0</v>
      </c>
      <c r="P5" s="3">
        <v>-0.1664</v>
      </c>
      <c r="Q5" s="3">
        <v>0.0</v>
      </c>
      <c r="R5" s="3">
        <v>0.1894</v>
      </c>
      <c r="S5" s="3">
        <v>109.75</v>
      </c>
      <c r="T5" s="3">
        <v>48.0</v>
      </c>
      <c r="U5" s="3">
        <f t="shared" si="2"/>
        <v>54.65</v>
      </c>
      <c r="V5" s="3"/>
      <c r="W5" s="3">
        <f t="shared" si="3"/>
        <v>54.75733284</v>
      </c>
      <c r="X5" s="3">
        <f t="shared" si="4"/>
        <v>8.40084376</v>
      </c>
      <c r="Y5" s="3">
        <f t="shared" si="5"/>
        <v>8.318182823</v>
      </c>
      <c r="Z5" s="3">
        <f t="shared" ref="Z5:AA5" si="8">_xlfn.NORM.S.DIST(X5)</f>
        <v>1</v>
      </c>
      <c r="AA5" s="3">
        <f t="shared" si="8"/>
        <v>1</v>
      </c>
    </row>
    <row r="6" ht="14.25" customHeight="1">
      <c r="A6" s="3" t="s">
        <v>144</v>
      </c>
      <c r="B6" s="3" t="s">
        <v>145</v>
      </c>
      <c r="C6" s="3" t="s">
        <v>132</v>
      </c>
      <c r="D6" s="3" t="s">
        <v>29</v>
      </c>
      <c r="E6" s="3">
        <v>55.0</v>
      </c>
      <c r="F6" s="3" t="s">
        <v>27</v>
      </c>
      <c r="G6" s="3">
        <v>52.05</v>
      </c>
      <c r="I6" s="3">
        <v>56.5</v>
      </c>
      <c r="K6" s="3">
        <v>0.0</v>
      </c>
      <c r="L6" s="3">
        <v>0.0</v>
      </c>
      <c r="M6" s="3" t="s">
        <v>34</v>
      </c>
      <c r="N6" s="3">
        <v>1.0</v>
      </c>
      <c r="O6" s="3">
        <v>0.0</v>
      </c>
      <c r="P6" s="3">
        <v>-0.1664</v>
      </c>
      <c r="Q6" s="3">
        <v>0.0</v>
      </c>
      <c r="R6" s="3">
        <v>0.2022</v>
      </c>
      <c r="S6" s="3">
        <v>109.260002</v>
      </c>
      <c r="T6" s="3">
        <v>47.0</v>
      </c>
      <c r="U6" s="3">
        <f t="shared" si="2"/>
        <v>54.275</v>
      </c>
      <c r="V6" s="3"/>
      <c r="W6" s="3">
        <f t="shared" si="3"/>
        <v>54.26718209</v>
      </c>
      <c r="X6" s="3">
        <f t="shared" si="4"/>
        <v>7.905575595</v>
      </c>
      <c r="Y6" s="3">
        <f t="shared" si="5"/>
        <v>7.818252361</v>
      </c>
      <c r="Z6" s="3">
        <f t="shared" ref="Z6:AA6" si="9">_xlfn.NORM.S.DIST(X6)</f>
        <v>1</v>
      </c>
      <c r="AA6" s="3">
        <f t="shared" si="9"/>
        <v>1</v>
      </c>
    </row>
    <row r="7" ht="14.25" customHeight="1">
      <c r="A7" s="3" t="s">
        <v>144</v>
      </c>
      <c r="B7" s="3" t="s">
        <v>145</v>
      </c>
      <c r="C7" s="3" t="s">
        <v>132</v>
      </c>
      <c r="D7" s="3" t="s">
        <v>29</v>
      </c>
      <c r="E7" s="3">
        <v>55.0</v>
      </c>
      <c r="F7" s="3" t="s">
        <v>27</v>
      </c>
      <c r="G7" s="3">
        <v>52.5</v>
      </c>
      <c r="I7" s="3">
        <v>56.75</v>
      </c>
      <c r="K7" s="3">
        <v>0.0</v>
      </c>
      <c r="L7" s="3">
        <v>0.0</v>
      </c>
      <c r="M7" s="3" t="s">
        <v>35</v>
      </c>
      <c r="N7" s="3">
        <v>0.998</v>
      </c>
      <c r="O7" s="3">
        <v>0.0</v>
      </c>
      <c r="P7" s="3">
        <v>1.0607</v>
      </c>
      <c r="Q7" s="3">
        <v>0.0</v>
      </c>
      <c r="R7" s="3">
        <v>0.2698</v>
      </c>
      <c r="S7" s="3">
        <v>109.540001</v>
      </c>
      <c r="T7" s="3">
        <v>46.0</v>
      </c>
      <c r="U7" s="3">
        <f t="shared" si="2"/>
        <v>54.625</v>
      </c>
      <c r="V7" s="3"/>
      <c r="W7" s="3">
        <f t="shared" si="3"/>
        <v>54.54702833</v>
      </c>
      <c r="X7" s="3">
        <f t="shared" si="4"/>
        <v>6.035579199</v>
      </c>
      <c r="Y7" s="3">
        <f t="shared" si="5"/>
        <v>5.920308059</v>
      </c>
      <c r="Z7" s="3">
        <f t="shared" ref="Z7:AA7" si="10">_xlfn.NORM.S.DIST(X7)</f>
        <v>0.9999999992</v>
      </c>
      <c r="AA7" s="3">
        <f t="shared" si="10"/>
        <v>0.9999999984</v>
      </c>
    </row>
    <row r="8" ht="14.25" customHeight="1">
      <c r="A8" s="3" t="s">
        <v>144</v>
      </c>
      <c r="B8" s="3" t="s">
        <v>145</v>
      </c>
      <c r="C8" s="3" t="s">
        <v>132</v>
      </c>
      <c r="D8" s="3" t="s">
        <v>29</v>
      </c>
      <c r="E8" s="3">
        <v>55.0</v>
      </c>
      <c r="F8" s="3" t="s">
        <v>27</v>
      </c>
      <c r="G8" s="3">
        <v>53.35</v>
      </c>
      <c r="I8" s="3">
        <v>57.5</v>
      </c>
      <c r="K8" s="3">
        <v>0.0</v>
      </c>
      <c r="L8" s="3">
        <v>0.0</v>
      </c>
      <c r="M8" s="3" t="s">
        <v>36</v>
      </c>
      <c r="N8" s="3">
        <v>0.996</v>
      </c>
      <c r="O8" s="3">
        <v>0.0</v>
      </c>
      <c r="P8" s="3">
        <v>2.3057</v>
      </c>
      <c r="Q8" s="3">
        <v>0.0123</v>
      </c>
      <c r="R8" s="3">
        <v>0.443</v>
      </c>
      <c r="S8" s="3">
        <v>110.470001</v>
      </c>
      <c r="T8" s="3">
        <v>45.0</v>
      </c>
      <c r="U8" s="3">
        <f t="shared" si="2"/>
        <v>55.425</v>
      </c>
      <c r="V8" s="3"/>
      <c r="W8" s="3">
        <f t="shared" si="3"/>
        <v>55.47721342</v>
      </c>
      <c r="X8" s="3">
        <f t="shared" si="4"/>
        <v>3.819720501</v>
      </c>
      <c r="Y8" s="3">
        <f t="shared" si="5"/>
        <v>3.632518833</v>
      </c>
      <c r="Z8" s="3">
        <f t="shared" ref="Z8:AA8" si="11">_xlfn.NORM.S.DIST(X8)</f>
        <v>0.9999331985</v>
      </c>
      <c r="AA8" s="3">
        <f t="shared" si="11"/>
        <v>0.999859666</v>
      </c>
    </row>
    <row r="9" ht="14.25" customHeight="1">
      <c r="A9" s="3" t="s">
        <v>144</v>
      </c>
      <c r="B9" s="3" t="s">
        <v>145</v>
      </c>
      <c r="C9" s="3" t="s">
        <v>132</v>
      </c>
      <c r="D9" s="3" t="s">
        <v>29</v>
      </c>
      <c r="E9" s="3">
        <v>55.0</v>
      </c>
      <c r="F9" s="3" t="s">
        <v>27</v>
      </c>
      <c r="G9" s="3">
        <v>54.5</v>
      </c>
      <c r="I9" s="3">
        <v>58.85</v>
      </c>
      <c r="K9" s="3">
        <v>0.0</v>
      </c>
      <c r="L9" s="3">
        <v>0.0</v>
      </c>
      <c r="M9" s="3" t="s">
        <v>37</v>
      </c>
      <c r="N9" s="3">
        <v>0.9959</v>
      </c>
      <c r="O9" s="3">
        <v>0.0</v>
      </c>
      <c r="P9" s="3">
        <v>2.3243</v>
      </c>
      <c r="Q9" s="3">
        <v>0.0305</v>
      </c>
      <c r="R9" s="3">
        <v>0.4868</v>
      </c>
      <c r="S9" s="3">
        <v>111.730003</v>
      </c>
      <c r="T9" s="3">
        <v>44.0</v>
      </c>
      <c r="U9" s="3">
        <f t="shared" si="2"/>
        <v>56.675</v>
      </c>
      <c r="V9" s="3"/>
      <c r="W9" s="3">
        <f t="shared" si="3"/>
        <v>56.73771028</v>
      </c>
      <c r="X9" s="3">
        <f t="shared" si="4"/>
        <v>3.586624311</v>
      </c>
      <c r="Y9" s="3">
        <f t="shared" si="5"/>
        <v>3.383212279</v>
      </c>
      <c r="Z9" s="3">
        <f t="shared" ref="Z9:AA9" si="12">_xlfn.NORM.S.DIST(X9)</f>
        <v>0.9998325068</v>
      </c>
      <c r="AA9" s="3">
        <f t="shared" si="12"/>
        <v>0.9996417838</v>
      </c>
    </row>
    <row r="10" ht="14.25" customHeight="1">
      <c r="A10" s="3" t="s">
        <v>144</v>
      </c>
      <c r="B10" s="3" t="s">
        <v>145</v>
      </c>
      <c r="C10" s="3" t="s">
        <v>132</v>
      </c>
      <c r="D10" s="3" t="s">
        <v>29</v>
      </c>
      <c r="E10" s="3">
        <v>55.0</v>
      </c>
      <c r="F10" s="3" t="s">
        <v>27</v>
      </c>
      <c r="G10" s="3">
        <v>55.65</v>
      </c>
      <c r="I10" s="3">
        <v>59.4</v>
      </c>
      <c r="K10" s="3">
        <v>0.0</v>
      </c>
      <c r="L10" s="3">
        <v>0.0</v>
      </c>
      <c r="M10" s="3" t="s">
        <v>38</v>
      </c>
      <c r="N10" s="3">
        <v>0.9962</v>
      </c>
      <c r="O10" s="3">
        <v>0.0</v>
      </c>
      <c r="P10" s="3">
        <v>2.4326</v>
      </c>
      <c r="Q10" s="3">
        <v>0.0</v>
      </c>
      <c r="R10" s="3">
        <v>0.2187</v>
      </c>
      <c r="S10" s="3">
        <v>112.849998</v>
      </c>
      <c r="T10" s="3">
        <v>43.0</v>
      </c>
      <c r="U10" s="3">
        <f t="shared" si="2"/>
        <v>57.525</v>
      </c>
      <c r="V10" s="3"/>
      <c r="W10" s="3">
        <f t="shared" si="3"/>
        <v>57.85656705</v>
      </c>
      <c r="X10" s="3">
        <f t="shared" si="4"/>
        <v>8.002236376</v>
      </c>
      <c r="Y10" s="3">
        <f t="shared" si="5"/>
        <v>7.911895824</v>
      </c>
      <c r="Z10" s="3">
        <f t="shared" ref="Z10:AA10" si="13">_xlfn.NORM.S.DIST(X10)</f>
        <v>1</v>
      </c>
      <c r="AA10" s="3">
        <f t="shared" si="13"/>
        <v>1</v>
      </c>
    </row>
    <row r="11" ht="14.25" customHeight="1">
      <c r="A11" s="3" t="s">
        <v>144</v>
      </c>
      <c r="B11" s="3" t="s">
        <v>145</v>
      </c>
      <c r="C11" s="3" t="s">
        <v>132</v>
      </c>
      <c r="D11" s="3" t="s">
        <v>29</v>
      </c>
      <c r="E11" s="3">
        <v>55.0</v>
      </c>
      <c r="F11" s="3" t="s">
        <v>27</v>
      </c>
      <c r="G11" s="3">
        <v>55.95</v>
      </c>
      <c r="I11" s="3">
        <v>60.0</v>
      </c>
      <c r="K11" s="3">
        <v>0.0</v>
      </c>
      <c r="L11" s="3">
        <v>0.0</v>
      </c>
      <c r="M11" s="3" t="s">
        <v>39</v>
      </c>
      <c r="N11" s="3">
        <v>0.9962</v>
      </c>
      <c r="O11" s="3">
        <v>0.0</v>
      </c>
      <c r="P11" s="3">
        <v>2.4859</v>
      </c>
      <c r="Q11" s="3">
        <v>0.0</v>
      </c>
      <c r="R11" s="3">
        <v>0.2477</v>
      </c>
      <c r="S11" s="3">
        <v>113.440002</v>
      </c>
      <c r="T11" s="3">
        <v>42.0</v>
      </c>
      <c r="U11" s="3">
        <f t="shared" si="2"/>
        <v>57.975</v>
      </c>
      <c r="V11" s="3"/>
      <c r="W11" s="3">
        <f t="shared" si="3"/>
        <v>58.44641829</v>
      </c>
      <c r="X11" s="3">
        <f t="shared" si="4"/>
        <v>7.210721304</v>
      </c>
      <c r="Y11" s="3">
        <f t="shared" si="5"/>
        <v>7.109598203</v>
      </c>
      <c r="Z11" s="3">
        <f t="shared" ref="Z11:AA11" si="14">_xlfn.NORM.S.DIST(X11)</f>
        <v>1</v>
      </c>
      <c r="AA11" s="3">
        <f t="shared" si="14"/>
        <v>1</v>
      </c>
    </row>
    <row r="12" ht="14.25" customHeight="1">
      <c r="A12" s="3" t="s">
        <v>144</v>
      </c>
      <c r="B12" s="3" t="s">
        <v>145</v>
      </c>
      <c r="C12" s="3" t="s">
        <v>132</v>
      </c>
      <c r="D12" s="3" t="s">
        <v>29</v>
      </c>
      <c r="E12" s="3">
        <v>55.0</v>
      </c>
      <c r="F12" s="3" t="s">
        <v>27</v>
      </c>
      <c r="G12" s="3">
        <v>57.25</v>
      </c>
      <c r="I12" s="3">
        <v>60.5</v>
      </c>
      <c r="K12" s="3">
        <v>0.0</v>
      </c>
      <c r="L12" s="3">
        <v>0.0</v>
      </c>
      <c r="M12" s="3" t="s">
        <v>40</v>
      </c>
      <c r="N12" s="3">
        <v>0.998</v>
      </c>
      <c r="O12" s="3">
        <v>0.0</v>
      </c>
      <c r="P12" s="3">
        <v>1.2664</v>
      </c>
      <c r="Q12" s="3">
        <v>0.0</v>
      </c>
      <c r="R12" s="3">
        <v>0.2534</v>
      </c>
      <c r="S12" s="3">
        <v>113.970001</v>
      </c>
      <c r="T12" s="3">
        <v>41.0</v>
      </c>
      <c r="U12" s="3">
        <f t="shared" si="2"/>
        <v>58.875</v>
      </c>
      <c r="V12" s="3"/>
      <c r="W12" s="3">
        <f t="shared" si="3"/>
        <v>58.97626453</v>
      </c>
      <c r="X12" s="3">
        <f t="shared" si="4"/>
        <v>7.180621078</v>
      </c>
      <c r="Y12" s="3">
        <f t="shared" si="5"/>
        <v>7.07840993</v>
      </c>
      <c r="Z12" s="3">
        <f t="shared" ref="Z12:AA12" si="15">_xlfn.NORM.S.DIST(X12)</f>
        <v>1</v>
      </c>
      <c r="AA12" s="3">
        <f t="shared" si="15"/>
        <v>1</v>
      </c>
    </row>
    <row r="13" ht="14.25" customHeight="1">
      <c r="A13" s="3" t="s">
        <v>144</v>
      </c>
      <c r="B13" s="3" t="s">
        <v>145</v>
      </c>
      <c r="C13" s="3" t="s">
        <v>132</v>
      </c>
      <c r="D13" s="3" t="s">
        <v>29</v>
      </c>
      <c r="E13" s="3">
        <v>55.0</v>
      </c>
      <c r="F13" s="3" t="s">
        <v>27</v>
      </c>
      <c r="G13" s="3">
        <v>58.25</v>
      </c>
      <c r="I13" s="3">
        <v>61.45</v>
      </c>
      <c r="K13" s="3">
        <v>0.0</v>
      </c>
      <c r="L13" s="3">
        <v>0.0</v>
      </c>
      <c r="M13" s="3" t="s">
        <v>41</v>
      </c>
      <c r="N13" s="3">
        <v>0.9839</v>
      </c>
      <c r="O13" s="3">
        <v>8.0E-4</v>
      </c>
      <c r="P13" s="3">
        <v>-1.3868</v>
      </c>
      <c r="Q13" s="3">
        <v>1.4359</v>
      </c>
      <c r="R13" s="3">
        <v>0.8903</v>
      </c>
      <c r="S13" s="3">
        <v>114.739998</v>
      </c>
      <c r="T13" s="3">
        <v>40.0</v>
      </c>
      <c r="U13" s="3">
        <f t="shared" si="2"/>
        <v>59.85</v>
      </c>
      <c r="V13" s="3"/>
      <c r="W13" s="3">
        <f t="shared" si="3"/>
        <v>59.93975878</v>
      </c>
      <c r="X13" s="3">
        <f t="shared" si="4"/>
        <v>2.250761344</v>
      </c>
      <c r="Y13" s="3">
        <f t="shared" si="5"/>
        <v>1.896057334</v>
      </c>
      <c r="Z13" s="3">
        <f t="shared" ref="Z13:AA13" si="16">_xlfn.NORM.S.DIST(X13)</f>
        <v>0.9877996715</v>
      </c>
      <c r="AA13" s="3">
        <f t="shared" si="16"/>
        <v>0.9710237682</v>
      </c>
    </row>
    <row r="14" ht="14.25" customHeight="1">
      <c r="A14" s="3" t="s">
        <v>144</v>
      </c>
      <c r="B14" s="3" t="s">
        <v>145</v>
      </c>
      <c r="C14" s="3" t="s">
        <v>132</v>
      </c>
      <c r="D14" s="3" t="s">
        <v>29</v>
      </c>
      <c r="E14" s="3">
        <v>55.0</v>
      </c>
      <c r="F14" s="3" t="s">
        <v>27</v>
      </c>
      <c r="G14" s="3">
        <v>57.8</v>
      </c>
      <c r="I14" s="3">
        <v>60.8</v>
      </c>
      <c r="K14" s="3">
        <v>0.0</v>
      </c>
      <c r="L14" s="3">
        <v>0.0</v>
      </c>
      <c r="M14" s="3" t="s">
        <v>42</v>
      </c>
      <c r="N14" s="3">
        <v>0.9961</v>
      </c>
      <c r="O14" s="3">
        <v>0.0</v>
      </c>
      <c r="P14" s="3">
        <v>2.7454</v>
      </c>
      <c r="Q14" s="3">
        <v>1.0E-4</v>
      </c>
      <c r="R14" s="3">
        <v>0.3861</v>
      </c>
      <c r="S14" s="3">
        <v>115.239998</v>
      </c>
      <c r="T14" s="3">
        <v>39.0</v>
      </c>
      <c r="U14" s="3">
        <f t="shared" si="2"/>
        <v>59.3</v>
      </c>
      <c r="V14" s="3"/>
      <c r="W14" s="3">
        <f t="shared" si="3"/>
        <v>60.24595729</v>
      </c>
      <c r="X14" s="3">
        <f t="shared" si="4"/>
        <v>4.946493376</v>
      </c>
      <c r="Y14" s="3">
        <f t="shared" si="5"/>
        <v>4.794602448</v>
      </c>
      <c r="Z14" s="3">
        <f t="shared" ref="Z14:AA14" si="17">_xlfn.NORM.S.DIST(X14)</f>
        <v>0.9999996222</v>
      </c>
      <c r="AA14" s="3">
        <f t="shared" si="17"/>
        <v>0.999999185</v>
      </c>
    </row>
    <row r="15" ht="14.25" customHeight="1">
      <c r="A15" s="3" t="s">
        <v>144</v>
      </c>
      <c r="B15" s="3" t="s">
        <v>145</v>
      </c>
      <c r="C15" s="3" t="s">
        <v>132</v>
      </c>
      <c r="D15" s="3" t="s">
        <v>29</v>
      </c>
      <c r="E15" s="3">
        <v>55.0</v>
      </c>
      <c r="F15" s="3" t="s">
        <v>27</v>
      </c>
      <c r="G15" s="3">
        <v>58.55</v>
      </c>
      <c r="I15" s="3">
        <v>62.4</v>
      </c>
      <c r="K15" s="3">
        <v>0.0</v>
      </c>
      <c r="L15" s="3">
        <v>0.0</v>
      </c>
      <c r="M15" s="3" t="s">
        <v>43</v>
      </c>
      <c r="N15" s="3">
        <v>0.9961</v>
      </c>
      <c r="O15" s="3">
        <v>0.0</v>
      </c>
      <c r="P15" s="3">
        <v>3.0163</v>
      </c>
      <c r="Q15" s="3">
        <v>0.0</v>
      </c>
      <c r="R15" s="3">
        <v>0.3116</v>
      </c>
      <c r="S15" s="3">
        <v>115.910004</v>
      </c>
      <c r="T15" s="3">
        <v>38.0</v>
      </c>
      <c r="U15" s="3">
        <f t="shared" si="2"/>
        <v>60.475</v>
      </c>
      <c r="V15" s="3"/>
      <c r="W15" s="3">
        <f t="shared" si="3"/>
        <v>60.91580925</v>
      </c>
      <c r="X15" s="3">
        <f t="shared" si="4"/>
        <v>6.222320676</v>
      </c>
      <c r="Y15" s="3">
        <f t="shared" si="5"/>
        <v>6.101319671</v>
      </c>
      <c r="Z15" s="3">
        <f t="shared" ref="Z15:AA15" si="18">_xlfn.NORM.S.DIST(X15)</f>
        <v>0.9999999998</v>
      </c>
      <c r="AA15" s="3">
        <f t="shared" si="18"/>
        <v>0.9999999995</v>
      </c>
    </row>
    <row r="16" ht="14.25" customHeight="1">
      <c r="A16" s="3" t="s">
        <v>144</v>
      </c>
      <c r="B16" s="3" t="s">
        <v>145</v>
      </c>
      <c r="C16" s="3" t="s">
        <v>132</v>
      </c>
      <c r="D16" s="3" t="s">
        <v>29</v>
      </c>
      <c r="E16" s="3">
        <v>55.0</v>
      </c>
      <c r="F16" s="3" t="s">
        <v>27</v>
      </c>
      <c r="G16" s="3">
        <v>58.35</v>
      </c>
      <c r="I16" s="3">
        <v>61.55</v>
      </c>
      <c r="K16" s="3">
        <v>0.0</v>
      </c>
      <c r="L16" s="3">
        <v>0.0</v>
      </c>
      <c r="M16" s="3" t="s">
        <v>44</v>
      </c>
      <c r="N16" s="3">
        <v>0.9959</v>
      </c>
      <c r="O16" s="3">
        <v>0.0</v>
      </c>
      <c r="P16" s="3">
        <v>3.1494</v>
      </c>
      <c r="Q16" s="3">
        <v>4.0E-4</v>
      </c>
      <c r="R16" s="3">
        <v>0.4315</v>
      </c>
      <c r="S16" s="3">
        <v>115.010002</v>
      </c>
      <c r="T16" s="3">
        <v>37.0</v>
      </c>
      <c r="U16" s="3">
        <f t="shared" si="2"/>
        <v>59.95</v>
      </c>
      <c r="V16" s="3"/>
      <c r="W16" s="3">
        <f t="shared" si="3"/>
        <v>60.01566543</v>
      </c>
      <c r="X16" s="3">
        <f t="shared" si="4"/>
        <v>4.544886794</v>
      </c>
      <c r="Y16" s="3">
        <f t="shared" si="5"/>
        <v>4.379545477</v>
      </c>
      <c r="Z16" s="3">
        <f t="shared" ref="Z16:AA16" si="19">_xlfn.NORM.S.DIST(X16)</f>
        <v>0.9999972518</v>
      </c>
      <c r="AA16" s="3">
        <f t="shared" si="19"/>
        <v>0.9999940536</v>
      </c>
    </row>
    <row r="17" ht="14.25" customHeight="1">
      <c r="A17" s="3" t="s">
        <v>144</v>
      </c>
      <c r="B17" s="3" t="s">
        <v>145</v>
      </c>
      <c r="C17" s="3" t="s">
        <v>132</v>
      </c>
      <c r="D17" s="3" t="s">
        <v>29</v>
      </c>
      <c r="E17" s="3">
        <v>55.0</v>
      </c>
      <c r="F17" s="3" t="s">
        <v>27</v>
      </c>
      <c r="G17" s="3">
        <v>58.8</v>
      </c>
      <c r="I17" s="3">
        <v>62.05</v>
      </c>
      <c r="K17" s="3">
        <v>0.0</v>
      </c>
      <c r="L17" s="3">
        <v>0.0</v>
      </c>
      <c r="M17" s="3" t="s">
        <v>45</v>
      </c>
      <c r="N17" s="3">
        <v>0.9958</v>
      </c>
      <c r="O17" s="3">
        <v>0.0</v>
      </c>
      <c r="P17" s="3">
        <v>3.3103</v>
      </c>
      <c r="Q17" s="3">
        <v>4.0E-4</v>
      </c>
      <c r="R17" s="3">
        <v>0.4358</v>
      </c>
      <c r="S17" s="3">
        <v>115.5</v>
      </c>
      <c r="T17" s="3">
        <v>36.0</v>
      </c>
      <c r="U17" s="3">
        <f t="shared" si="2"/>
        <v>60.425</v>
      </c>
      <c r="V17" s="3"/>
      <c r="W17" s="3">
        <f t="shared" si="3"/>
        <v>60.50550859</v>
      </c>
      <c r="X17" s="3">
        <f t="shared" si="4"/>
        <v>4.587283373</v>
      </c>
      <c r="Y17" s="3">
        <f t="shared" si="5"/>
        <v>4.422566456</v>
      </c>
      <c r="Z17" s="3">
        <f t="shared" ref="Z17:AA17" si="20">_xlfn.NORM.S.DIST(X17)</f>
        <v>0.9999977547</v>
      </c>
      <c r="AA17" s="3">
        <f t="shared" si="20"/>
        <v>0.9999951232</v>
      </c>
    </row>
    <row r="18" ht="14.25" customHeight="1">
      <c r="A18" s="3" t="s">
        <v>144</v>
      </c>
      <c r="B18" s="3" t="s">
        <v>145</v>
      </c>
      <c r="C18" s="3" t="s">
        <v>132</v>
      </c>
      <c r="D18" s="3" t="s">
        <v>29</v>
      </c>
      <c r="E18" s="3">
        <v>55.0</v>
      </c>
      <c r="F18" s="3" t="s">
        <v>27</v>
      </c>
      <c r="G18" s="3">
        <v>58.6</v>
      </c>
      <c r="I18" s="3">
        <v>62.85</v>
      </c>
      <c r="K18" s="3">
        <v>0.0</v>
      </c>
      <c r="L18" s="3">
        <v>0.0</v>
      </c>
      <c r="M18" s="3" t="s">
        <v>46</v>
      </c>
      <c r="N18" s="3">
        <v>0.996</v>
      </c>
      <c r="O18" s="3">
        <v>0.0</v>
      </c>
      <c r="P18" s="3">
        <v>3.2584</v>
      </c>
      <c r="Q18" s="3">
        <v>1.0E-4</v>
      </c>
      <c r="R18" s="3">
        <v>0.4119</v>
      </c>
      <c r="S18" s="3">
        <v>116.199997</v>
      </c>
      <c r="T18" s="3">
        <v>35.0</v>
      </c>
      <c r="U18" s="3">
        <f t="shared" si="2"/>
        <v>60.725</v>
      </c>
      <c r="V18" s="3"/>
      <c r="W18" s="3">
        <f t="shared" si="3"/>
        <v>61.20534524</v>
      </c>
      <c r="X18" s="3">
        <f t="shared" si="4"/>
        <v>4.950025288</v>
      </c>
      <c r="Y18" s="3">
        <f t="shared" si="5"/>
        <v>4.796519222</v>
      </c>
      <c r="Z18" s="3">
        <f t="shared" ref="Z18:AA18" si="21">_xlfn.NORM.S.DIST(X18)</f>
        <v>0.999999629</v>
      </c>
      <c r="AA18" s="3">
        <f t="shared" si="21"/>
        <v>0.9999991928</v>
      </c>
    </row>
    <row r="19" ht="14.25" customHeight="1">
      <c r="A19" s="3" t="s">
        <v>144</v>
      </c>
      <c r="B19" s="3" t="s">
        <v>145</v>
      </c>
      <c r="C19" s="3" t="s">
        <v>132</v>
      </c>
      <c r="D19" s="3" t="s">
        <v>29</v>
      </c>
      <c r="E19" s="3">
        <v>55.0</v>
      </c>
      <c r="F19" s="3" t="s">
        <v>27</v>
      </c>
      <c r="G19" s="3">
        <v>58.9</v>
      </c>
      <c r="I19" s="3">
        <v>62.75</v>
      </c>
      <c r="K19" s="3">
        <v>0.0</v>
      </c>
      <c r="L19" s="3">
        <v>0.0</v>
      </c>
      <c r="M19" s="3" t="s">
        <v>47</v>
      </c>
      <c r="N19" s="3">
        <v>0.9983</v>
      </c>
      <c r="O19" s="3">
        <v>0.0</v>
      </c>
      <c r="P19" s="3">
        <v>1.4141</v>
      </c>
      <c r="Q19" s="3">
        <v>0.0</v>
      </c>
      <c r="R19" s="3">
        <v>0.39</v>
      </c>
      <c r="S19" s="3">
        <v>116.040001</v>
      </c>
      <c r="T19" s="3">
        <v>34.0</v>
      </c>
      <c r="U19" s="3">
        <f t="shared" si="2"/>
        <v>60.825</v>
      </c>
      <c r="V19" s="3"/>
      <c r="W19" s="3">
        <f t="shared" si="3"/>
        <v>61.04519539</v>
      </c>
      <c r="X19" s="3">
        <f t="shared" si="4"/>
        <v>5.284055624</v>
      </c>
      <c r="Y19" s="3">
        <f t="shared" si="5"/>
        <v>5.140802601</v>
      </c>
      <c r="Z19" s="3">
        <f t="shared" ref="Z19:AA19" si="22">_xlfn.NORM.S.DIST(X19)</f>
        <v>0.9999999368</v>
      </c>
      <c r="AA19" s="3">
        <f t="shared" si="22"/>
        <v>0.9999998632</v>
      </c>
    </row>
    <row r="20" ht="14.25" customHeight="1">
      <c r="A20" s="3" t="s">
        <v>144</v>
      </c>
      <c r="B20" s="3" t="s">
        <v>145</v>
      </c>
      <c r="C20" s="3" t="s">
        <v>132</v>
      </c>
      <c r="D20" s="3" t="s">
        <v>29</v>
      </c>
      <c r="E20" s="3">
        <v>55.0</v>
      </c>
      <c r="F20" s="3" t="s">
        <v>27</v>
      </c>
      <c r="G20" s="3">
        <v>59.9</v>
      </c>
      <c r="I20" s="3">
        <v>64.0</v>
      </c>
      <c r="K20" s="3">
        <v>0.0</v>
      </c>
      <c r="L20" s="3">
        <v>0.0</v>
      </c>
      <c r="M20" s="3" t="s">
        <v>48</v>
      </c>
      <c r="N20" s="3">
        <v>1.0</v>
      </c>
      <c r="O20" s="3">
        <v>0.0</v>
      </c>
      <c r="P20" s="3">
        <v>-0.1665</v>
      </c>
      <c r="Q20" s="3">
        <v>0.0</v>
      </c>
      <c r="R20" s="3">
        <v>0.1452</v>
      </c>
      <c r="S20" s="3">
        <v>117.209999</v>
      </c>
      <c r="T20" s="3">
        <v>33.0</v>
      </c>
      <c r="U20" s="3">
        <f t="shared" si="2"/>
        <v>61.95</v>
      </c>
      <c r="V20" s="3"/>
      <c r="W20" s="3">
        <f t="shared" si="3"/>
        <v>62.21504044</v>
      </c>
      <c r="X20" s="3">
        <f t="shared" si="4"/>
        <v>14.42801814</v>
      </c>
      <c r="Y20" s="3">
        <f t="shared" si="5"/>
        <v>14.37547412</v>
      </c>
      <c r="Z20" s="3">
        <f t="shared" ref="Z20:AA20" si="23">_xlfn.NORM.S.DIST(X20)</f>
        <v>1</v>
      </c>
      <c r="AA20" s="3">
        <f t="shared" si="23"/>
        <v>1</v>
      </c>
    </row>
    <row r="21" ht="14.25" customHeight="1">
      <c r="A21" s="3" t="s">
        <v>144</v>
      </c>
      <c r="B21" s="3" t="s">
        <v>145</v>
      </c>
      <c r="C21" s="3" t="s">
        <v>132</v>
      </c>
      <c r="D21" s="3" t="s">
        <v>29</v>
      </c>
      <c r="E21" s="3">
        <v>55.0</v>
      </c>
      <c r="F21" s="3" t="s">
        <v>27</v>
      </c>
      <c r="G21" s="3">
        <v>59.05</v>
      </c>
      <c r="I21" s="3">
        <v>63.4</v>
      </c>
      <c r="K21" s="3">
        <v>0.0</v>
      </c>
      <c r="L21" s="3">
        <v>0.0</v>
      </c>
      <c r="M21" s="3" t="s">
        <v>49</v>
      </c>
      <c r="N21" s="3">
        <v>0.9983</v>
      </c>
      <c r="O21" s="3">
        <v>0.0</v>
      </c>
      <c r="P21" s="3">
        <v>1.4198</v>
      </c>
      <c r="Q21" s="3">
        <v>0.0</v>
      </c>
      <c r="R21" s="3">
        <v>0.3108</v>
      </c>
      <c r="S21" s="3">
        <v>116.449997</v>
      </c>
      <c r="T21" s="3">
        <v>32.0</v>
      </c>
      <c r="U21" s="3">
        <f t="shared" si="2"/>
        <v>61.225</v>
      </c>
      <c r="V21" s="3"/>
      <c r="W21" s="3">
        <f t="shared" si="3"/>
        <v>61.45488567</v>
      </c>
      <c r="X21" s="3">
        <f t="shared" si="4"/>
        <v>6.829163939</v>
      </c>
      <c r="Y21" s="3">
        <f t="shared" si="5"/>
        <v>6.71841088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144</v>
      </c>
      <c r="B22" s="3" t="s">
        <v>145</v>
      </c>
      <c r="C22" s="3" t="s">
        <v>132</v>
      </c>
      <c r="D22" s="3" t="s">
        <v>29</v>
      </c>
      <c r="E22" s="3">
        <v>55.0</v>
      </c>
      <c r="F22" s="3" t="s">
        <v>27</v>
      </c>
      <c r="G22" s="3">
        <v>58.75</v>
      </c>
      <c r="I22" s="3">
        <v>63.0</v>
      </c>
      <c r="K22" s="3">
        <v>0.0</v>
      </c>
      <c r="L22" s="3">
        <v>0.0</v>
      </c>
      <c r="M22" s="3" t="s">
        <v>50</v>
      </c>
      <c r="N22" s="3">
        <v>0.9984</v>
      </c>
      <c r="O22" s="3">
        <v>0.0</v>
      </c>
      <c r="P22" s="3">
        <v>1.3523</v>
      </c>
      <c r="Q22" s="3">
        <v>0.0</v>
      </c>
      <c r="R22" s="3">
        <v>0.1437</v>
      </c>
      <c r="S22" s="3">
        <v>115.150002</v>
      </c>
      <c r="T22" s="3">
        <v>31.0</v>
      </c>
      <c r="U22" s="3">
        <f t="shared" si="2"/>
        <v>60.875</v>
      </c>
      <c r="V22" s="3"/>
      <c r="W22" s="3">
        <f t="shared" si="3"/>
        <v>60.15473791</v>
      </c>
      <c r="X22" s="3">
        <f t="shared" si="4"/>
        <v>14.68744216</v>
      </c>
      <c r="Y22" s="3">
        <f t="shared" si="5"/>
        <v>14.63704137</v>
      </c>
      <c r="Z22" s="3">
        <f t="shared" ref="Z22:AA22" si="25">_xlfn.NORM.S.DIST(X22)</f>
        <v>1</v>
      </c>
      <c r="AA22" s="3">
        <f t="shared" si="25"/>
        <v>1</v>
      </c>
    </row>
    <row r="23" ht="14.25" customHeight="1">
      <c r="A23" s="3" t="s">
        <v>144</v>
      </c>
      <c r="B23" s="3" t="s">
        <v>145</v>
      </c>
      <c r="C23" s="3" t="s">
        <v>133</v>
      </c>
      <c r="D23" s="3" t="s">
        <v>29</v>
      </c>
      <c r="E23" s="3">
        <v>55.0</v>
      </c>
      <c r="F23" s="3" t="s">
        <v>27</v>
      </c>
      <c r="G23" s="3">
        <v>59.8</v>
      </c>
      <c r="I23" s="3">
        <v>63.05</v>
      </c>
      <c r="K23" s="3">
        <v>0.0</v>
      </c>
      <c r="L23" s="3">
        <v>0.0</v>
      </c>
      <c r="M23" s="3" t="s">
        <v>52</v>
      </c>
      <c r="N23" s="3">
        <v>0.997</v>
      </c>
      <c r="O23" s="3">
        <v>0.0</v>
      </c>
      <c r="P23" s="3">
        <v>2.8043</v>
      </c>
      <c r="Q23" s="3">
        <v>0.0</v>
      </c>
      <c r="R23" s="3">
        <v>0.125</v>
      </c>
      <c r="S23" s="3">
        <v>116.5</v>
      </c>
      <c r="T23" s="3">
        <v>30.0</v>
      </c>
      <c r="U23" s="3">
        <f t="shared" si="2"/>
        <v>61.425</v>
      </c>
      <c r="V23" s="3"/>
      <c r="W23" s="3">
        <f t="shared" si="3"/>
        <v>61.50458314</v>
      </c>
      <c r="X23" s="3">
        <f t="shared" si="4"/>
        <v>17.42608876</v>
      </c>
      <c r="Y23" s="3">
        <f t="shared" si="5"/>
        <v>17.38295967</v>
      </c>
      <c r="Z23" s="3">
        <f t="shared" ref="Z23:AA23" si="26">_xlfn.NORM.S.DIST(X23)</f>
        <v>1</v>
      </c>
      <c r="AA23" s="3">
        <f t="shared" si="26"/>
        <v>1</v>
      </c>
    </row>
    <row r="24" ht="14.25" customHeight="1">
      <c r="A24" s="3" t="s">
        <v>144</v>
      </c>
      <c r="B24" s="3" t="s">
        <v>145</v>
      </c>
      <c r="C24" s="3" t="s">
        <v>133</v>
      </c>
      <c r="D24" s="3" t="s">
        <v>29</v>
      </c>
      <c r="E24" s="3">
        <v>55.0</v>
      </c>
      <c r="F24" s="3" t="s">
        <v>27</v>
      </c>
      <c r="G24" s="3">
        <v>58.35</v>
      </c>
      <c r="I24" s="3">
        <v>62.45</v>
      </c>
      <c r="K24" s="3">
        <v>0.0</v>
      </c>
      <c r="L24" s="3">
        <v>0.0</v>
      </c>
      <c r="M24" s="3" t="s">
        <v>53</v>
      </c>
      <c r="N24" s="3">
        <v>0.9975</v>
      </c>
      <c r="O24" s="3">
        <v>0.0</v>
      </c>
      <c r="P24" s="3">
        <v>2.5597</v>
      </c>
      <c r="Q24" s="3">
        <v>0.0</v>
      </c>
      <c r="R24" s="3">
        <v>0.2692</v>
      </c>
      <c r="S24" s="3">
        <v>115.199997</v>
      </c>
      <c r="T24" s="3">
        <v>29.0</v>
      </c>
      <c r="U24" s="3">
        <f t="shared" si="2"/>
        <v>60.4</v>
      </c>
      <c r="V24" s="3"/>
      <c r="W24" s="3">
        <f t="shared" si="3"/>
        <v>60.20442738</v>
      </c>
      <c r="X24" s="3">
        <f t="shared" si="4"/>
        <v>8.142503516</v>
      </c>
      <c r="Y24" s="3">
        <f t="shared" si="5"/>
        <v>8.051181859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144</v>
      </c>
      <c r="B25" s="3" t="s">
        <v>145</v>
      </c>
      <c r="C25" s="3" t="s">
        <v>133</v>
      </c>
      <c r="D25" s="3" t="s">
        <v>29</v>
      </c>
      <c r="E25" s="3">
        <v>55.0</v>
      </c>
      <c r="F25" s="3" t="s">
        <v>27</v>
      </c>
      <c r="G25" s="3">
        <v>58.7</v>
      </c>
      <c r="I25" s="3">
        <v>63.0</v>
      </c>
      <c r="K25" s="3">
        <v>0.0</v>
      </c>
      <c r="L25" s="3">
        <v>0.0</v>
      </c>
      <c r="M25" s="3" t="s">
        <v>54</v>
      </c>
      <c r="N25" s="3">
        <v>0.9974</v>
      </c>
      <c r="O25" s="3">
        <v>0.0</v>
      </c>
      <c r="P25" s="3">
        <v>2.6596</v>
      </c>
      <c r="Q25" s="3">
        <v>0.0</v>
      </c>
      <c r="R25" s="3">
        <v>0.2803</v>
      </c>
      <c r="S25" s="3">
        <v>115.809998</v>
      </c>
      <c r="T25" s="3">
        <v>28.0</v>
      </c>
      <c r="U25" s="3">
        <f t="shared" si="2"/>
        <v>60.85</v>
      </c>
      <c r="V25" s="3"/>
      <c r="W25" s="3">
        <f t="shared" si="3"/>
        <v>60.81427561</v>
      </c>
      <c r="X25" s="3">
        <f t="shared" si="4"/>
        <v>8.017057292</v>
      </c>
      <c r="Y25" s="3">
        <f t="shared" si="5"/>
        <v>7.923623959</v>
      </c>
      <c r="Z25" s="3">
        <f t="shared" ref="Z25:AA25" si="28">_xlfn.NORM.S.DIST(X25)</f>
        <v>1</v>
      </c>
      <c r="AA25" s="3">
        <f t="shared" si="28"/>
        <v>1</v>
      </c>
    </row>
    <row r="26" ht="14.25" customHeight="1">
      <c r="A26" s="3" t="s">
        <v>144</v>
      </c>
      <c r="B26" s="3" t="s">
        <v>145</v>
      </c>
      <c r="C26" s="3" t="s">
        <v>133</v>
      </c>
      <c r="D26" s="3" t="s">
        <v>29</v>
      </c>
      <c r="E26" s="3">
        <v>55.0</v>
      </c>
      <c r="F26" s="3" t="s">
        <v>27</v>
      </c>
      <c r="G26" s="3">
        <v>58.5</v>
      </c>
      <c r="I26" s="3">
        <v>62.3</v>
      </c>
      <c r="K26" s="3">
        <v>0.0</v>
      </c>
      <c r="L26" s="3">
        <v>0.0</v>
      </c>
      <c r="M26" s="3" t="s">
        <v>55</v>
      </c>
      <c r="N26" s="3">
        <v>0.9975</v>
      </c>
      <c r="O26" s="3">
        <v>0.0</v>
      </c>
      <c r="P26" s="3">
        <v>2.7263</v>
      </c>
      <c r="Q26" s="3">
        <v>0.0</v>
      </c>
      <c r="R26" s="3">
        <v>0.2803</v>
      </c>
      <c r="S26" s="3">
        <v>115.910004</v>
      </c>
      <c r="T26" s="3">
        <v>27.0</v>
      </c>
      <c r="U26" s="3">
        <f t="shared" si="2"/>
        <v>60.4</v>
      </c>
      <c r="V26" s="3"/>
      <c r="W26" s="3">
        <f t="shared" si="3"/>
        <v>60.91412885</v>
      </c>
      <c r="X26" s="3">
        <f t="shared" si="4"/>
        <v>8.171849983</v>
      </c>
      <c r="Y26" s="3">
        <f t="shared" si="5"/>
        <v>8.080100271</v>
      </c>
      <c r="Z26" s="3">
        <f t="shared" ref="Z26:AA26" si="29">_xlfn.NORM.S.DIST(X26)</f>
        <v>1</v>
      </c>
      <c r="AA26" s="3">
        <f t="shared" si="29"/>
        <v>1</v>
      </c>
    </row>
    <row r="27" ht="14.25" customHeight="1">
      <c r="A27" s="3" t="s">
        <v>144</v>
      </c>
      <c r="B27" s="3" t="s">
        <v>145</v>
      </c>
      <c r="C27" s="3" t="s">
        <v>133</v>
      </c>
      <c r="D27" s="3" t="s">
        <v>29</v>
      </c>
      <c r="E27" s="3">
        <v>55.0</v>
      </c>
      <c r="F27" s="3" t="s">
        <v>27</v>
      </c>
      <c r="G27" s="3">
        <v>57.95</v>
      </c>
      <c r="I27" s="3">
        <v>62.0</v>
      </c>
      <c r="K27" s="3">
        <v>0.0</v>
      </c>
      <c r="L27" s="3">
        <v>0.0</v>
      </c>
      <c r="M27" s="3" t="s">
        <v>56</v>
      </c>
      <c r="N27" s="3">
        <v>0.9976</v>
      </c>
      <c r="O27" s="3">
        <v>0.0</v>
      </c>
      <c r="P27" s="3">
        <v>2.5559</v>
      </c>
      <c r="Q27" s="3">
        <v>0.0</v>
      </c>
      <c r="R27" s="3">
        <v>0.2718</v>
      </c>
      <c r="S27" s="3">
        <v>115.019997</v>
      </c>
      <c r="T27" s="3">
        <v>26.0</v>
      </c>
      <c r="U27" s="3">
        <f t="shared" si="2"/>
        <v>59.975</v>
      </c>
      <c r="V27" s="3"/>
      <c r="W27" s="3">
        <f t="shared" si="3"/>
        <v>60.02396908</v>
      </c>
      <c r="X27" s="3">
        <f t="shared" si="4"/>
        <v>8.495064771</v>
      </c>
      <c r="Y27" s="3">
        <f t="shared" si="5"/>
        <v>8.407760427</v>
      </c>
      <c r="Z27" s="3">
        <f t="shared" ref="Z27:AA27" si="30">_xlfn.NORM.S.DIST(X27)</f>
        <v>1</v>
      </c>
      <c r="AA27" s="3">
        <f t="shared" si="30"/>
        <v>1</v>
      </c>
    </row>
    <row r="28" ht="14.25" customHeight="1">
      <c r="A28" s="3" t="s">
        <v>144</v>
      </c>
      <c r="B28" s="3" t="s">
        <v>145</v>
      </c>
      <c r="C28" s="3" t="s">
        <v>133</v>
      </c>
      <c r="D28" s="3" t="s">
        <v>29</v>
      </c>
      <c r="E28" s="3">
        <v>55.0</v>
      </c>
      <c r="F28" s="3" t="s">
        <v>27</v>
      </c>
      <c r="G28" s="3">
        <v>58.8</v>
      </c>
      <c r="I28" s="3">
        <v>62.1</v>
      </c>
      <c r="K28" s="3">
        <v>0.0</v>
      </c>
      <c r="L28" s="3">
        <v>0.0</v>
      </c>
      <c r="M28" s="3" t="s">
        <v>57</v>
      </c>
      <c r="N28" s="3">
        <v>0.9978</v>
      </c>
      <c r="O28" s="3">
        <v>0.0</v>
      </c>
      <c r="P28" s="3">
        <v>2.4854</v>
      </c>
      <c r="Q28" s="3">
        <v>0.0</v>
      </c>
      <c r="R28" s="3">
        <v>0.2963</v>
      </c>
      <c r="S28" s="3">
        <v>115.639999</v>
      </c>
      <c r="T28" s="3">
        <v>25.0</v>
      </c>
      <c r="U28" s="3">
        <f t="shared" si="2"/>
        <v>60.45</v>
      </c>
      <c r="V28" s="3"/>
      <c r="W28" s="3">
        <f t="shared" si="3"/>
        <v>60.64381831</v>
      </c>
      <c r="X28" s="3">
        <f t="shared" si="4"/>
        <v>8.010363606</v>
      </c>
      <c r="Y28" s="3">
        <f t="shared" si="5"/>
        <v>7.917037878</v>
      </c>
      <c r="Z28" s="3">
        <f t="shared" ref="Z28:AA28" si="31">_xlfn.NORM.S.DIST(X28)</f>
        <v>1</v>
      </c>
      <c r="AA28" s="3">
        <f t="shared" si="31"/>
        <v>1</v>
      </c>
    </row>
    <row r="29" ht="14.25" customHeight="1">
      <c r="A29" s="3" t="s">
        <v>144</v>
      </c>
      <c r="B29" s="3" t="s">
        <v>145</v>
      </c>
      <c r="C29" s="3" t="s">
        <v>133</v>
      </c>
      <c r="D29" s="3" t="s">
        <v>29</v>
      </c>
      <c r="E29" s="3">
        <v>55.0</v>
      </c>
      <c r="F29" s="3" t="s">
        <v>27</v>
      </c>
      <c r="G29" s="3">
        <v>58.85</v>
      </c>
      <c r="I29" s="3">
        <v>62.25</v>
      </c>
      <c r="K29" s="3">
        <v>0.0</v>
      </c>
      <c r="L29" s="3">
        <v>0.0</v>
      </c>
      <c r="M29" s="3" t="s">
        <v>58</v>
      </c>
      <c r="N29" s="3">
        <v>0.9983</v>
      </c>
      <c r="O29" s="3">
        <v>0.0</v>
      </c>
      <c r="P29" s="3">
        <v>2.0392</v>
      </c>
      <c r="Q29" s="3">
        <v>0.0</v>
      </c>
      <c r="R29" s="3">
        <v>0.289</v>
      </c>
      <c r="S29" s="3">
        <v>115.639999</v>
      </c>
      <c r="T29" s="3">
        <v>24.0</v>
      </c>
      <c r="U29" s="3">
        <f t="shared" si="2"/>
        <v>60.55</v>
      </c>
      <c r="V29" s="3"/>
      <c r="W29" s="3">
        <f t="shared" si="3"/>
        <v>60.64366554</v>
      </c>
      <c r="X29" s="3">
        <f t="shared" si="4"/>
        <v>8.377787829</v>
      </c>
      <c r="Y29" s="3">
        <f t="shared" si="5"/>
        <v>8.288600493</v>
      </c>
      <c r="Z29" s="3">
        <f t="shared" ref="Z29:AA29" si="32">_xlfn.NORM.S.DIST(X29)</f>
        <v>1</v>
      </c>
      <c r="AA29" s="3">
        <f t="shared" si="32"/>
        <v>1</v>
      </c>
    </row>
    <row r="30" ht="14.25" customHeight="1">
      <c r="A30" s="3" t="s">
        <v>144</v>
      </c>
      <c r="B30" s="3" t="s">
        <v>145</v>
      </c>
      <c r="C30" s="3" t="s">
        <v>133</v>
      </c>
      <c r="D30" s="3" t="s">
        <v>29</v>
      </c>
      <c r="E30" s="3">
        <v>55.0</v>
      </c>
      <c r="F30" s="3" t="s">
        <v>27</v>
      </c>
      <c r="G30" s="3">
        <v>59.85</v>
      </c>
      <c r="I30" s="3">
        <v>63.45</v>
      </c>
      <c r="K30" s="3">
        <v>0.0</v>
      </c>
      <c r="L30" s="3">
        <v>0.0</v>
      </c>
      <c r="M30" s="3" t="s">
        <v>59</v>
      </c>
      <c r="N30" s="3">
        <v>0.9984</v>
      </c>
      <c r="O30" s="3">
        <v>0.0</v>
      </c>
      <c r="P30" s="3">
        <v>1.9806</v>
      </c>
      <c r="Q30" s="3">
        <v>0.0</v>
      </c>
      <c r="R30" s="3">
        <v>0.297</v>
      </c>
      <c r="S30" s="3">
        <v>116.5</v>
      </c>
      <c r="T30" s="3">
        <v>23.0</v>
      </c>
      <c r="U30" s="3">
        <f t="shared" si="2"/>
        <v>61.65</v>
      </c>
      <c r="V30" s="3"/>
      <c r="W30" s="3">
        <f t="shared" si="3"/>
        <v>61.50351378</v>
      </c>
      <c r="X30" s="3">
        <f t="shared" si="4"/>
        <v>8.410541845</v>
      </c>
      <c r="Y30" s="3">
        <f t="shared" si="5"/>
        <v>8.320815475</v>
      </c>
      <c r="Z30" s="3">
        <f t="shared" ref="Z30:AA30" si="33">_xlfn.NORM.S.DIST(X30)</f>
        <v>1</v>
      </c>
      <c r="AA30" s="3">
        <f t="shared" si="33"/>
        <v>1</v>
      </c>
    </row>
    <row r="31" ht="14.25" customHeight="1">
      <c r="A31" s="3" t="s">
        <v>144</v>
      </c>
      <c r="B31" s="3" t="s">
        <v>145</v>
      </c>
      <c r="C31" s="3" t="s">
        <v>133</v>
      </c>
      <c r="D31" s="3" t="s">
        <v>29</v>
      </c>
      <c r="E31" s="3">
        <v>55.0</v>
      </c>
      <c r="F31" s="3" t="s">
        <v>27</v>
      </c>
      <c r="G31" s="3">
        <v>58.85</v>
      </c>
      <c r="I31" s="3">
        <v>62.25</v>
      </c>
      <c r="K31" s="3">
        <v>0.0</v>
      </c>
      <c r="L31" s="3">
        <v>0.0</v>
      </c>
      <c r="M31" s="3" t="s">
        <v>60</v>
      </c>
      <c r="N31" s="3">
        <v>0.9992</v>
      </c>
      <c r="O31" s="3">
        <v>0.0</v>
      </c>
      <c r="P31" s="3">
        <v>0.9024</v>
      </c>
      <c r="Q31" s="3">
        <v>0.0</v>
      </c>
      <c r="R31" s="3">
        <v>0.3361</v>
      </c>
      <c r="S31" s="3">
        <v>115.529999</v>
      </c>
      <c r="T31" s="3">
        <v>22.0</v>
      </c>
      <c r="U31" s="3">
        <f t="shared" si="2"/>
        <v>60.55</v>
      </c>
      <c r="V31" s="3"/>
      <c r="W31" s="3">
        <f t="shared" si="3"/>
        <v>60.53336001</v>
      </c>
      <c r="X31" s="3">
        <f t="shared" si="4"/>
        <v>7.524037268</v>
      </c>
      <c r="Y31" s="3">
        <f t="shared" si="5"/>
        <v>7.424730332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144</v>
      </c>
      <c r="B32" s="3" t="s">
        <v>145</v>
      </c>
      <c r="C32" s="3" t="s">
        <v>133</v>
      </c>
      <c r="D32" s="3" t="s">
        <v>29</v>
      </c>
      <c r="E32" s="3">
        <v>55.0</v>
      </c>
      <c r="F32" s="3" t="s">
        <v>27</v>
      </c>
      <c r="G32" s="3">
        <v>59.3</v>
      </c>
      <c r="I32" s="3">
        <v>62.65</v>
      </c>
      <c r="K32" s="3">
        <v>0.0</v>
      </c>
      <c r="L32" s="3">
        <v>0.0</v>
      </c>
      <c r="M32" s="3" t="s">
        <v>61</v>
      </c>
      <c r="N32" s="3">
        <v>0.9985</v>
      </c>
      <c r="O32" s="3">
        <v>0.0</v>
      </c>
      <c r="P32" s="3">
        <v>1.9663</v>
      </c>
      <c r="Q32" s="3">
        <v>0.0</v>
      </c>
      <c r="R32" s="3">
        <v>0.4767</v>
      </c>
      <c r="S32" s="3">
        <v>115.709999</v>
      </c>
      <c r="T32" s="3">
        <v>21.0</v>
      </c>
      <c r="U32" s="3">
        <f t="shared" si="2"/>
        <v>60.975</v>
      </c>
      <c r="V32" s="3"/>
      <c r="W32" s="3">
        <f t="shared" si="3"/>
        <v>60.7132073</v>
      </c>
      <c r="X32" s="3">
        <f t="shared" si="4"/>
        <v>5.473968388</v>
      </c>
      <c r="Y32" s="3">
        <f t="shared" si="5"/>
        <v>5.336356951</v>
      </c>
      <c r="Z32" s="3">
        <f t="shared" ref="Z32:AA32" si="35">_xlfn.NORM.S.DIST(X32)</f>
        <v>0.999999978</v>
      </c>
      <c r="AA32" s="3">
        <f t="shared" si="35"/>
        <v>0.9999999526</v>
      </c>
    </row>
    <row r="33" ht="14.25" customHeight="1">
      <c r="A33" s="3" t="s">
        <v>144</v>
      </c>
      <c r="B33" s="3" t="s">
        <v>145</v>
      </c>
      <c r="C33" s="3" t="s">
        <v>133</v>
      </c>
      <c r="D33" s="3" t="s">
        <v>29</v>
      </c>
      <c r="E33" s="3">
        <v>55.0</v>
      </c>
      <c r="F33" s="3" t="s">
        <v>27</v>
      </c>
      <c r="G33" s="3">
        <v>58.4</v>
      </c>
      <c r="I33" s="3">
        <v>61.6</v>
      </c>
      <c r="K33" s="3">
        <v>0.0</v>
      </c>
      <c r="L33" s="3">
        <v>0.0</v>
      </c>
      <c r="M33" s="3" t="s">
        <v>62</v>
      </c>
      <c r="N33" s="3">
        <v>0.9987</v>
      </c>
      <c r="O33" s="3">
        <v>0.0</v>
      </c>
      <c r="P33" s="3">
        <v>1.801</v>
      </c>
      <c r="Q33" s="3">
        <v>0.0</v>
      </c>
      <c r="R33" s="3">
        <v>0.3759</v>
      </c>
      <c r="S33" s="3">
        <v>114.959999</v>
      </c>
      <c r="T33" s="3">
        <v>20.0</v>
      </c>
      <c r="U33" s="3">
        <f t="shared" si="2"/>
        <v>60</v>
      </c>
      <c r="V33" s="3"/>
      <c r="W33" s="3">
        <f t="shared" si="3"/>
        <v>59.96305447</v>
      </c>
      <c r="X33" s="3">
        <f t="shared" si="4"/>
        <v>7.015382578</v>
      </c>
      <c r="Y33" s="3">
        <f t="shared" si="5"/>
        <v>6.90948475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144</v>
      </c>
      <c r="B34" s="3" t="s">
        <v>145</v>
      </c>
      <c r="C34" s="3" t="s">
        <v>133</v>
      </c>
      <c r="D34" s="3" t="s">
        <v>29</v>
      </c>
      <c r="E34" s="3">
        <v>55.0</v>
      </c>
      <c r="F34" s="3" t="s">
        <v>27</v>
      </c>
      <c r="G34" s="3">
        <v>59.3</v>
      </c>
      <c r="I34" s="3">
        <v>62.5</v>
      </c>
      <c r="K34" s="3">
        <v>0.0</v>
      </c>
      <c r="L34" s="3">
        <v>0.0</v>
      </c>
      <c r="M34" s="3" t="s">
        <v>63</v>
      </c>
      <c r="N34" s="3">
        <v>0.9996</v>
      </c>
      <c r="O34" s="3">
        <v>0.0</v>
      </c>
      <c r="P34" s="3">
        <v>0.6142</v>
      </c>
      <c r="Q34" s="3">
        <v>0.0</v>
      </c>
      <c r="R34" s="3">
        <v>0.3166</v>
      </c>
      <c r="S34" s="3">
        <v>115.919998</v>
      </c>
      <c r="T34" s="3">
        <v>19.0</v>
      </c>
      <c r="U34" s="3">
        <f t="shared" si="2"/>
        <v>60.9</v>
      </c>
      <c r="V34" s="3"/>
      <c r="W34" s="3">
        <f t="shared" si="3"/>
        <v>60.9229007</v>
      </c>
      <c r="X34" s="3">
        <f t="shared" si="4"/>
        <v>8.620360611</v>
      </c>
      <c r="Y34" s="3">
        <f t="shared" si="5"/>
        <v>8.533427056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144</v>
      </c>
      <c r="B35" s="3" t="s">
        <v>145</v>
      </c>
      <c r="C35" s="3" t="s">
        <v>133</v>
      </c>
      <c r="D35" s="3" t="s">
        <v>29</v>
      </c>
      <c r="E35" s="3">
        <v>55.0</v>
      </c>
      <c r="F35" s="3" t="s">
        <v>27</v>
      </c>
      <c r="G35" s="3">
        <v>58.4</v>
      </c>
      <c r="I35" s="3">
        <v>61.45</v>
      </c>
      <c r="K35" s="3">
        <v>0.0</v>
      </c>
      <c r="L35" s="3">
        <v>0.0</v>
      </c>
      <c r="M35" s="3" t="s">
        <v>64</v>
      </c>
      <c r="N35" s="3">
        <v>1.0</v>
      </c>
      <c r="O35" s="3">
        <v>0.0</v>
      </c>
      <c r="P35" s="3">
        <v>-0.1597</v>
      </c>
      <c r="Q35" s="3">
        <v>0.0</v>
      </c>
      <c r="R35" s="3">
        <v>0.2154</v>
      </c>
      <c r="S35" s="3">
        <v>114.989998</v>
      </c>
      <c r="T35" s="3">
        <v>18.0</v>
      </c>
      <c r="U35" s="3">
        <f t="shared" si="2"/>
        <v>59.925</v>
      </c>
      <c r="V35" s="3"/>
      <c r="W35" s="3">
        <f t="shared" si="3"/>
        <v>59.99274793</v>
      </c>
      <c r="X35" s="3">
        <f t="shared" si="4"/>
        <v>12.84078114</v>
      </c>
      <c r="Y35" s="3">
        <f t="shared" si="5"/>
        <v>12.78321307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144</v>
      </c>
      <c r="B36" s="3" t="s">
        <v>145</v>
      </c>
      <c r="C36" s="3" t="s">
        <v>133</v>
      </c>
      <c r="D36" s="3" t="s">
        <v>29</v>
      </c>
      <c r="E36" s="3">
        <v>55.0</v>
      </c>
      <c r="F36" s="3" t="s">
        <v>27</v>
      </c>
      <c r="G36" s="3">
        <v>57.9</v>
      </c>
      <c r="I36" s="3">
        <v>61.6</v>
      </c>
      <c r="K36" s="3">
        <v>0.0</v>
      </c>
      <c r="L36" s="3">
        <v>0.0</v>
      </c>
      <c r="M36" s="3" t="s">
        <v>65</v>
      </c>
      <c r="N36" s="3">
        <v>0.9994</v>
      </c>
      <c r="O36" s="3">
        <v>0.0</v>
      </c>
      <c r="P36" s="3">
        <v>0.9434</v>
      </c>
      <c r="Q36" s="3">
        <v>0.0</v>
      </c>
      <c r="R36" s="3">
        <v>0.3224</v>
      </c>
      <c r="S36" s="3">
        <v>114.989998</v>
      </c>
      <c r="T36" s="3">
        <v>17.0</v>
      </c>
      <c r="U36" s="3">
        <f t="shared" si="2"/>
        <v>59.75</v>
      </c>
      <c r="V36" s="3"/>
      <c r="W36" s="3">
        <f t="shared" si="3"/>
        <v>59.99259516</v>
      </c>
      <c r="X36" s="3">
        <f t="shared" si="4"/>
        <v>8.849875732</v>
      </c>
      <c r="Y36" s="3">
        <f t="shared" si="5"/>
        <v>8.76613838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144</v>
      </c>
      <c r="B37" s="3" t="s">
        <v>145</v>
      </c>
      <c r="C37" s="3" t="s">
        <v>133</v>
      </c>
      <c r="D37" s="3" t="s">
        <v>29</v>
      </c>
      <c r="E37" s="3">
        <v>55.0</v>
      </c>
      <c r="F37" s="3" t="s">
        <v>27</v>
      </c>
      <c r="G37" s="3">
        <v>58.85</v>
      </c>
      <c r="I37" s="3">
        <v>62.75</v>
      </c>
      <c r="K37" s="3">
        <v>0.0</v>
      </c>
      <c r="L37" s="3">
        <v>0.0</v>
      </c>
      <c r="M37" s="3" t="s">
        <v>66</v>
      </c>
      <c r="N37" s="3">
        <v>0.9994</v>
      </c>
      <c r="O37" s="3">
        <v>0.0</v>
      </c>
      <c r="P37" s="3">
        <v>0.9528</v>
      </c>
      <c r="Q37" s="3">
        <v>0.0</v>
      </c>
      <c r="R37" s="3">
        <v>0.2387</v>
      </c>
      <c r="S37" s="3">
        <v>115.959999</v>
      </c>
      <c r="T37" s="3">
        <v>16.0</v>
      </c>
      <c r="U37" s="3">
        <f t="shared" si="2"/>
        <v>60.8</v>
      </c>
      <c r="V37" s="3"/>
      <c r="W37" s="3">
        <f t="shared" si="3"/>
        <v>60.96244339</v>
      </c>
      <c r="X37" s="3">
        <f t="shared" si="4"/>
        <v>12.43234945</v>
      </c>
      <c r="Y37" s="3">
        <f t="shared" si="5"/>
        <v>12.3722027</v>
      </c>
      <c r="Z37" s="3">
        <f t="shared" ref="Z37:AA37" si="40">_xlfn.NORM.S.DIST(X37)</f>
        <v>1</v>
      </c>
      <c r="AA37" s="3">
        <f t="shared" si="40"/>
        <v>1</v>
      </c>
    </row>
    <row r="38" ht="14.25" customHeight="1">
      <c r="A38" s="3" t="s">
        <v>144</v>
      </c>
      <c r="B38" s="3" t="s">
        <v>145</v>
      </c>
      <c r="C38" s="3" t="s">
        <v>133</v>
      </c>
      <c r="D38" s="3" t="s">
        <v>29</v>
      </c>
      <c r="E38" s="3">
        <v>55.0</v>
      </c>
      <c r="F38" s="3" t="s">
        <v>27</v>
      </c>
      <c r="G38" s="3">
        <v>57.05</v>
      </c>
      <c r="I38" s="3">
        <v>60.75</v>
      </c>
      <c r="K38" s="3">
        <v>0.0</v>
      </c>
      <c r="L38" s="3">
        <v>0.0</v>
      </c>
      <c r="M38" s="3" t="s">
        <v>67</v>
      </c>
      <c r="N38" s="3">
        <v>0.9996</v>
      </c>
      <c r="O38" s="3">
        <v>0.0</v>
      </c>
      <c r="P38" s="3">
        <v>0.8122</v>
      </c>
      <c r="Q38" s="3">
        <v>0.0</v>
      </c>
      <c r="R38" s="3">
        <v>0.4362</v>
      </c>
      <c r="S38" s="3">
        <v>113.540001</v>
      </c>
      <c r="T38" s="3">
        <v>15.0</v>
      </c>
      <c r="U38" s="3">
        <f t="shared" si="2"/>
        <v>58.9</v>
      </c>
      <c r="V38" s="3"/>
      <c r="W38" s="3">
        <f t="shared" si="3"/>
        <v>58.54229262</v>
      </c>
      <c r="X38" s="3">
        <f t="shared" si="4"/>
        <v>6.864437474</v>
      </c>
      <c r="Y38" s="3">
        <f t="shared" si="5"/>
        <v>6.758015571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144</v>
      </c>
      <c r="B39" s="3" t="s">
        <v>145</v>
      </c>
      <c r="C39" s="3" t="s">
        <v>133</v>
      </c>
      <c r="D39" s="3" t="s">
        <v>29</v>
      </c>
      <c r="E39" s="3">
        <v>55.0</v>
      </c>
      <c r="F39" s="3" t="s">
        <v>27</v>
      </c>
      <c r="G39" s="3">
        <v>58.15</v>
      </c>
      <c r="I39" s="3">
        <v>61.65</v>
      </c>
      <c r="K39" s="3">
        <v>0.0</v>
      </c>
      <c r="L39" s="3">
        <v>0.0</v>
      </c>
      <c r="M39" s="3" t="s">
        <v>68</v>
      </c>
      <c r="N39" s="3">
        <v>0.9996</v>
      </c>
      <c r="O39" s="3">
        <v>0.0</v>
      </c>
      <c r="P39" s="3">
        <v>0.8341</v>
      </c>
      <c r="Q39" s="3">
        <v>0.0</v>
      </c>
      <c r="R39" s="3">
        <v>0.2708</v>
      </c>
      <c r="S39" s="3">
        <v>114.959999</v>
      </c>
      <c r="T39" s="3">
        <v>14.0</v>
      </c>
      <c r="U39" s="3">
        <f t="shared" si="2"/>
        <v>59.9</v>
      </c>
      <c r="V39" s="3"/>
      <c r="W39" s="3">
        <f t="shared" si="3"/>
        <v>59.96213785</v>
      </c>
      <c r="X39" s="3">
        <f t="shared" si="4"/>
        <v>11.58308205</v>
      </c>
      <c r="Y39" s="3">
        <f t="shared" si="5"/>
        <v>11.51925387</v>
      </c>
      <c r="Z39" s="3">
        <f t="shared" ref="Z39:AA39" si="42">_xlfn.NORM.S.DIST(X39)</f>
        <v>1</v>
      </c>
      <c r="AA39" s="3">
        <f t="shared" si="42"/>
        <v>1</v>
      </c>
    </row>
    <row r="40" ht="14.25" customHeight="1">
      <c r="A40" s="3" t="s">
        <v>144</v>
      </c>
      <c r="B40" s="3" t="s">
        <v>145</v>
      </c>
      <c r="C40" s="3" t="s">
        <v>133</v>
      </c>
      <c r="D40" s="3" t="s">
        <v>29</v>
      </c>
      <c r="E40" s="3">
        <v>55.0</v>
      </c>
      <c r="F40" s="3" t="s">
        <v>27</v>
      </c>
      <c r="G40" s="3">
        <v>60.05</v>
      </c>
      <c r="I40" s="3">
        <v>63.2</v>
      </c>
      <c r="K40" s="3">
        <v>0.0</v>
      </c>
      <c r="L40" s="3">
        <v>0.0</v>
      </c>
      <c r="M40" s="3" t="s">
        <v>69</v>
      </c>
      <c r="N40" s="3">
        <v>0.9996</v>
      </c>
      <c r="O40" s="3">
        <v>0.0</v>
      </c>
      <c r="P40" s="3">
        <v>0.8389</v>
      </c>
      <c r="Q40" s="3">
        <v>0.0</v>
      </c>
      <c r="R40" s="3">
        <v>0.2819</v>
      </c>
      <c r="S40" s="3">
        <v>116.650002</v>
      </c>
      <c r="T40" s="3">
        <v>13.0</v>
      </c>
      <c r="U40" s="3">
        <f t="shared" si="2"/>
        <v>61.625</v>
      </c>
      <c r="V40" s="3"/>
      <c r="W40" s="3">
        <f t="shared" si="3"/>
        <v>61.65198808</v>
      </c>
      <c r="X40" s="3">
        <f t="shared" si="4"/>
        <v>11.7751093</v>
      </c>
      <c r="Y40" s="3">
        <f t="shared" si="5"/>
        <v>11.71108181</v>
      </c>
      <c r="Z40" s="3">
        <f t="shared" ref="Z40:AA40" si="43">_xlfn.NORM.S.DIST(X40)</f>
        <v>1</v>
      </c>
      <c r="AA40" s="3">
        <f t="shared" si="43"/>
        <v>1</v>
      </c>
    </row>
    <row r="41" ht="14.25" customHeight="1">
      <c r="A41" s="3" t="s">
        <v>144</v>
      </c>
      <c r="B41" s="3" t="s">
        <v>145</v>
      </c>
      <c r="C41" s="3" t="s">
        <v>133</v>
      </c>
      <c r="D41" s="3" t="s">
        <v>29</v>
      </c>
      <c r="E41" s="3">
        <v>55.0</v>
      </c>
      <c r="F41" s="3" t="s">
        <v>27</v>
      </c>
      <c r="G41" s="3">
        <v>60.45</v>
      </c>
      <c r="I41" s="3">
        <v>64.2</v>
      </c>
      <c r="K41" s="3">
        <v>0.0</v>
      </c>
      <c r="L41" s="3">
        <v>0.0</v>
      </c>
      <c r="M41" s="3" t="s">
        <v>70</v>
      </c>
      <c r="N41" s="3">
        <v>0.9996</v>
      </c>
      <c r="O41" s="3">
        <v>0.0</v>
      </c>
      <c r="P41" s="3">
        <v>0.8994</v>
      </c>
      <c r="Q41" s="3">
        <v>0.0</v>
      </c>
      <c r="R41" s="3">
        <v>0.3206</v>
      </c>
      <c r="S41" s="3">
        <v>117.150002</v>
      </c>
      <c r="T41" s="3">
        <v>12.0</v>
      </c>
      <c r="U41" s="3">
        <f t="shared" si="2"/>
        <v>62.325</v>
      </c>
      <c r="V41" s="3"/>
      <c r="W41" s="3">
        <f t="shared" si="3"/>
        <v>62.1518353</v>
      </c>
      <c r="X41" s="3">
        <f t="shared" si="4"/>
        <v>10.84327427</v>
      </c>
      <c r="Y41" s="3">
        <f t="shared" si="5"/>
        <v>10.77331361</v>
      </c>
      <c r="Z41" s="3">
        <f t="shared" ref="Z41:AA41" si="44">_xlfn.NORM.S.DIST(X41)</f>
        <v>1</v>
      </c>
      <c r="AA41" s="3">
        <f t="shared" si="44"/>
        <v>1</v>
      </c>
    </row>
    <row r="42" ht="14.25" customHeight="1">
      <c r="A42" s="3" t="s">
        <v>144</v>
      </c>
      <c r="B42" s="3" t="s">
        <v>145</v>
      </c>
      <c r="C42" s="3" t="s">
        <v>133</v>
      </c>
      <c r="D42" s="3" t="s">
        <v>29</v>
      </c>
      <c r="E42" s="3">
        <v>55.0</v>
      </c>
      <c r="F42" s="3" t="s">
        <v>27</v>
      </c>
      <c r="G42" s="3">
        <v>59.65</v>
      </c>
      <c r="I42" s="3">
        <v>63.75</v>
      </c>
      <c r="K42" s="3">
        <v>0.0</v>
      </c>
      <c r="L42" s="3">
        <v>0.0</v>
      </c>
      <c r="M42" s="3" t="s">
        <v>71</v>
      </c>
      <c r="N42" s="3">
        <v>0.9996</v>
      </c>
      <c r="O42" s="3">
        <v>0.0</v>
      </c>
      <c r="P42" s="3">
        <v>0.9481</v>
      </c>
      <c r="Q42" s="3">
        <v>0.0</v>
      </c>
      <c r="R42" s="3">
        <v>0.327</v>
      </c>
      <c r="S42" s="3">
        <v>116.900002</v>
      </c>
      <c r="T42" s="3">
        <v>11.0</v>
      </c>
      <c r="U42" s="3">
        <f t="shared" si="2"/>
        <v>61.7</v>
      </c>
      <c r="V42" s="3"/>
      <c r="W42" s="3">
        <f t="shared" si="3"/>
        <v>61.90168253</v>
      </c>
      <c r="X42" s="3">
        <f t="shared" si="4"/>
        <v>11.07079987</v>
      </c>
      <c r="Y42" s="3">
        <f t="shared" si="5"/>
        <v>11.00248051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144</v>
      </c>
      <c r="B43" s="3" t="s">
        <v>145</v>
      </c>
      <c r="C43" s="3" t="s">
        <v>133</v>
      </c>
      <c r="D43" s="3" t="s">
        <v>29</v>
      </c>
      <c r="E43" s="3">
        <v>55.0</v>
      </c>
      <c r="F43" s="3" t="s">
        <v>27</v>
      </c>
      <c r="G43" s="3">
        <v>61.0</v>
      </c>
      <c r="I43" s="3">
        <v>64.15</v>
      </c>
      <c r="K43" s="3">
        <v>0.0</v>
      </c>
      <c r="L43" s="3">
        <v>0.0</v>
      </c>
      <c r="M43" s="3" t="s">
        <v>72</v>
      </c>
      <c r="N43" s="3">
        <v>0.9997</v>
      </c>
      <c r="O43" s="3">
        <v>0.0</v>
      </c>
      <c r="P43" s="3">
        <v>0.8509</v>
      </c>
      <c r="Q43" s="3">
        <v>0.0</v>
      </c>
      <c r="R43" s="3">
        <v>0.3471</v>
      </c>
      <c r="S43" s="3">
        <v>117.489998</v>
      </c>
      <c r="T43" s="3">
        <v>10.0</v>
      </c>
      <c r="U43" s="3">
        <f t="shared" si="2"/>
        <v>62.575</v>
      </c>
      <c r="V43" s="3"/>
      <c r="W43" s="3">
        <f t="shared" si="3"/>
        <v>62.49152576</v>
      </c>
      <c r="X43" s="3">
        <f t="shared" si="4"/>
        <v>11.01235853</v>
      </c>
      <c r="Y43" s="3">
        <f t="shared" si="5"/>
        <v>10.94321456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144</v>
      </c>
      <c r="B44" s="3" t="s">
        <v>145</v>
      </c>
      <c r="C44" s="3" t="s">
        <v>133</v>
      </c>
      <c r="D44" s="3" t="s">
        <v>29</v>
      </c>
      <c r="E44" s="3">
        <v>55.0</v>
      </c>
      <c r="F44" s="3" t="s">
        <v>27</v>
      </c>
      <c r="G44" s="3">
        <v>60.6</v>
      </c>
      <c r="I44" s="3">
        <v>65.0</v>
      </c>
      <c r="K44" s="3">
        <v>0.0</v>
      </c>
      <c r="L44" s="3">
        <v>0.0</v>
      </c>
      <c r="M44" s="3" t="s">
        <v>73</v>
      </c>
      <c r="N44" s="3">
        <v>0.9998</v>
      </c>
      <c r="O44" s="3">
        <v>0.0</v>
      </c>
      <c r="P44" s="3">
        <v>0.8647</v>
      </c>
      <c r="Q44" s="3">
        <v>0.0</v>
      </c>
      <c r="R44" s="3">
        <v>0.2506</v>
      </c>
      <c r="S44" s="3">
        <v>117.93</v>
      </c>
      <c r="T44" s="3">
        <v>9.0</v>
      </c>
      <c r="U44" s="3">
        <f t="shared" si="2"/>
        <v>62.8</v>
      </c>
      <c r="V44" s="3"/>
      <c r="W44" s="3">
        <f t="shared" si="3"/>
        <v>62.93137498</v>
      </c>
      <c r="X44" s="3">
        <f t="shared" si="4"/>
        <v>16.13009796</v>
      </c>
      <c r="Y44" s="3">
        <f t="shared" si="5"/>
        <v>16.08273901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144</v>
      </c>
      <c r="B45" s="3" t="s">
        <v>145</v>
      </c>
      <c r="C45" s="3" t="s">
        <v>133</v>
      </c>
      <c r="D45" s="3" t="s">
        <v>29</v>
      </c>
      <c r="E45" s="3">
        <v>55.0</v>
      </c>
      <c r="F45" s="3" t="s">
        <v>27</v>
      </c>
      <c r="G45" s="3">
        <v>61.4</v>
      </c>
      <c r="I45" s="3">
        <v>65.45</v>
      </c>
      <c r="K45" s="3">
        <v>0.0</v>
      </c>
      <c r="L45" s="3">
        <v>0.0</v>
      </c>
      <c r="M45" s="3" t="s">
        <v>74</v>
      </c>
      <c r="N45" s="3">
        <v>0.9998</v>
      </c>
      <c r="O45" s="3">
        <v>0.0</v>
      </c>
      <c r="P45" s="3">
        <v>0.9162</v>
      </c>
      <c r="Q45" s="3">
        <v>0.0</v>
      </c>
      <c r="R45" s="3">
        <v>0.3633</v>
      </c>
      <c r="S45" s="3">
        <v>118.470001</v>
      </c>
      <c r="T45" s="3">
        <v>8.0</v>
      </c>
      <c r="U45" s="3">
        <f t="shared" si="2"/>
        <v>63.425</v>
      </c>
      <c r="V45" s="3"/>
      <c r="W45" s="3">
        <f t="shared" si="3"/>
        <v>63.47122321</v>
      </c>
      <c r="X45" s="3">
        <f t="shared" si="4"/>
        <v>11.88685064</v>
      </c>
      <c r="Y45" s="3">
        <f t="shared" si="5"/>
        <v>11.82211997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144</v>
      </c>
      <c r="B46" s="3" t="s">
        <v>145</v>
      </c>
      <c r="C46" s="3" t="s">
        <v>133</v>
      </c>
      <c r="D46" s="3" t="s">
        <v>29</v>
      </c>
      <c r="E46" s="3">
        <v>55.0</v>
      </c>
      <c r="F46" s="3" t="s">
        <v>27</v>
      </c>
      <c r="G46" s="3">
        <v>61.45</v>
      </c>
      <c r="I46" s="3">
        <v>65.4</v>
      </c>
      <c r="K46" s="3">
        <v>0.0</v>
      </c>
      <c r="L46" s="3">
        <v>0.0</v>
      </c>
      <c r="M46" s="3" t="s">
        <v>75</v>
      </c>
      <c r="N46" s="3">
        <v>0.9999</v>
      </c>
      <c r="O46" s="3">
        <v>0.0</v>
      </c>
      <c r="P46" s="3">
        <v>0.4045</v>
      </c>
      <c r="Q46" s="3">
        <v>0.0</v>
      </c>
      <c r="R46" s="3">
        <v>0.496</v>
      </c>
      <c r="S46" s="3">
        <v>118.559998</v>
      </c>
      <c r="T46" s="3">
        <v>7.0</v>
      </c>
      <c r="U46" s="3">
        <f t="shared" si="2"/>
        <v>63.425</v>
      </c>
      <c r="V46" s="3"/>
      <c r="W46" s="3">
        <f t="shared" si="3"/>
        <v>63.56106743</v>
      </c>
      <c r="X46" s="3">
        <f t="shared" si="4"/>
        <v>9.332930961</v>
      </c>
      <c r="Y46" s="3">
        <f t="shared" si="5"/>
        <v>9.250264294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144</v>
      </c>
      <c r="B47" s="3" t="s">
        <v>145</v>
      </c>
      <c r="C47" s="3" t="s">
        <v>133</v>
      </c>
      <c r="D47" s="3" t="s">
        <v>29</v>
      </c>
      <c r="E47" s="3">
        <v>55.0</v>
      </c>
      <c r="F47" s="3" t="s">
        <v>27</v>
      </c>
      <c r="G47" s="3">
        <v>61.3</v>
      </c>
      <c r="I47" s="3">
        <v>65.15</v>
      </c>
      <c r="K47" s="3">
        <v>0.0</v>
      </c>
      <c r="L47" s="3">
        <v>0.0</v>
      </c>
      <c r="M47" s="3" t="s">
        <v>76</v>
      </c>
      <c r="N47" s="3">
        <v>1.0</v>
      </c>
      <c r="O47" s="3">
        <v>0.0</v>
      </c>
      <c r="P47" s="3">
        <v>-0.155</v>
      </c>
      <c r="Q47" s="3">
        <v>0.0</v>
      </c>
      <c r="R47" s="3">
        <v>0.1492</v>
      </c>
      <c r="S47" s="3">
        <v>118.57</v>
      </c>
      <c r="T47" s="3">
        <v>6.0</v>
      </c>
      <c r="U47" s="3">
        <f t="shared" si="2"/>
        <v>63.225</v>
      </c>
      <c r="V47" s="3"/>
      <c r="W47" s="3">
        <f t="shared" si="3"/>
        <v>63.57091666</v>
      </c>
      <c r="X47" s="3">
        <f t="shared" si="4"/>
        <v>33.37894171</v>
      </c>
      <c r="Y47" s="3">
        <f t="shared" si="5"/>
        <v>33.35591965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144</v>
      </c>
      <c r="B48" s="3" t="s">
        <v>145</v>
      </c>
      <c r="C48" s="3" t="s">
        <v>133</v>
      </c>
      <c r="D48" s="3" t="s">
        <v>29</v>
      </c>
      <c r="E48" s="3">
        <v>55.0</v>
      </c>
      <c r="F48" s="3" t="s">
        <v>27</v>
      </c>
      <c r="G48" s="3">
        <v>61.35</v>
      </c>
      <c r="I48" s="3">
        <v>65.3</v>
      </c>
      <c r="K48" s="3">
        <v>0.0</v>
      </c>
      <c r="L48" s="3">
        <v>0.0</v>
      </c>
      <c r="M48" s="3" t="s">
        <v>77</v>
      </c>
      <c r="N48" s="3">
        <v>1.0</v>
      </c>
      <c r="O48" s="3">
        <v>0.0</v>
      </c>
      <c r="P48" s="3">
        <v>-0.155</v>
      </c>
      <c r="Q48" s="3">
        <v>0.0</v>
      </c>
      <c r="R48" s="3">
        <v>0.1943</v>
      </c>
      <c r="S48" s="3">
        <v>118.730003</v>
      </c>
      <c r="T48" s="3">
        <v>5.0</v>
      </c>
      <c r="U48" s="3">
        <f t="shared" si="2"/>
        <v>63.325</v>
      </c>
      <c r="V48" s="3"/>
      <c r="W48" s="3">
        <f t="shared" si="3"/>
        <v>63.73076688</v>
      </c>
      <c r="X48" s="3">
        <f t="shared" si="4"/>
        <v>28.13072243</v>
      </c>
      <c r="Y48" s="3">
        <f t="shared" si="5"/>
        <v>28.10335352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144</v>
      </c>
      <c r="B49" s="3" t="s">
        <v>145</v>
      </c>
      <c r="C49" s="3" t="s">
        <v>133</v>
      </c>
      <c r="D49" s="3" t="s">
        <v>29</v>
      </c>
      <c r="E49" s="3">
        <v>55.0</v>
      </c>
      <c r="F49" s="3" t="s">
        <v>27</v>
      </c>
      <c r="G49" s="3">
        <v>61.5</v>
      </c>
      <c r="I49" s="3">
        <v>65.05</v>
      </c>
      <c r="K49" s="3">
        <v>0.0</v>
      </c>
      <c r="L49" s="3">
        <v>0.0</v>
      </c>
      <c r="M49" s="3" t="s">
        <v>78</v>
      </c>
      <c r="N49" s="3">
        <v>1.0</v>
      </c>
      <c r="O49" s="3">
        <v>0.0</v>
      </c>
      <c r="P49" s="3">
        <v>-0.155</v>
      </c>
      <c r="Q49" s="3">
        <v>0.0</v>
      </c>
      <c r="R49" s="3">
        <v>0.1297</v>
      </c>
      <c r="S49" s="3">
        <v>118.25</v>
      </c>
      <c r="T49" s="3">
        <v>4.0</v>
      </c>
      <c r="U49" s="3">
        <f t="shared" si="2"/>
        <v>63.275</v>
      </c>
      <c r="V49" s="3"/>
      <c r="W49" s="3">
        <f t="shared" si="3"/>
        <v>63.25061111</v>
      </c>
      <c r="X49" s="3">
        <f t="shared" si="4"/>
        <v>46.85320374</v>
      </c>
      <c r="Y49" s="3">
        <f t="shared" si="5"/>
        <v>46.83686307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144</v>
      </c>
      <c r="B50" s="3" t="s">
        <v>145</v>
      </c>
      <c r="C50" s="3" t="s">
        <v>133</v>
      </c>
      <c r="D50" s="3" t="s">
        <v>29</v>
      </c>
      <c r="E50" s="3">
        <v>55.0</v>
      </c>
      <c r="F50" s="3" t="s">
        <v>27</v>
      </c>
      <c r="G50" s="3">
        <v>63.1</v>
      </c>
      <c r="I50" s="3">
        <v>64.75</v>
      </c>
      <c r="K50" s="3">
        <v>0.0</v>
      </c>
      <c r="L50" s="3">
        <v>0.0</v>
      </c>
      <c r="M50" s="3" t="s">
        <v>79</v>
      </c>
      <c r="N50" s="3">
        <v>1.0</v>
      </c>
      <c r="O50" s="3">
        <v>0.0</v>
      </c>
      <c r="P50" s="3">
        <v>-0.155</v>
      </c>
      <c r="Q50" s="3">
        <v>0.0</v>
      </c>
      <c r="R50" s="3">
        <v>0.1238</v>
      </c>
      <c r="S50" s="3">
        <v>118.360001</v>
      </c>
      <c r="T50" s="3">
        <v>3.0</v>
      </c>
      <c r="U50" s="3">
        <f t="shared" si="2"/>
        <v>63.925</v>
      </c>
      <c r="V50" s="3"/>
      <c r="W50" s="3">
        <f t="shared" si="3"/>
        <v>63.36045933</v>
      </c>
      <c r="X50" s="3">
        <f t="shared" si="4"/>
        <v>56.74525845</v>
      </c>
      <c r="Y50" s="3">
        <f t="shared" si="5"/>
        <v>56.73175076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144</v>
      </c>
      <c r="B51" s="3" t="s">
        <v>145</v>
      </c>
      <c r="C51" s="3" t="s">
        <v>133</v>
      </c>
      <c r="D51" s="3" t="s">
        <v>29</v>
      </c>
      <c r="E51" s="3">
        <v>55.0</v>
      </c>
      <c r="F51" s="3" t="s">
        <v>27</v>
      </c>
      <c r="G51" s="3">
        <v>62.75</v>
      </c>
      <c r="I51" s="3">
        <v>66.5</v>
      </c>
      <c r="K51" s="3">
        <v>0.0</v>
      </c>
      <c r="L51" s="3">
        <v>0.0</v>
      </c>
      <c r="M51" s="3" t="s">
        <v>80</v>
      </c>
      <c r="N51" s="3">
        <v>1.0</v>
      </c>
      <c r="O51" s="3">
        <v>0.0</v>
      </c>
      <c r="P51" s="3">
        <v>-0.155</v>
      </c>
      <c r="Q51" s="3">
        <v>0.0</v>
      </c>
      <c r="R51" s="3">
        <v>0.1069</v>
      </c>
      <c r="S51" s="3">
        <v>120.0</v>
      </c>
      <c r="T51" s="3">
        <v>2.0</v>
      </c>
      <c r="U51" s="3">
        <f t="shared" si="2"/>
        <v>64.625</v>
      </c>
      <c r="V51" s="3"/>
      <c r="W51" s="3">
        <f t="shared" si="3"/>
        <v>65.00030555</v>
      </c>
      <c r="X51" s="3">
        <f t="shared" si="4"/>
        <v>81.92543944</v>
      </c>
      <c r="Y51" s="3">
        <f t="shared" si="5"/>
        <v>81.91591603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144</v>
      </c>
      <c r="B52" s="3" t="s">
        <v>145</v>
      </c>
      <c r="C52" s="3" t="s">
        <v>133</v>
      </c>
      <c r="D52" s="3" t="s">
        <v>29</v>
      </c>
      <c r="E52" s="3">
        <v>55.0</v>
      </c>
      <c r="F52" s="3" t="s">
        <v>27</v>
      </c>
      <c r="G52" s="3">
        <v>62.65</v>
      </c>
      <c r="I52" s="3">
        <v>66.3</v>
      </c>
      <c r="K52" s="3">
        <v>0.0</v>
      </c>
      <c r="L52" s="3">
        <v>0.0</v>
      </c>
      <c r="M52" s="3" t="s">
        <v>81</v>
      </c>
      <c r="N52" s="3">
        <v>1.0</v>
      </c>
      <c r="O52" s="3">
        <v>0.0</v>
      </c>
      <c r="P52" s="3">
        <v>-0.155</v>
      </c>
      <c r="Q52" s="3">
        <v>0.0</v>
      </c>
      <c r="R52" s="3">
        <v>0.6768</v>
      </c>
      <c r="S52" s="3">
        <v>119.68</v>
      </c>
      <c r="T52" s="3">
        <v>1.0</v>
      </c>
      <c r="U52" s="3">
        <f t="shared" si="2"/>
        <v>64.475</v>
      </c>
      <c r="V52" s="3"/>
      <c r="W52" s="3">
        <f t="shared" si="3"/>
        <v>64.68015278</v>
      </c>
      <c r="X52" s="3">
        <f t="shared" si="4"/>
        <v>18.25755935</v>
      </c>
      <c r="Y52" s="3">
        <f t="shared" si="5"/>
        <v>18.21492496</v>
      </c>
      <c r="Z52" s="3">
        <f t="shared" ref="Z52:AA52" si="55">_xlfn.NORM.S.DIST(X52)</f>
        <v>1</v>
      </c>
      <c r="AA52" s="3">
        <f t="shared" si="55"/>
        <v>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>
        <v>75.0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146</v>
      </c>
      <c r="B2" s="3" t="s">
        <v>147</v>
      </c>
      <c r="C2" s="3" t="s">
        <v>128</v>
      </c>
      <c r="D2" s="3" t="s">
        <v>29</v>
      </c>
      <c r="E2" s="3">
        <v>100.0</v>
      </c>
      <c r="F2" s="3" t="s">
        <v>27</v>
      </c>
      <c r="G2" s="3">
        <v>93.9</v>
      </c>
      <c r="I2" s="3">
        <v>97.45</v>
      </c>
      <c r="K2" s="3">
        <v>0.0</v>
      </c>
      <c r="L2" s="3">
        <v>5.0</v>
      </c>
      <c r="M2" s="3" t="s">
        <v>30</v>
      </c>
      <c r="N2" s="3">
        <v>0.9964</v>
      </c>
      <c r="O2" s="3">
        <v>0.0</v>
      </c>
      <c r="P2" s="3">
        <v>2.0661</v>
      </c>
      <c r="Q2" s="3">
        <v>2.0E-4</v>
      </c>
      <c r="R2" s="3">
        <v>0.258</v>
      </c>
      <c r="S2" s="3">
        <v>196.350006</v>
      </c>
      <c r="T2" s="3">
        <v>75.0</v>
      </c>
      <c r="U2" s="3">
        <f t="shared" ref="U2:U76" si="2">(I2+G2)*0.5</f>
        <v>95.675</v>
      </c>
      <c r="V2" s="3"/>
      <c r="W2" s="3">
        <f t="shared" ref="W2:W76" si="3">( S2*Z2 ) - ( E2 * EXP(-0.0007*T2/$AC$2) * AA2)</f>
        <v>96.37084025</v>
      </c>
      <c r="X2" s="3">
        <f t="shared" ref="X2:X76" si="4">((LN(S2/E2) + (0.0007 + (R2^2)/2) * T2/$AC$2)) / (R2 * SQRT(T2/$AC$2))</f>
        <v>4.865646128</v>
      </c>
      <c r="Y2" s="3">
        <f t="shared" ref="Y2:Y76" si="5">X2-(R2*SQRT(T2/$AC$2))</f>
        <v>4.724895589</v>
      </c>
      <c r="Z2" s="3">
        <f t="shared" ref="Z2:AA2" si="1">_xlfn.NORM.S.DIST(X2)</f>
        <v>0.9999994296</v>
      </c>
      <c r="AA2" s="3">
        <f t="shared" si="1"/>
        <v>0.9999988488</v>
      </c>
      <c r="AC2" s="6">
        <v>252.0</v>
      </c>
    </row>
    <row r="3" ht="14.25" customHeight="1">
      <c r="A3" s="3" t="s">
        <v>146</v>
      </c>
      <c r="B3" s="3" t="s">
        <v>147</v>
      </c>
      <c r="C3" s="3" t="s">
        <v>128</v>
      </c>
      <c r="D3" s="3" t="s">
        <v>29</v>
      </c>
      <c r="E3" s="3">
        <v>100.0</v>
      </c>
      <c r="F3" s="3" t="s">
        <v>27</v>
      </c>
      <c r="G3" s="3">
        <v>94.0</v>
      </c>
      <c r="I3" s="3">
        <v>96.55</v>
      </c>
      <c r="K3" s="3">
        <v>5.0</v>
      </c>
      <c r="L3" s="3">
        <v>5.0</v>
      </c>
      <c r="M3" s="3" t="s">
        <v>31</v>
      </c>
      <c r="N3" s="3">
        <v>0.9961</v>
      </c>
      <c r="O3" s="3">
        <v>0.0</v>
      </c>
      <c r="P3" s="3">
        <v>2.2758</v>
      </c>
      <c r="Q3" s="3">
        <v>1.0E-4</v>
      </c>
      <c r="R3" s="3">
        <v>0.2431</v>
      </c>
      <c r="S3" s="3">
        <v>195.270004</v>
      </c>
      <c r="T3" s="3">
        <v>74.0</v>
      </c>
      <c r="U3" s="3">
        <f t="shared" si="2"/>
        <v>95.275</v>
      </c>
      <c r="V3" s="3"/>
      <c r="W3" s="3">
        <f t="shared" si="3"/>
        <v>95.29055808</v>
      </c>
      <c r="X3" s="3">
        <f t="shared" si="4"/>
        <v>5.147429431</v>
      </c>
      <c r="Y3" s="3">
        <f t="shared" si="5"/>
        <v>5.015694621</v>
      </c>
      <c r="Z3" s="3">
        <f t="shared" ref="Z3:AA3" si="6">_xlfn.NORM.S.DIST(X3)</f>
        <v>0.999999868</v>
      </c>
      <c r="AA3" s="3">
        <f t="shared" si="6"/>
        <v>0.9999997358</v>
      </c>
    </row>
    <row r="4" ht="14.25" customHeight="1">
      <c r="A4" s="3" t="s">
        <v>146</v>
      </c>
      <c r="B4" s="3" t="s">
        <v>147</v>
      </c>
      <c r="C4" s="3" t="s">
        <v>128</v>
      </c>
      <c r="D4" s="3" t="s">
        <v>29</v>
      </c>
      <c r="E4" s="3">
        <v>100.0</v>
      </c>
      <c r="F4" s="3" t="s">
        <v>27</v>
      </c>
      <c r="G4" s="3">
        <v>93.3</v>
      </c>
      <c r="I4" s="3">
        <v>94.5</v>
      </c>
      <c r="K4" s="3">
        <v>0.0</v>
      </c>
      <c r="L4" s="3">
        <v>5.0</v>
      </c>
      <c r="M4" s="3" t="s">
        <v>32</v>
      </c>
      <c r="N4" s="3">
        <v>0.9981</v>
      </c>
      <c r="O4" s="3">
        <v>0.0</v>
      </c>
      <c r="P4" s="3">
        <v>0.9806</v>
      </c>
      <c r="Q4" s="3">
        <v>1.0E-4</v>
      </c>
      <c r="R4" s="3">
        <v>0.2459</v>
      </c>
      <c r="S4" s="3">
        <v>193.990005</v>
      </c>
      <c r="T4" s="3">
        <v>73.0</v>
      </c>
      <c r="U4" s="3">
        <f t="shared" si="2"/>
        <v>93.9</v>
      </c>
      <c r="V4" s="3"/>
      <c r="W4" s="3">
        <f t="shared" si="3"/>
        <v>94.01028166</v>
      </c>
      <c r="X4" s="3">
        <f t="shared" si="4"/>
        <v>5.074453358</v>
      </c>
      <c r="Y4" s="3">
        <f t="shared" si="5"/>
        <v>4.942104655</v>
      </c>
      <c r="Z4" s="3">
        <f t="shared" ref="Z4:AA4" si="7">_xlfn.NORM.S.DIST(X4)</f>
        <v>0.9999998057</v>
      </c>
      <c r="AA4" s="3">
        <f t="shared" si="7"/>
        <v>0.9999996136</v>
      </c>
    </row>
    <row r="5" ht="14.25" customHeight="1">
      <c r="A5" s="3" t="s">
        <v>146</v>
      </c>
      <c r="B5" s="3" t="s">
        <v>147</v>
      </c>
      <c r="C5" s="3" t="s">
        <v>128</v>
      </c>
      <c r="D5" s="3" t="s">
        <v>29</v>
      </c>
      <c r="E5" s="3">
        <v>100.0</v>
      </c>
      <c r="F5" s="3" t="s">
        <v>27</v>
      </c>
      <c r="G5" s="3">
        <v>92.3</v>
      </c>
      <c r="I5" s="3">
        <v>94.05</v>
      </c>
      <c r="K5" s="3">
        <v>2.0</v>
      </c>
      <c r="L5" s="3">
        <v>5.0</v>
      </c>
      <c r="M5" s="3" t="s">
        <v>33</v>
      </c>
      <c r="N5" s="3">
        <v>0.9981</v>
      </c>
      <c r="O5" s="3">
        <v>0.0</v>
      </c>
      <c r="P5" s="3">
        <v>0.9762</v>
      </c>
      <c r="Q5" s="3">
        <v>0.0021</v>
      </c>
      <c r="R5" s="3">
        <v>0.2838</v>
      </c>
      <c r="S5" s="3">
        <v>193.139999</v>
      </c>
      <c r="T5" s="3">
        <v>72.0</v>
      </c>
      <c r="U5" s="3">
        <f t="shared" si="2"/>
        <v>93.175</v>
      </c>
      <c r="V5" s="3"/>
      <c r="W5" s="3">
        <f t="shared" si="3"/>
        <v>93.16002848</v>
      </c>
      <c r="X5" s="3">
        <f t="shared" si="4"/>
        <v>4.416363292</v>
      </c>
      <c r="Y5" s="3">
        <f t="shared" si="5"/>
        <v>4.264665811</v>
      </c>
      <c r="Z5" s="3">
        <f t="shared" ref="Z5:AA5" si="8">_xlfn.NORM.S.DIST(X5)</f>
        <v>0.9999949812</v>
      </c>
      <c r="AA5" s="3">
        <f t="shared" si="8"/>
        <v>0.9999899899</v>
      </c>
    </row>
    <row r="6" ht="14.25" customHeight="1">
      <c r="A6" s="3" t="s">
        <v>146</v>
      </c>
      <c r="B6" s="3" t="s">
        <v>147</v>
      </c>
      <c r="C6" s="3" t="s">
        <v>128</v>
      </c>
      <c r="D6" s="3" t="s">
        <v>29</v>
      </c>
      <c r="E6" s="3">
        <v>100.0</v>
      </c>
      <c r="F6" s="3" t="s">
        <v>27</v>
      </c>
      <c r="G6" s="3">
        <v>91.55</v>
      </c>
      <c r="I6" s="3">
        <v>93.3</v>
      </c>
      <c r="K6" s="3">
        <v>0.0</v>
      </c>
      <c r="L6" s="3">
        <v>7.0</v>
      </c>
      <c r="M6" s="3" t="s">
        <v>34</v>
      </c>
      <c r="N6" s="3">
        <v>1.0</v>
      </c>
      <c r="O6" s="3">
        <v>0.0</v>
      </c>
      <c r="P6" s="3">
        <v>-0.3025</v>
      </c>
      <c r="Q6" s="3">
        <v>0.0</v>
      </c>
      <c r="R6" s="3">
        <v>0.1812</v>
      </c>
      <c r="S6" s="3">
        <v>192.869995</v>
      </c>
      <c r="T6" s="3">
        <v>71.0</v>
      </c>
      <c r="U6" s="3">
        <f t="shared" si="2"/>
        <v>92.425</v>
      </c>
      <c r="V6" s="3"/>
      <c r="W6" s="3">
        <f t="shared" si="3"/>
        <v>92.88971528</v>
      </c>
      <c r="X6" s="3">
        <f t="shared" si="4"/>
        <v>6.879446884</v>
      </c>
      <c r="Y6" s="3">
        <f t="shared" si="5"/>
        <v>6.783266369</v>
      </c>
      <c r="Z6" s="3">
        <f t="shared" ref="Z6:AA6" si="9">_xlfn.NORM.S.DIST(X6)</f>
        <v>1</v>
      </c>
      <c r="AA6" s="3">
        <f t="shared" si="9"/>
        <v>1</v>
      </c>
    </row>
    <row r="7" ht="14.25" customHeight="1">
      <c r="A7" s="3" t="s">
        <v>146</v>
      </c>
      <c r="B7" s="3" t="s">
        <v>147</v>
      </c>
      <c r="C7" s="3" t="s">
        <v>128</v>
      </c>
      <c r="D7" s="3" t="s">
        <v>29</v>
      </c>
      <c r="E7" s="3">
        <v>100.0</v>
      </c>
      <c r="F7" s="3" t="s">
        <v>27</v>
      </c>
      <c r="G7" s="3">
        <v>91.55</v>
      </c>
      <c r="I7" s="3">
        <v>93.6</v>
      </c>
      <c r="K7" s="3">
        <v>0.0</v>
      </c>
      <c r="L7" s="3">
        <v>7.0</v>
      </c>
      <c r="M7" s="3" t="s">
        <v>35</v>
      </c>
      <c r="N7" s="3">
        <v>0.9979</v>
      </c>
      <c r="O7" s="3">
        <v>0.0</v>
      </c>
      <c r="P7" s="3">
        <v>1.1009</v>
      </c>
      <c r="Q7" s="3">
        <v>0.0174</v>
      </c>
      <c r="R7" s="3">
        <v>0.3232</v>
      </c>
      <c r="S7" s="3">
        <v>192.320007</v>
      </c>
      <c r="T7" s="3">
        <v>70.0</v>
      </c>
      <c r="U7" s="3">
        <f t="shared" si="2"/>
        <v>92.575</v>
      </c>
      <c r="V7" s="3"/>
      <c r="W7" s="3">
        <f t="shared" si="3"/>
        <v>92.33978683</v>
      </c>
      <c r="X7" s="3">
        <f t="shared" si="4"/>
        <v>3.925605903</v>
      </c>
      <c r="Y7" s="3">
        <f t="shared" si="5"/>
        <v>3.755264546</v>
      </c>
      <c r="Z7" s="3">
        <f t="shared" ref="Z7:AA7" si="10">_xlfn.NORM.S.DIST(X7)</f>
        <v>0.9999567442</v>
      </c>
      <c r="AA7" s="3">
        <f t="shared" si="10"/>
        <v>0.9999134208</v>
      </c>
    </row>
    <row r="8" ht="14.25" customHeight="1">
      <c r="A8" s="3" t="s">
        <v>146</v>
      </c>
      <c r="B8" s="3" t="s">
        <v>147</v>
      </c>
      <c r="C8" s="3" t="s">
        <v>128</v>
      </c>
      <c r="D8" s="3" t="s">
        <v>29</v>
      </c>
      <c r="E8" s="3">
        <v>100.0</v>
      </c>
      <c r="F8" s="3" t="s">
        <v>27</v>
      </c>
      <c r="G8" s="3">
        <v>90.7</v>
      </c>
      <c r="I8" s="3">
        <v>93.5</v>
      </c>
      <c r="K8" s="3">
        <v>0.0</v>
      </c>
      <c r="L8" s="3">
        <v>7.0</v>
      </c>
      <c r="M8" s="3" t="s">
        <v>36</v>
      </c>
      <c r="N8" s="3">
        <v>0.998</v>
      </c>
      <c r="O8" s="3">
        <v>0.0</v>
      </c>
      <c r="P8" s="3">
        <v>1.1153</v>
      </c>
      <c r="Q8" s="3">
        <v>0.0</v>
      </c>
      <c r="R8" s="3">
        <v>0.2138</v>
      </c>
      <c r="S8" s="3">
        <v>192.880005</v>
      </c>
      <c r="T8" s="3">
        <v>69.0</v>
      </c>
      <c r="U8" s="3">
        <f t="shared" si="2"/>
        <v>92.1</v>
      </c>
      <c r="V8" s="3"/>
      <c r="W8" s="3">
        <f t="shared" si="3"/>
        <v>92.89916984</v>
      </c>
      <c r="X8" s="3">
        <f t="shared" si="4"/>
        <v>5.929379714</v>
      </c>
      <c r="Y8" s="3">
        <f t="shared" si="5"/>
        <v>5.81750499</v>
      </c>
      <c r="Z8" s="3">
        <f t="shared" ref="Z8:AA8" si="11">_xlfn.NORM.S.DIST(X8)</f>
        <v>0.9999999985</v>
      </c>
      <c r="AA8" s="3">
        <f t="shared" si="11"/>
        <v>0.999999997</v>
      </c>
    </row>
    <row r="9" ht="14.25" customHeight="1">
      <c r="A9" s="3" t="s">
        <v>146</v>
      </c>
      <c r="B9" s="3" t="s">
        <v>147</v>
      </c>
      <c r="C9" s="3" t="s">
        <v>128</v>
      </c>
      <c r="D9" s="3" t="s">
        <v>29</v>
      </c>
      <c r="E9" s="3">
        <v>100.0</v>
      </c>
      <c r="F9" s="3" t="s">
        <v>27</v>
      </c>
      <c r="G9" s="3">
        <v>92.7</v>
      </c>
      <c r="I9" s="3">
        <v>95.15</v>
      </c>
      <c r="K9" s="3">
        <v>0.0</v>
      </c>
      <c r="L9" s="3">
        <v>7.0</v>
      </c>
      <c r="M9" s="3" t="s">
        <v>37</v>
      </c>
      <c r="N9" s="3">
        <v>0.996</v>
      </c>
      <c r="O9" s="3">
        <v>0.0</v>
      </c>
      <c r="P9" s="3">
        <v>2.5384</v>
      </c>
      <c r="Q9" s="3">
        <v>0.0196</v>
      </c>
      <c r="R9" s="3">
        <v>0.334</v>
      </c>
      <c r="S9" s="3">
        <v>194.449997</v>
      </c>
      <c r="T9" s="3">
        <v>68.0</v>
      </c>
      <c r="U9" s="3">
        <f t="shared" si="2"/>
        <v>93.925</v>
      </c>
      <c r="V9" s="3"/>
      <c r="W9" s="3">
        <f t="shared" si="3"/>
        <v>94.46923921</v>
      </c>
      <c r="X9" s="3">
        <f t="shared" si="4"/>
        <v>3.920709603</v>
      </c>
      <c r="Y9" s="3">
        <f t="shared" si="5"/>
        <v>3.747209134</v>
      </c>
      <c r="Z9" s="3">
        <f t="shared" ref="Z9:AA9" si="12">_xlfn.NORM.S.DIST(X9)</f>
        <v>0.9999558557</v>
      </c>
      <c r="AA9" s="3">
        <f t="shared" si="12"/>
        <v>0.9999105935</v>
      </c>
    </row>
    <row r="10" ht="14.25" customHeight="1">
      <c r="A10" s="3" t="s">
        <v>146</v>
      </c>
      <c r="B10" s="3" t="s">
        <v>147</v>
      </c>
      <c r="C10" s="3" t="s">
        <v>128</v>
      </c>
      <c r="D10" s="3" t="s">
        <v>29</v>
      </c>
      <c r="E10" s="3">
        <v>100.0</v>
      </c>
      <c r="F10" s="3" t="s">
        <v>27</v>
      </c>
      <c r="G10" s="3">
        <v>91.85</v>
      </c>
      <c r="I10" s="3">
        <v>93.35</v>
      </c>
      <c r="K10" s="3">
        <v>0.0</v>
      </c>
      <c r="L10" s="3">
        <v>7.0</v>
      </c>
      <c r="M10" s="3" t="s">
        <v>38</v>
      </c>
      <c r="N10" s="3">
        <v>0.998</v>
      </c>
      <c r="O10" s="3">
        <v>0.0</v>
      </c>
      <c r="P10" s="3">
        <v>1.1155</v>
      </c>
      <c r="Q10" s="3">
        <v>0.0141</v>
      </c>
      <c r="R10" s="3">
        <v>0.3285</v>
      </c>
      <c r="S10" s="3">
        <v>192.619995</v>
      </c>
      <c r="T10" s="3">
        <v>67.0</v>
      </c>
      <c r="U10" s="3">
        <f t="shared" si="2"/>
        <v>92.6</v>
      </c>
      <c r="V10" s="3"/>
      <c r="W10" s="3">
        <f t="shared" si="3"/>
        <v>92.63889832</v>
      </c>
      <c r="X10" s="3">
        <f t="shared" si="4"/>
        <v>3.955984788</v>
      </c>
      <c r="Y10" s="3">
        <f t="shared" si="5"/>
        <v>3.786600741</v>
      </c>
      <c r="Z10" s="3">
        <f t="shared" ref="Z10:AA10" si="13">_xlfn.NORM.S.DIST(X10)</f>
        <v>0.99996189</v>
      </c>
      <c r="AA10" s="3">
        <f t="shared" si="13"/>
        <v>0.9999236389</v>
      </c>
    </row>
    <row r="11" ht="14.25" customHeight="1">
      <c r="A11" s="3" t="s">
        <v>146</v>
      </c>
      <c r="B11" s="3" t="s">
        <v>147</v>
      </c>
      <c r="C11" s="3" t="s">
        <v>128</v>
      </c>
      <c r="D11" s="3" t="s">
        <v>29</v>
      </c>
      <c r="E11" s="3">
        <v>100.0</v>
      </c>
      <c r="F11" s="3" t="s">
        <v>27</v>
      </c>
      <c r="G11" s="3">
        <v>90.3</v>
      </c>
      <c r="I11" s="3">
        <v>94.05</v>
      </c>
      <c r="K11" s="3">
        <v>0.0</v>
      </c>
      <c r="L11" s="3">
        <v>7.0</v>
      </c>
      <c r="M11" s="3" t="s">
        <v>39</v>
      </c>
      <c r="N11" s="3">
        <v>1.0</v>
      </c>
      <c r="O11" s="3">
        <v>0.0</v>
      </c>
      <c r="P11" s="3">
        <v>-0.3026</v>
      </c>
      <c r="Q11" s="3">
        <v>0.0</v>
      </c>
      <c r="R11" s="3">
        <v>0.1868</v>
      </c>
      <c r="S11" s="3">
        <v>192.5</v>
      </c>
      <c r="T11" s="3">
        <v>66.0</v>
      </c>
      <c r="U11" s="3">
        <f t="shared" si="2"/>
        <v>92.175</v>
      </c>
      <c r="V11" s="3"/>
      <c r="W11" s="3">
        <f t="shared" si="3"/>
        <v>92.51833165</v>
      </c>
      <c r="X11" s="3">
        <f t="shared" si="4"/>
        <v>6.900553832</v>
      </c>
      <c r="Y11" s="3">
        <f t="shared" si="5"/>
        <v>6.804955884</v>
      </c>
      <c r="Z11" s="3">
        <f t="shared" ref="Z11:AA11" si="14">_xlfn.NORM.S.DIST(X11)</f>
        <v>1</v>
      </c>
      <c r="AA11" s="3">
        <f t="shared" si="14"/>
        <v>1</v>
      </c>
    </row>
    <row r="12" ht="14.25" customHeight="1">
      <c r="A12" s="3" t="s">
        <v>146</v>
      </c>
      <c r="B12" s="3" t="s">
        <v>147</v>
      </c>
      <c r="C12" s="3" t="s">
        <v>128</v>
      </c>
      <c r="D12" s="3" t="s">
        <v>29</v>
      </c>
      <c r="E12" s="3">
        <v>100.0</v>
      </c>
      <c r="F12" s="3" t="s">
        <v>27</v>
      </c>
      <c r="G12" s="3">
        <v>90.75</v>
      </c>
      <c r="I12" s="3">
        <v>93.8</v>
      </c>
      <c r="K12" s="3">
        <v>0.0</v>
      </c>
      <c r="L12" s="3">
        <v>7.0</v>
      </c>
      <c r="M12" s="3" t="s">
        <v>40</v>
      </c>
      <c r="N12" s="3">
        <v>1.0</v>
      </c>
      <c r="O12" s="3">
        <v>0.0</v>
      </c>
      <c r="P12" s="3">
        <v>-0.3026</v>
      </c>
      <c r="Q12" s="3">
        <v>0.0</v>
      </c>
      <c r="R12" s="3">
        <v>0.1806</v>
      </c>
      <c r="S12" s="3">
        <v>192.589996</v>
      </c>
      <c r="T12" s="3">
        <v>65.0</v>
      </c>
      <c r="U12" s="3">
        <f t="shared" si="2"/>
        <v>92.275</v>
      </c>
      <c r="V12" s="3"/>
      <c r="W12" s="3">
        <f t="shared" si="3"/>
        <v>92.60804993</v>
      </c>
      <c r="X12" s="3">
        <f t="shared" si="4"/>
        <v>7.193251691</v>
      </c>
      <c r="Y12" s="3">
        <f t="shared" si="5"/>
        <v>7.101529556</v>
      </c>
      <c r="Z12" s="3">
        <f t="shared" ref="Z12:AA12" si="15">_xlfn.NORM.S.DIST(X12)</f>
        <v>1</v>
      </c>
      <c r="AA12" s="3">
        <f t="shared" si="15"/>
        <v>1</v>
      </c>
    </row>
    <row r="13" ht="14.25" customHeight="1">
      <c r="A13" s="3" t="s">
        <v>146</v>
      </c>
      <c r="B13" s="3" t="s">
        <v>147</v>
      </c>
      <c r="C13" s="3" t="s">
        <v>128</v>
      </c>
      <c r="D13" s="3" t="s">
        <v>29</v>
      </c>
      <c r="E13" s="3">
        <v>100.0</v>
      </c>
      <c r="F13" s="3" t="s">
        <v>27</v>
      </c>
      <c r="G13" s="3">
        <v>92.0</v>
      </c>
      <c r="I13" s="3">
        <v>95.45</v>
      </c>
      <c r="K13" s="3">
        <v>0.0</v>
      </c>
      <c r="L13" s="3">
        <v>7.0</v>
      </c>
      <c r="M13" s="3" t="s">
        <v>41</v>
      </c>
      <c r="N13" s="3">
        <v>1.0</v>
      </c>
      <c r="O13" s="3">
        <v>0.0</v>
      </c>
      <c r="P13" s="3">
        <v>-0.3026</v>
      </c>
      <c r="Q13" s="3">
        <v>0.0</v>
      </c>
      <c r="R13" s="3">
        <v>0.1779</v>
      </c>
      <c r="S13" s="3">
        <v>193.649994</v>
      </c>
      <c r="T13" s="3">
        <v>64.0</v>
      </c>
      <c r="U13" s="3">
        <f t="shared" si="2"/>
        <v>93.725</v>
      </c>
      <c r="V13" s="3"/>
      <c r="W13" s="3">
        <f t="shared" si="3"/>
        <v>93.6677702</v>
      </c>
      <c r="X13" s="3">
        <f t="shared" si="4"/>
        <v>7.418352193</v>
      </c>
      <c r="Y13" s="3">
        <f t="shared" si="5"/>
        <v>7.32869902</v>
      </c>
      <c r="Z13" s="3">
        <f t="shared" ref="Z13:AA13" si="16">_xlfn.NORM.S.DIST(X13)</f>
        <v>1</v>
      </c>
      <c r="AA13" s="3">
        <f t="shared" si="16"/>
        <v>1</v>
      </c>
    </row>
    <row r="14" ht="14.25" customHeight="1">
      <c r="A14" s="3" t="s">
        <v>146</v>
      </c>
      <c r="B14" s="3" t="s">
        <v>147</v>
      </c>
      <c r="C14" s="3" t="s">
        <v>128</v>
      </c>
      <c r="D14" s="3" t="s">
        <v>29</v>
      </c>
      <c r="E14" s="3">
        <v>100.0</v>
      </c>
      <c r="F14" s="3" t="s">
        <v>27</v>
      </c>
      <c r="G14" s="3">
        <v>92.8</v>
      </c>
      <c r="I14" s="3">
        <v>96.0</v>
      </c>
      <c r="K14" s="3">
        <v>0.0</v>
      </c>
      <c r="L14" s="3">
        <v>7.0</v>
      </c>
      <c r="M14" s="3" t="s">
        <v>42</v>
      </c>
      <c r="N14" s="3">
        <v>1.0</v>
      </c>
      <c r="O14" s="3">
        <v>0.0</v>
      </c>
      <c r="P14" s="3">
        <v>-0.3026</v>
      </c>
      <c r="Q14" s="3">
        <v>0.0</v>
      </c>
      <c r="R14" s="3">
        <v>0.1729</v>
      </c>
      <c r="S14" s="3">
        <v>194.470001</v>
      </c>
      <c r="T14" s="3">
        <v>63.0</v>
      </c>
      <c r="U14" s="3">
        <f t="shared" si="2"/>
        <v>94.4</v>
      </c>
      <c r="V14" s="3"/>
      <c r="W14" s="3">
        <f t="shared" si="3"/>
        <v>94.48749947</v>
      </c>
      <c r="X14" s="3">
        <f t="shared" si="4"/>
        <v>7.738803122</v>
      </c>
      <c r="Y14" s="3">
        <f t="shared" si="5"/>
        <v>7.652353122</v>
      </c>
      <c r="Z14" s="3">
        <f t="shared" ref="Z14:AA14" si="17">_xlfn.NORM.S.DIST(X14)</f>
        <v>1</v>
      </c>
      <c r="AA14" s="3">
        <f t="shared" si="17"/>
        <v>1</v>
      </c>
    </row>
    <row r="15" ht="14.25" customHeight="1">
      <c r="A15" s="3" t="s">
        <v>146</v>
      </c>
      <c r="B15" s="3" t="s">
        <v>147</v>
      </c>
      <c r="C15" s="3" t="s">
        <v>128</v>
      </c>
      <c r="D15" s="3" t="s">
        <v>29</v>
      </c>
      <c r="E15" s="3">
        <v>100.0</v>
      </c>
      <c r="F15" s="3" t="s">
        <v>27</v>
      </c>
      <c r="G15" s="3">
        <v>93.6</v>
      </c>
      <c r="I15" s="3">
        <v>96.8</v>
      </c>
      <c r="K15" s="3">
        <v>0.0</v>
      </c>
      <c r="L15" s="3">
        <v>7.0</v>
      </c>
      <c r="M15" s="3" t="s">
        <v>43</v>
      </c>
      <c r="N15" s="3">
        <v>0.9982</v>
      </c>
      <c r="O15" s="3">
        <v>0.0</v>
      </c>
      <c r="P15" s="3">
        <v>1.1794</v>
      </c>
      <c r="Q15" s="3">
        <v>0.0</v>
      </c>
      <c r="R15" s="3">
        <v>0.1625</v>
      </c>
      <c r="S15" s="3">
        <v>196.080002</v>
      </c>
      <c r="T15" s="3">
        <v>62.0</v>
      </c>
      <c r="U15" s="3">
        <f t="shared" si="2"/>
        <v>95.2</v>
      </c>
      <c r="V15" s="3"/>
      <c r="W15" s="3">
        <f t="shared" si="3"/>
        <v>96.09722274</v>
      </c>
      <c r="X15" s="3">
        <f t="shared" si="4"/>
        <v>8.3964208</v>
      </c>
      <c r="Y15" s="3">
        <f t="shared" si="5"/>
        <v>8.31581822</v>
      </c>
      <c r="Z15" s="3">
        <f t="shared" ref="Z15:AA15" si="18">_xlfn.NORM.S.DIST(X15)</f>
        <v>1</v>
      </c>
      <c r="AA15" s="3">
        <f t="shared" si="18"/>
        <v>1</v>
      </c>
    </row>
    <row r="16" ht="14.25" customHeight="1">
      <c r="A16" s="3" t="s">
        <v>146</v>
      </c>
      <c r="B16" s="3" t="s">
        <v>147</v>
      </c>
      <c r="C16" s="3" t="s">
        <v>128</v>
      </c>
      <c r="D16" s="3" t="s">
        <v>29</v>
      </c>
      <c r="E16" s="3">
        <v>100.0</v>
      </c>
      <c r="F16" s="3" t="s">
        <v>27</v>
      </c>
      <c r="G16" s="3">
        <v>104.6</v>
      </c>
      <c r="I16" s="3">
        <v>107.1</v>
      </c>
      <c r="K16" s="3">
        <v>0.0</v>
      </c>
      <c r="L16" s="3">
        <v>7.0</v>
      </c>
      <c r="M16" s="3" t="s">
        <v>44</v>
      </c>
      <c r="N16" s="3">
        <v>0.9964</v>
      </c>
      <c r="O16" s="3">
        <v>0.0</v>
      </c>
      <c r="P16" s="3">
        <v>2.7865</v>
      </c>
      <c r="Q16" s="3">
        <v>0.0</v>
      </c>
      <c r="R16" s="3">
        <v>0.1307</v>
      </c>
      <c r="S16" s="3">
        <v>204.720001</v>
      </c>
      <c r="T16" s="3">
        <v>61.0</v>
      </c>
      <c r="U16" s="3">
        <f t="shared" si="2"/>
        <v>105.85</v>
      </c>
      <c r="V16" s="3"/>
      <c r="W16" s="3">
        <f t="shared" si="3"/>
        <v>104.736944</v>
      </c>
      <c r="X16" s="3">
        <f t="shared" si="4"/>
        <v>11.17669604</v>
      </c>
      <c r="Y16" s="3">
        <f t="shared" si="5"/>
        <v>11.11239171</v>
      </c>
      <c r="Z16" s="3">
        <f t="shared" ref="Z16:AA16" si="19">_xlfn.NORM.S.DIST(X16)</f>
        <v>1</v>
      </c>
      <c r="AA16" s="3">
        <f t="shared" si="19"/>
        <v>1</v>
      </c>
    </row>
    <row r="17" ht="14.25" customHeight="1">
      <c r="A17" s="3" t="s">
        <v>146</v>
      </c>
      <c r="B17" s="3" t="s">
        <v>147</v>
      </c>
      <c r="C17" s="3" t="s">
        <v>128</v>
      </c>
      <c r="D17" s="3" t="s">
        <v>29</v>
      </c>
      <c r="E17" s="3">
        <v>100.0</v>
      </c>
      <c r="F17" s="3" t="s">
        <v>27</v>
      </c>
      <c r="G17" s="3">
        <v>102.65</v>
      </c>
      <c r="I17" s="3">
        <v>106.55</v>
      </c>
      <c r="K17" s="3">
        <v>0.0</v>
      </c>
      <c r="L17" s="3">
        <v>7.0</v>
      </c>
      <c r="M17" s="3" t="s">
        <v>45</v>
      </c>
      <c r="N17" s="3">
        <v>0.9967</v>
      </c>
      <c r="O17" s="3">
        <v>0.0</v>
      </c>
      <c r="P17" s="3">
        <v>2.5741</v>
      </c>
      <c r="Q17" s="3">
        <v>1.0E-4</v>
      </c>
      <c r="R17" s="3">
        <v>0.2887</v>
      </c>
      <c r="S17" s="3">
        <v>204.419998</v>
      </c>
      <c r="T17" s="3">
        <v>60.0</v>
      </c>
      <c r="U17" s="3">
        <f t="shared" si="2"/>
        <v>104.6</v>
      </c>
      <c r="V17" s="3"/>
      <c r="W17" s="3">
        <f t="shared" si="3"/>
        <v>104.436664</v>
      </c>
      <c r="X17" s="3">
        <f t="shared" si="4"/>
        <v>5.147224144</v>
      </c>
      <c r="Y17" s="3">
        <f t="shared" si="5"/>
        <v>5.006352968</v>
      </c>
      <c r="Z17" s="3">
        <f t="shared" ref="Z17:AA17" si="20">_xlfn.NORM.S.DIST(X17)</f>
        <v>0.9999998678</v>
      </c>
      <c r="AA17" s="3">
        <f t="shared" si="20"/>
        <v>0.9999997226</v>
      </c>
    </row>
    <row r="18" ht="14.25" customHeight="1">
      <c r="A18" s="3" t="s">
        <v>146</v>
      </c>
      <c r="B18" s="3" t="s">
        <v>147</v>
      </c>
      <c r="C18" s="3" t="s">
        <v>128</v>
      </c>
      <c r="D18" s="3" t="s">
        <v>29</v>
      </c>
      <c r="E18" s="3">
        <v>100.0</v>
      </c>
      <c r="F18" s="3" t="s">
        <v>27</v>
      </c>
      <c r="G18" s="3">
        <v>102.7</v>
      </c>
      <c r="I18" s="3">
        <v>106.65</v>
      </c>
      <c r="K18" s="3">
        <v>0.0</v>
      </c>
      <c r="L18" s="3">
        <v>2.0</v>
      </c>
      <c r="M18" s="3" t="s">
        <v>46</v>
      </c>
      <c r="N18" s="3">
        <v>0.9968</v>
      </c>
      <c r="O18" s="3">
        <v>0.0</v>
      </c>
      <c r="P18" s="3">
        <v>2.5236</v>
      </c>
      <c r="Q18" s="3">
        <v>0.0</v>
      </c>
      <c r="R18" s="3">
        <v>0.1957</v>
      </c>
      <c r="S18" s="3">
        <v>204.970001</v>
      </c>
      <c r="T18" s="3">
        <v>59.0</v>
      </c>
      <c r="U18" s="3">
        <f t="shared" si="2"/>
        <v>104.675</v>
      </c>
      <c r="V18" s="3"/>
      <c r="W18" s="3">
        <f t="shared" si="3"/>
        <v>104.9863885</v>
      </c>
      <c r="X18" s="3">
        <f t="shared" si="4"/>
        <v>7.628260552</v>
      </c>
      <c r="Y18" s="3">
        <f t="shared" si="5"/>
        <v>7.533567838</v>
      </c>
      <c r="Z18" s="3">
        <f t="shared" ref="Z18:AA18" si="21">_xlfn.NORM.S.DIST(X18)</f>
        <v>1</v>
      </c>
      <c r="AA18" s="3">
        <f t="shared" si="21"/>
        <v>1</v>
      </c>
    </row>
    <row r="19" ht="14.25" customHeight="1">
      <c r="A19" s="3" t="s">
        <v>146</v>
      </c>
      <c r="B19" s="3" t="s">
        <v>147</v>
      </c>
      <c r="C19" s="3" t="s">
        <v>128</v>
      </c>
      <c r="D19" s="3" t="s">
        <v>29</v>
      </c>
      <c r="E19" s="3">
        <v>100.0</v>
      </c>
      <c r="F19" s="3" t="s">
        <v>27</v>
      </c>
      <c r="G19" s="3">
        <v>103.65</v>
      </c>
      <c r="I19" s="3">
        <v>107.0</v>
      </c>
      <c r="K19" s="3">
        <v>0.0</v>
      </c>
      <c r="L19" s="3">
        <v>2.0</v>
      </c>
      <c r="M19" s="3" t="s">
        <v>47</v>
      </c>
      <c r="N19" s="3">
        <v>0.997</v>
      </c>
      <c r="O19" s="3">
        <v>0.0</v>
      </c>
      <c r="P19" s="3">
        <v>2.4165</v>
      </c>
      <c r="Q19" s="3">
        <v>0.0</v>
      </c>
      <c r="R19" s="3">
        <v>0.1466</v>
      </c>
      <c r="S19" s="3">
        <v>204.929993</v>
      </c>
      <c r="T19" s="3">
        <v>58.0</v>
      </c>
      <c r="U19" s="3">
        <f t="shared" si="2"/>
        <v>105.325</v>
      </c>
      <c r="V19" s="3"/>
      <c r="W19" s="3">
        <f t="shared" si="3"/>
        <v>104.9461028</v>
      </c>
      <c r="X19" s="3">
        <f t="shared" si="4"/>
        <v>10.23917027</v>
      </c>
      <c r="Y19" s="3">
        <f t="shared" si="5"/>
        <v>10.16883912</v>
      </c>
      <c r="Z19" s="3">
        <f t="shared" ref="Z19:AA19" si="22">_xlfn.NORM.S.DIST(X19)</f>
        <v>1</v>
      </c>
      <c r="AA19" s="3">
        <f t="shared" si="22"/>
        <v>1</v>
      </c>
    </row>
    <row r="20" ht="14.25" customHeight="1">
      <c r="A20" s="3" t="s">
        <v>146</v>
      </c>
      <c r="B20" s="3" t="s">
        <v>147</v>
      </c>
      <c r="C20" s="3" t="s">
        <v>128</v>
      </c>
      <c r="D20" s="3" t="s">
        <v>29</v>
      </c>
      <c r="E20" s="3">
        <v>100.0</v>
      </c>
      <c r="F20" s="3" t="s">
        <v>27</v>
      </c>
      <c r="G20" s="3">
        <v>102.45</v>
      </c>
      <c r="I20" s="3">
        <v>105.95</v>
      </c>
      <c r="K20" s="3">
        <v>0.0</v>
      </c>
      <c r="L20" s="3">
        <v>2.0</v>
      </c>
      <c r="M20" s="3" t="s">
        <v>48</v>
      </c>
      <c r="N20" s="3">
        <v>0.997</v>
      </c>
      <c r="O20" s="3">
        <v>0.0</v>
      </c>
      <c r="P20" s="3">
        <v>2.4512</v>
      </c>
      <c r="Q20" s="3">
        <v>0.0</v>
      </c>
      <c r="R20" s="3">
        <v>0.1487</v>
      </c>
      <c r="S20" s="3">
        <v>203.899994</v>
      </c>
      <c r="T20" s="3">
        <v>57.0</v>
      </c>
      <c r="U20" s="3">
        <f t="shared" si="2"/>
        <v>104.2</v>
      </c>
      <c r="V20" s="3"/>
      <c r="W20" s="3">
        <f t="shared" si="3"/>
        <v>103.9158261</v>
      </c>
      <c r="X20" s="3">
        <f t="shared" si="4"/>
        <v>10.11183329</v>
      </c>
      <c r="Y20" s="3">
        <f t="shared" si="5"/>
        <v>10.04111233</v>
      </c>
      <c r="Z20" s="3">
        <f t="shared" ref="Z20:AA20" si="23">_xlfn.NORM.S.DIST(X20)</f>
        <v>1</v>
      </c>
      <c r="AA20" s="3">
        <f t="shared" si="23"/>
        <v>1</v>
      </c>
    </row>
    <row r="21" ht="14.25" customHeight="1">
      <c r="A21" s="3" t="s">
        <v>146</v>
      </c>
      <c r="B21" s="3" t="s">
        <v>147</v>
      </c>
      <c r="C21" s="3" t="s">
        <v>128</v>
      </c>
      <c r="D21" s="3" t="s">
        <v>29</v>
      </c>
      <c r="E21" s="3">
        <v>100.0</v>
      </c>
      <c r="F21" s="3" t="s">
        <v>27</v>
      </c>
      <c r="G21" s="3">
        <v>101.95</v>
      </c>
      <c r="I21" s="3">
        <v>105.6</v>
      </c>
      <c r="K21" s="3">
        <v>0.0</v>
      </c>
      <c r="L21" s="3">
        <v>2.0</v>
      </c>
      <c r="M21" s="3" t="s">
        <v>49</v>
      </c>
      <c r="N21" s="3">
        <v>0.9971</v>
      </c>
      <c r="O21" s="3">
        <v>0.0</v>
      </c>
      <c r="P21" s="3">
        <v>2.3979</v>
      </c>
      <c r="Q21" s="3">
        <v>0.0</v>
      </c>
      <c r="R21" s="3">
        <v>0.1349</v>
      </c>
      <c r="S21" s="3">
        <v>203.520004</v>
      </c>
      <c r="T21" s="3">
        <v>56.0</v>
      </c>
      <c r="U21" s="3">
        <f t="shared" si="2"/>
        <v>103.775</v>
      </c>
      <c r="V21" s="3"/>
      <c r="W21" s="3">
        <f t="shared" si="3"/>
        <v>103.5355583</v>
      </c>
      <c r="X21" s="3">
        <f t="shared" si="4"/>
        <v>11.2084288</v>
      </c>
      <c r="Y21" s="3">
        <f t="shared" si="5"/>
        <v>11.14483633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146</v>
      </c>
      <c r="B22" s="3" t="s">
        <v>147</v>
      </c>
      <c r="C22" s="3" t="s">
        <v>128</v>
      </c>
      <c r="D22" s="3" t="s">
        <v>29</v>
      </c>
      <c r="E22" s="3">
        <v>100.0</v>
      </c>
      <c r="F22" s="3" t="s">
        <v>27</v>
      </c>
      <c r="G22" s="3">
        <v>101.8</v>
      </c>
      <c r="I22" s="3">
        <v>105.25</v>
      </c>
      <c r="K22" s="3">
        <v>0.0</v>
      </c>
      <c r="L22" s="3">
        <v>2.0</v>
      </c>
      <c r="M22" s="3" t="s">
        <v>50</v>
      </c>
      <c r="N22" s="3">
        <v>0.9973</v>
      </c>
      <c r="O22" s="3">
        <v>0.0</v>
      </c>
      <c r="P22" s="3">
        <v>2.2805</v>
      </c>
      <c r="Q22" s="3">
        <v>1.0E-4</v>
      </c>
      <c r="R22" s="3">
        <v>0.3086</v>
      </c>
      <c r="S22" s="3">
        <v>203.070007</v>
      </c>
      <c r="T22" s="3">
        <v>55.0</v>
      </c>
      <c r="U22" s="3">
        <f t="shared" si="2"/>
        <v>103.525</v>
      </c>
      <c r="V22" s="3"/>
      <c r="W22" s="3">
        <f t="shared" si="3"/>
        <v>103.0852853</v>
      </c>
      <c r="X22" s="3">
        <f t="shared" si="4"/>
        <v>4.986630339</v>
      </c>
      <c r="Y22" s="3">
        <f t="shared" si="5"/>
        <v>4.842459642</v>
      </c>
      <c r="Z22" s="3">
        <f t="shared" ref="Z22:AA22" si="25">_xlfn.NORM.S.DIST(X22)</f>
        <v>0.9999996928</v>
      </c>
      <c r="AA22" s="3">
        <f t="shared" si="25"/>
        <v>0.9999993588</v>
      </c>
    </row>
    <row r="23" ht="14.25" customHeight="1">
      <c r="A23" s="3" t="s">
        <v>146</v>
      </c>
      <c r="B23" s="3" t="s">
        <v>147</v>
      </c>
      <c r="C23" s="3" t="s">
        <v>129</v>
      </c>
      <c r="D23" s="3" t="s">
        <v>29</v>
      </c>
      <c r="E23" s="3">
        <v>100.0</v>
      </c>
      <c r="F23" s="3" t="s">
        <v>27</v>
      </c>
      <c r="G23" s="3">
        <v>103.45</v>
      </c>
      <c r="I23" s="3">
        <v>106.95</v>
      </c>
      <c r="K23" s="3">
        <v>0.0</v>
      </c>
      <c r="L23" s="3">
        <v>2.0</v>
      </c>
      <c r="M23" s="3" t="s">
        <v>52</v>
      </c>
      <c r="N23" s="3">
        <v>0.9974</v>
      </c>
      <c r="O23" s="3">
        <v>0.0</v>
      </c>
      <c r="P23" s="3">
        <v>2.2559</v>
      </c>
      <c r="Q23" s="3">
        <v>0.0</v>
      </c>
      <c r="R23" s="3">
        <v>0.2964</v>
      </c>
      <c r="S23" s="3">
        <v>205.179993</v>
      </c>
      <c r="T23" s="3">
        <v>54.0</v>
      </c>
      <c r="U23" s="3">
        <f t="shared" si="2"/>
        <v>105.2</v>
      </c>
      <c r="V23" s="3"/>
      <c r="W23" s="3">
        <f t="shared" si="3"/>
        <v>105.1949922</v>
      </c>
      <c r="X23" s="3">
        <f t="shared" si="4"/>
        <v>5.307912044</v>
      </c>
      <c r="Y23" s="3">
        <f t="shared" si="5"/>
        <v>5.170705505</v>
      </c>
      <c r="Z23" s="3">
        <f t="shared" ref="Z23:AA23" si="26">_xlfn.NORM.S.DIST(X23)</f>
        <v>0.9999999446</v>
      </c>
      <c r="AA23" s="3">
        <f t="shared" si="26"/>
        <v>0.9999998834</v>
      </c>
    </row>
    <row r="24" ht="14.25" customHeight="1">
      <c r="A24" s="3" t="s">
        <v>146</v>
      </c>
      <c r="B24" s="3" t="s">
        <v>147</v>
      </c>
      <c r="C24" s="3" t="s">
        <v>129</v>
      </c>
      <c r="D24" s="3" t="s">
        <v>29</v>
      </c>
      <c r="E24" s="3">
        <v>100.0</v>
      </c>
      <c r="F24" s="3" t="s">
        <v>27</v>
      </c>
      <c r="G24" s="3">
        <v>102.3</v>
      </c>
      <c r="I24" s="3">
        <v>105.6</v>
      </c>
      <c r="K24" s="3">
        <v>0.0</v>
      </c>
      <c r="L24" s="3">
        <v>2.0</v>
      </c>
      <c r="M24" s="3" t="s">
        <v>53</v>
      </c>
      <c r="N24" s="3">
        <v>0.9978</v>
      </c>
      <c r="O24" s="3">
        <v>0.0</v>
      </c>
      <c r="P24" s="3">
        <v>1.9273</v>
      </c>
      <c r="Q24" s="3">
        <v>0.0</v>
      </c>
      <c r="R24" s="3">
        <v>0.2325</v>
      </c>
      <c r="S24" s="3">
        <v>203.789993</v>
      </c>
      <c r="T24" s="3">
        <v>53.0</v>
      </c>
      <c r="U24" s="3">
        <f t="shared" si="2"/>
        <v>103.95</v>
      </c>
      <c r="V24" s="3"/>
      <c r="W24" s="3">
        <f t="shared" si="3"/>
        <v>103.8047141</v>
      </c>
      <c r="X24" s="3">
        <f t="shared" si="4"/>
        <v>6.731525752</v>
      </c>
      <c r="Y24" s="3">
        <f t="shared" si="5"/>
        <v>6.624900365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146</v>
      </c>
      <c r="B25" s="3" t="s">
        <v>147</v>
      </c>
      <c r="C25" s="3" t="s">
        <v>129</v>
      </c>
      <c r="D25" s="3" t="s">
        <v>29</v>
      </c>
      <c r="E25" s="3">
        <v>100.0</v>
      </c>
      <c r="F25" s="3" t="s">
        <v>27</v>
      </c>
      <c r="G25" s="3">
        <v>101.65</v>
      </c>
      <c r="I25" s="3">
        <v>103.55</v>
      </c>
      <c r="K25" s="3">
        <v>6.0</v>
      </c>
      <c r="L25" s="3">
        <v>2.0</v>
      </c>
      <c r="M25" s="3" t="s">
        <v>54</v>
      </c>
      <c r="N25" s="3">
        <v>0.9978</v>
      </c>
      <c r="O25" s="3">
        <v>0.0</v>
      </c>
      <c r="P25" s="3">
        <v>1.8811</v>
      </c>
      <c r="Q25" s="3">
        <v>0.0</v>
      </c>
      <c r="R25" s="3">
        <v>0.1403</v>
      </c>
      <c r="S25" s="3">
        <v>202.789993</v>
      </c>
      <c r="T25" s="3">
        <v>52.0</v>
      </c>
      <c r="U25" s="3">
        <f t="shared" si="2"/>
        <v>102.6</v>
      </c>
      <c r="V25" s="3"/>
      <c r="W25" s="3">
        <f t="shared" si="3"/>
        <v>102.8044364</v>
      </c>
      <c r="X25" s="3">
        <f t="shared" si="4"/>
        <v>11.12743351</v>
      </c>
      <c r="Y25" s="3">
        <f t="shared" si="5"/>
        <v>11.06370129</v>
      </c>
      <c r="Z25" s="3">
        <f t="shared" ref="Z25:AA25" si="28">_xlfn.NORM.S.DIST(X25)</f>
        <v>1</v>
      </c>
      <c r="AA25" s="3">
        <f t="shared" si="28"/>
        <v>1</v>
      </c>
    </row>
    <row r="26" ht="14.25" customHeight="1">
      <c r="A26" s="3" t="s">
        <v>146</v>
      </c>
      <c r="B26" s="3" t="s">
        <v>147</v>
      </c>
      <c r="C26" s="3" t="s">
        <v>129</v>
      </c>
      <c r="D26" s="3" t="s">
        <v>29</v>
      </c>
      <c r="E26" s="3">
        <v>100.0</v>
      </c>
      <c r="F26" s="3" t="s">
        <v>27</v>
      </c>
      <c r="G26" s="3">
        <v>99.9</v>
      </c>
      <c r="I26" s="3">
        <v>101.6</v>
      </c>
      <c r="K26" s="3">
        <v>0.0</v>
      </c>
      <c r="L26" s="3">
        <v>4.0</v>
      </c>
      <c r="M26" s="3" t="s">
        <v>55</v>
      </c>
      <c r="N26" s="3">
        <v>0.9978</v>
      </c>
      <c r="O26" s="3">
        <v>0.0</v>
      </c>
      <c r="P26" s="3">
        <v>1.8972</v>
      </c>
      <c r="Q26" s="3">
        <v>0.0</v>
      </c>
      <c r="R26" s="3">
        <v>0.3054</v>
      </c>
      <c r="S26" s="3">
        <v>201.020004</v>
      </c>
      <c r="T26" s="3">
        <v>51.0</v>
      </c>
      <c r="U26" s="3">
        <f t="shared" si="2"/>
        <v>100.75</v>
      </c>
      <c r="V26" s="3"/>
      <c r="W26" s="3">
        <f t="shared" si="3"/>
        <v>101.0341703</v>
      </c>
      <c r="X26" s="3">
        <f t="shared" si="4"/>
        <v>5.151873731</v>
      </c>
      <c r="Y26" s="3">
        <f t="shared" si="5"/>
        <v>5.014484134</v>
      </c>
      <c r="Z26" s="3">
        <f t="shared" ref="Z26:AA26" si="29">_xlfn.NORM.S.DIST(X26)</f>
        <v>0.9999998711</v>
      </c>
      <c r="AA26" s="3">
        <f t="shared" si="29"/>
        <v>0.9999997341</v>
      </c>
    </row>
    <row r="27" ht="14.25" customHeight="1">
      <c r="A27" s="3" t="s">
        <v>146</v>
      </c>
      <c r="B27" s="3" t="s">
        <v>147</v>
      </c>
      <c r="C27" s="3" t="s">
        <v>129</v>
      </c>
      <c r="D27" s="3" t="s">
        <v>29</v>
      </c>
      <c r="E27" s="3">
        <v>100.0</v>
      </c>
      <c r="F27" s="3" t="s">
        <v>27</v>
      </c>
      <c r="G27" s="3">
        <v>98.7</v>
      </c>
      <c r="I27" s="3">
        <v>100.1</v>
      </c>
      <c r="K27" s="3">
        <v>0.0</v>
      </c>
      <c r="L27" s="3">
        <v>4.0</v>
      </c>
      <c r="M27" s="3" t="s">
        <v>56</v>
      </c>
      <c r="N27" s="3">
        <v>0.998</v>
      </c>
      <c r="O27" s="3">
        <v>0.0</v>
      </c>
      <c r="P27" s="3">
        <v>1.7857</v>
      </c>
      <c r="Q27" s="3">
        <v>1.0E-4</v>
      </c>
      <c r="R27" s="3">
        <v>0.311</v>
      </c>
      <c r="S27" s="3">
        <v>199.740005</v>
      </c>
      <c r="T27" s="3">
        <v>50.0</v>
      </c>
      <c r="U27" s="3">
        <f t="shared" si="2"/>
        <v>99.4</v>
      </c>
      <c r="V27" s="3"/>
      <c r="W27" s="3">
        <f t="shared" si="3"/>
        <v>99.753894</v>
      </c>
      <c r="X27" s="3">
        <f t="shared" si="4"/>
        <v>5.064451798</v>
      </c>
      <c r="Y27" s="3">
        <f t="shared" si="5"/>
        <v>4.925921388</v>
      </c>
      <c r="Z27" s="3">
        <f t="shared" ref="Z27:AA27" si="30">_xlfn.NORM.S.DIST(X27)</f>
        <v>0.9999997952</v>
      </c>
      <c r="AA27" s="3">
        <f t="shared" si="30"/>
        <v>0.9999995802</v>
      </c>
    </row>
    <row r="28" ht="14.25" customHeight="1">
      <c r="A28" s="3" t="s">
        <v>146</v>
      </c>
      <c r="B28" s="3" t="s">
        <v>147</v>
      </c>
      <c r="C28" s="3" t="s">
        <v>129</v>
      </c>
      <c r="D28" s="3" t="s">
        <v>29</v>
      </c>
      <c r="E28" s="3">
        <v>100.0</v>
      </c>
      <c r="F28" s="3" t="s">
        <v>27</v>
      </c>
      <c r="G28" s="3">
        <v>101.15</v>
      </c>
      <c r="I28" s="3">
        <v>102.45</v>
      </c>
      <c r="K28" s="3">
        <v>0.0</v>
      </c>
      <c r="L28" s="3">
        <v>4.0</v>
      </c>
      <c r="M28" s="3" t="s">
        <v>57</v>
      </c>
      <c r="N28" s="3">
        <v>0.9981</v>
      </c>
      <c r="O28" s="3">
        <v>0.0</v>
      </c>
      <c r="P28" s="3">
        <v>1.7424</v>
      </c>
      <c r="Q28" s="3">
        <v>0.0</v>
      </c>
      <c r="R28" s="3">
        <v>0.3094</v>
      </c>
      <c r="S28" s="3">
        <v>201.679993</v>
      </c>
      <c r="T28" s="3">
        <v>49.0</v>
      </c>
      <c r="U28" s="3">
        <f t="shared" si="2"/>
        <v>101.8</v>
      </c>
      <c r="V28" s="3"/>
      <c r="W28" s="3">
        <f t="shared" si="3"/>
        <v>101.6936037</v>
      </c>
      <c r="X28" s="3">
        <f t="shared" si="4"/>
        <v>5.211036237</v>
      </c>
      <c r="Y28" s="3">
        <f t="shared" si="5"/>
        <v>5.074603661</v>
      </c>
      <c r="Z28" s="3">
        <f t="shared" ref="Z28:AA28" si="31">_xlfn.NORM.S.DIST(X28)</f>
        <v>0.9999999061</v>
      </c>
      <c r="AA28" s="3">
        <f t="shared" si="31"/>
        <v>0.9999998058</v>
      </c>
    </row>
    <row r="29" ht="14.25" customHeight="1">
      <c r="A29" s="3" t="s">
        <v>146</v>
      </c>
      <c r="B29" s="3" t="s">
        <v>147</v>
      </c>
      <c r="C29" s="3" t="s">
        <v>129</v>
      </c>
      <c r="D29" s="3" t="s">
        <v>29</v>
      </c>
      <c r="E29" s="3">
        <v>100.0</v>
      </c>
      <c r="F29" s="3" t="s">
        <v>27</v>
      </c>
      <c r="G29" s="3">
        <v>99.65</v>
      </c>
      <c r="I29" s="3">
        <v>101.95</v>
      </c>
      <c r="K29" s="3">
        <v>0.0</v>
      </c>
      <c r="L29" s="3">
        <v>4.0</v>
      </c>
      <c r="M29" s="3" t="s">
        <v>58</v>
      </c>
      <c r="N29" s="3">
        <v>0.9985</v>
      </c>
      <c r="O29" s="3">
        <v>0.0</v>
      </c>
      <c r="P29" s="3">
        <v>1.2842</v>
      </c>
      <c r="Q29" s="3">
        <v>0.0</v>
      </c>
      <c r="R29" s="3">
        <v>0.2839</v>
      </c>
      <c r="S29" s="3">
        <v>200.160004</v>
      </c>
      <c r="T29" s="3">
        <v>48.0</v>
      </c>
      <c r="U29" s="3">
        <f t="shared" si="2"/>
        <v>100.8</v>
      </c>
      <c r="V29" s="3"/>
      <c r="W29" s="3">
        <f t="shared" si="3"/>
        <v>100.1733365</v>
      </c>
      <c r="X29" s="3">
        <f t="shared" si="4"/>
        <v>5.663704647</v>
      </c>
      <c r="Y29" s="3">
        <f t="shared" si="5"/>
        <v>5.539800529</v>
      </c>
      <c r="Z29" s="3">
        <f t="shared" ref="Z29:AA29" si="32">_xlfn.NORM.S.DIST(X29)</f>
        <v>0.9999999926</v>
      </c>
      <c r="AA29" s="3">
        <f t="shared" si="32"/>
        <v>0.9999999849</v>
      </c>
    </row>
    <row r="30" ht="14.25" customHeight="1">
      <c r="A30" s="3" t="s">
        <v>146</v>
      </c>
      <c r="B30" s="3" t="s">
        <v>147</v>
      </c>
      <c r="C30" s="3" t="s">
        <v>129</v>
      </c>
      <c r="D30" s="3" t="s">
        <v>29</v>
      </c>
      <c r="E30" s="3">
        <v>100.0</v>
      </c>
      <c r="F30" s="3" t="s">
        <v>27</v>
      </c>
      <c r="G30" s="3">
        <v>99.1</v>
      </c>
      <c r="I30" s="3">
        <v>102.1</v>
      </c>
      <c r="K30" s="3">
        <v>0.0</v>
      </c>
      <c r="L30" s="3">
        <v>4.0</v>
      </c>
      <c r="M30" s="3" t="s">
        <v>59</v>
      </c>
      <c r="N30" s="3">
        <v>0.9986</v>
      </c>
      <c r="O30" s="3">
        <v>0.0</v>
      </c>
      <c r="P30" s="3">
        <v>1.2251</v>
      </c>
      <c r="Q30" s="3">
        <v>1.0E-4</v>
      </c>
      <c r="R30" s="3">
        <v>0.3194</v>
      </c>
      <c r="S30" s="3">
        <v>200.039993</v>
      </c>
      <c r="T30" s="3">
        <v>47.0</v>
      </c>
      <c r="U30" s="3">
        <f t="shared" si="2"/>
        <v>100.6</v>
      </c>
      <c r="V30" s="3"/>
      <c r="W30" s="3">
        <f t="shared" si="3"/>
        <v>100.0530486</v>
      </c>
      <c r="X30" s="3">
        <f t="shared" si="4"/>
        <v>5.096432347</v>
      </c>
      <c r="Y30" s="3">
        <f t="shared" si="5"/>
        <v>4.95849446</v>
      </c>
      <c r="Z30" s="3">
        <f t="shared" ref="Z30:AA30" si="33">_xlfn.NORM.S.DIST(X30)</f>
        <v>0.9999998269</v>
      </c>
      <c r="AA30" s="3">
        <f t="shared" si="33"/>
        <v>0.9999996448</v>
      </c>
    </row>
    <row r="31" ht="14.25" customHeight="1">
      <c r="A31" s="3" t="s">
        <v>146</v>
      </c>
      <c r="B31" s="3" t="s">
        <v>147</v>
      </c>
      <c r="C31" s="3" t="s">
        <v>129</v>
      </c>
      <c r="D31" s="3" t="s">
        <v>29</v>
      </c>
      <c r="E31" s="3">
        <v>100.0</v>
      </c>
      <c r="F31" s="3" t="s">
        <v>27</v>
      </c>
      <c r="G31" s="3">
        <v>98.45</v>
      </c>
      <c r="I31" s="3">
        <v>102.1</v>
      </c>
      <c r="K31" s="3">
        <v>0.0</v>
      </c>
      <c r="L31" s="3">
        <v>4.0</v>
      </c>
      <c r="M31" s="3" t="s">
        <v>60</v>
      </c>
      <c r="N31" s="3">
        <v>0.9987</v>
      </c>
      <c r="O31" s="3">
        <v>0.0</v>
      </c>
      <c r="P31" s="3">
        <v>1.2021</v>
      </c>
      <c r="Q31" s="3">
        <v>0.0</v>
      </c>
      <c r="R31" s="3">
        <v>0.2376</v>
      </c>
      <c r="S31" s="3">
        <v>200.089996</v>
      </c>
      <c r="T31" s="3">
        <v>46.0</v>
      </c>
      <c r="U31" s="3">
        <f t="shared" si="2"/>
        <v>100.275</v>
      </c>
      <c r="V31" s="3"/>
      <c r="W31" s="3">
        <f t="shared" si="3"/>
        <v>100.102773</v>
      </c>
      <c r="X31" s="3">
        <f t="shared" si="4"/>
        <v>6.884555285</v>
      </c>
      <c r="Y31" s="3">
        <f t="shared" si="5"/>
        <v>6.783041486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146</v>
      </c>
      <c r="B32" s="3" t="s">
        <v>147</v>
      </c>
      <c r="C32" s="3" t="s">
        <v>129</v>
      </c>
      <c r="D32" s="3" t="s">
        <v>29</v>
      </c>
      <c r="E32" s="3">
        <v>100.0</v>
      </c>
      <c r="F32" s="3" t="s">
        <v>27</v>
      </c>
      <c r="G32" s="3">
        <v>98.65</v>
      </c>
      <c r="I32" s="3">
        <v>101.8</v>
      </c>
      <c r="K32" s="3">
        <v>0.0</v>
      </c>
      <c r="L32" s="3">
        <v>4.0</v>
      </c>
      <c r="M32" s="3" t="s">
        <v>61</v>
      </c>
      <c r="N32" s="3">
        <v>0.9987</v>
      </c>
      <c r="O32" s="3">
        <v>0.0</v>
      </c>
      <c r="P32" s="3">
        <v>1.1754</v>
      </c>
      <c r="Q32" s="3">
        <v>0.0</v>
      </c>
      <c r="R32" s="3">
        <v>0.2577</v>
      </c>
      <c r="S32" s="3">
        <v>199.649994</v>
      </c>
      <c r="T32" s="3">
        <v>45.0</v>
      </c>
      <c r="U32" s="3">
        <f t="shared" si="2"/>
        <v>100.225</v>
      </c>
      <c r="V32" s="3"/>
      <c r="W32" s="3">
        <f t="shared" si="3"/>
        <v>99.66249322</v>
      </c>
      <c r="X32" s="3">
        <f t="shared" si="4"/>
        <v>6.404609939</v>
      </c>
      <c r="Y32" s="3">
        <f t="shared" si="5"/>
        <v>6.295711814</v>
      </c>
      <c r="Z32" s="3">
        <f t="shared" ref="Z32:AA32" si="35">_xlfn.NORM.S.DIST(X32)</f>
        <v>0.9999999999</v>
      </c>
      <c r="AA32" s="3">
        <f t="shared" si="35"/>
        <v>0.9999999998</v>
      </c>
    </row>
    <row r="33" ht="14.25" customHeight="1">
      <c r="A33" s="3" t="s">
        <v>146</v>
      </c>
      <c r="B33" s="3" t="s">
        <v>147</v>
      </c>
      <c r="C33" s="3" t="s">
        <v>129</v>
      </c>
      <c r="D33" s="3" t="s">
        <v>29</v>
      </c>
      <c r="E33" s="3">
        <v>100.0</v>
      </c>
      <c r="F33" s="3" t="s">
        <v>27</v>
      </c>
      <c r="G33" s="3">
        <v>99.35</v>
      </c>
      <c r="I33" s="3">
        <v>102.55</v>
      </c>
      <c r="K33" s="3">
        <v>0.0</v>
      </c>
      <c r="L33" s="3">
        <v>4.0</v>
      </c>
      <c r="M33" s="3" t="s">
        <v>62</v>
      </c>
      <c r="N33" s="3">
        <v>0.9989</v>
      </c>
      <c r="O33" s="3">
        <v>0.0</v>
      </c>
      <c r="P33" s="3">
        <v>1.0158</v>
      </c>
      <c r="Q33" s="3">
        <v>0.0</v>
      </c>
      <c r="R33" s="3">
        <v>0.2428</v>
      </c>
      <c r="S33" s="3">
        <v>200.979996</v>
      </c>
      <c r="T33" s="3">
        <v>44.0</v>
      </c>
      <c r="U33" s="3">
        <f t="shared" si="2"/>
        <v>100.95</v>
      </c>
      <c r="V33" s="3"/>
      <c r="W33" s="3">
        <f t="shared" si="3"/>
        <v>100.9922175</v>
      </c>
      <c r="X33" s="3">
        <f t="shared" si="4"/>
        <v>6.932156216</v>
      </c>
      <c r="Y33" s="3">
        <f t="shared" si="5"/>
        <v>6.830700914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146</v>
      </c>
      <c r="B34" s="3" t="s">
        <v>147</v>
      </c>
      <c r="C34" s="3" t="s">
        <v>129</v>
      </c>
      <c r="D34" s="3" t="s">
        <v>29</v>
      </c>
      <c r="E34" s="3">
        <v>100.0</v>
      </c>
      <c r="F34" s="3" t="s">
        <v>27</v>
      </c>
      <c r="G34" s="3">
        <v>99.35</v>
      </c>
      <c r="I34" s="3">
        <v>102.0</v>
      </c>
      <c r="K34" s="3">
        <v>0.0</v>
      </c>
      <c r="L34" s="3">
        <v>4.0</v>
      </c>
      <c r="M34" s="3" t="s">
        <v>63</v>
      </c>
      <c r="N34" s="3">
        <v>0.9992</v>
      </c>
      <c r="O34" s="3">
        <v>0.0</v>
      </c>
      <c r="P34" s="3">
        <v>0.6347</v>
      </c>
      <c r="Q34" s="3">
        <v>0.0</v>
      </c>
      <c r="R34" s="3">
        <v>0.2501</v>
      </c>
      <c r="S34" s="3">
        <v>200.320007</v>
      </c>
      <c r="T34" s="3">
        <v>43.0</v>
      </c>
      <c r="U34" s="3">
        <f t="shared" si="2"/>
        <v>100.675</v>
      </c>
      <c r="V34" s="3"/>
      <c r="W34" s="3">
        <f t="shared" si="3"/>
        <v>100.3319507</v>
      </c>
      <c r="X34" s="3">
        <f t="shared" si="4"/>
        <v>6.777596209</v>
      </c>
      <c r="Y34" s="3">
        <f t="shared" si="5"/>
        <v>6.674284951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146</v>
      </c>
      <c r="B35" s="3" t="s">
        <v>147</v>
      </c>
      <c r="C35" s="3" t="s">
        <v>129</v>
      </c>
      <c r="D35" s="3" t="s">
        <v>29</v>
      </c>
      <c r="E35" s="3">
        <v>100.0</v>
      </c>
      <c r="F35" s="3" t="s">
        <v>27</v>
      </c>
      <c r="G35" s="3">
        <v>97.75</v>
      </c>
      <c r="I35" s="3">
        <v>101.0</v>
      </c>
      <c r="K35" s="3">
        <v>0.0</v>
      </c>
      <c r="L35" s="3">
        <v>4.0</v>
      </c>
      <c r="M35" s="3" t="s">
        <v>64</v>
      </c>
      <c r="N35" s="3">
        <v>0.9993</v>
      </c>
      <c r="O35" s="3">
        <v>0.0</v>
      </c>
      <c r="P35" s="3">
        <v>0.6243</v>
      </c>
      <c r="Q35" s="3">
        <v>0.0</v>
      </c>
      <c r="R35" s="3">
        <v>0.3333</v>
      </c>
      <c r="S35" s="3">
        <v>199.309998</v>
      </c>
      <c r="T35" s="3">
        <v>42.0</v>
      </c>
      <c r="U35" s="3">
        <f t="shared" si="2"/>
        <v>99.375</v>
      </c>
      <c r="V35" s="3"/>
      <c r="W35" s="3">
        <f t="shared" si="3"/>
        <v>99.32166469</v>
      </c>
      <c r="X35" s="3">
        <f t="shared" si="4"/>
        <v>5.137573454</v>
      </c>
      <c r="Y35" s="3">
        <f t="shared" si="5"/>
        <v>5.001504299</v>
      </c>
      <c r="Z35" s="3">
        <f t="shared" ref="Z35:AA35" si="38">_xlfn.NORM.S.DIST(X35)</f>
        <v>0.9999998608</v>
      </c>
      <c r="AA35" s="3">
        <f t="shared" si="38"/>
        <v>0.9999997156</v>
      </c>
    </row>
    <row r="36" ht="14.25" customHeight="1">
      <c r="A36" s="3" t="s">
        <v>146</v>
      </c>
      <c r="B36" s="3" t="s">
        <v>147</v>
      </c>
      <c r="C36" s="3" t="s">
        <v>129</v>
      </c>
      <c r="D36" s="3" t="s">
        <v>29</v>
      </c>
      <c r="E36" s="3">
        <v>100.0</v>
      </c>
      <c r="F36" s="3" t="s">
        <v>27</v>
      </c>
      <c r="G36" s="3">
        <v>97.05</v>
      </c>
      <c r="I36" s="3">
        <v>100.0</v>
      </c>
      <c r="K36" s="3">
        <v>0.0</v>
      </c>
      <c r="L36" s="3">
        <v>4.0</v>
      </c>
      <c r="M36" s="3" t="s">
        <v>65</v>
      </c>
      <c r="N36" s="3">
        <v>0.9993</v>
      </c>
      <c r="O36" s="3">
        <v>0.0</v>
      </c>
      <c r="P36" s="3">
        <v>0.6198</v>
      </c>
      <c r="Q36" s="3">
        <v>0.0</v>
      </c>
      <c r="R36" s="3">
        <v>0.2536</v>
      </c>
      <c r="S36" s="3">
        <v>198.330002</v>
      </c>
      <c r="T36" s="3">
        <v>41.0</v>
      </c>
      <c r="U36" s="3">
        <f t="shared" si="2"/>
        <v>98.525</v>
      </c>
      <c r="V36" s="3"/>
      <c r="W36" s="3">
        <f t="shared" si="3"/>
        <v>98.34139024</v>
      </c>
      <c r="X36" s="3">
        <f t="shared" si="4"/>
        <v>6.746461535</v>
      </c>
      <c r="Y36" s="3">
        <f t="shared" si="5"/>
        <v>6.644169715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146</v>
      </c>
      <c r="B37" s="3" t="s">
        <v>147</v>
      </c>
      <c r="C37" s="3" t="s">
        <v>129</v>
      </c>
      <c r="D37" s="3" t="s">
        <v>29</v>
      </c>
      <c r="E37" s="3">
        <v>100.0</v>
      </c>
      <c r="F37" s="3" t="s">
        <v>27</v>
      </c>
      <c r="G37" s="3">
        <v>98.6</v>
      </c>
      <c r="I37" s="3">
        <v>102.05</v>
      </c>
      <c r="K37" s="3">
        <v>0.0</v>
      </c>
      <c r="L37" s="3">
        <v>4.0</v>
      </c>
      <c r="M37" s="3" t="s">
        <v>66</v>
      </c>
      <c r="N37" s="3">
        <v>0.9993</v>
      </c>
      <c r="O37" s="3">
        <v>0.0</v>
      </c>
      <c r="P37" s="3">
        <v>0.6292</v>
      </c>
      <c r="Q37" s="3">
        <v>0.0</v>
      </c>
      <c r="R37" s="3">
        <v>0.2304</v>
      </c>
      <c r="S37" s="3">
        <v>201.089996</v>
      </c>
      <c r="T37" s="3">
        <v>40.0</v>
      </c>
      <c r="U37" s="3">
        <f t="shared" si="2"/>
        <v>100.325</v>
      </c>
      <c r="V37" s="3"/>
      <c r="W37" s="3">
        <f t="shared" si="3"/>
        <v>101.1011065</v>
      </c>
      <c r="X37" s="3">
        <f t="shared" si="4"/>
        <v>7.657471007</v>
      </c>
      <c r="Y37" s="3">
        <f t="shared" si="5"/>
        <v>7.56567745</v>
      </c>
      <c r="Z37" s="3">
        <f t="shared" ref="Z37:AA37" si="40">_xlfn.NORM.S.DIST(X37)</f>
        <v>1</v>
      </c>
      <c r="AA37" s="3">
        <f t="shared" si="40"/>
        <v>1</v>
      </c>
    </row>
    <row r="38" ht="14.25" customHeight="1">
      <c r="A38" s="3" t="s">
        <v>146</v>
      </c>
      <c r="B38" s="3" t="s">
        <v>147</v>
      </c>
      <c r="C38" s="3" t="s">
        <v>129</v>
      </c>
      <c r="D38" s="3" t="s">
        <v>29</v>
      </c>
      <c r="E38" s="3">
        <v>100.0</v>
      </c>
      <c r="F38" s="3" t="s">
        <v>27</v>
      </c>
      <c r="G38" s="3">
        <v>95.9</v>
      </c>
      <c r="I38" s="3">
        <v>99.95</v>
      </c>
      <c r="K38" s="3">
        <v>0.0</v>
      </c>
      <c r="L38" s="3">
        <v>4.0</v>
      </c>
      <c r="M38" s="3" t="s">
        <v>67</v>
      </c>
      <c r="N38" s="3">
        <v>0.9993</v>
      </c>
      <c r="O38" s="3">
        <v>0.0</v>
      </c>
      <c r="P38" s="3">
        <v>0.6128</v>
      </c>
      <c r="Q38" s="3">
        <v>0.0</v>
      </c>
      <c r="R38" s="3">
        <v>0.2968</v>
      </c>
      <c r="S38" s="3">
        <v>197.509995</v>
      </c>
      <c r="T38" s="3">
        <v>39.0</v>
      </c>
      <c r="U38" s="3">
        <f t="shared" si="2"/>
        <v>97.925</v>
      </c>
      <c r="V38" s="3"/>
      <c r="W38" s="3">
        <f t="shared" si="3"/>
        <v>97.52082775</v>
      </c>
      <c r="X38" s="3">
        <f t="shared" si="4"/>
        <v>5.888497142</v>
      </c>
      <c r="Y38" s="3">
        <f t="shared" si="5"/>
        <v>5.771736647</v>
      </c>
      <c r="Z38" s="3">
        <f t="shared" ref="Z38:AA38" si="41">_xlfn.NORM.S.DIST(X38)</f>
        <v>0.9999999981</v>
      </c>
      <c r="AA38" s="3">
        <f t="shared" si="41"/>
        <v>0.9999999961</v>
      </c>
    </row>
    <row r="39" ht="14.25" customHeight="1">
      <c r="A39" s="3" t="s">
        <v>146</v>
      </c>
      <c r="B39" s="3" t="s">
        <v>147</v>
      </c>
      <c r="C39" s="3" t="s">
        <v>129</v>
      </c>
      <c r="D39" s="3" t="s">
        <v>29</v>
      </c>
      <c r="E39" s="3">
        <v>100.0</v>
      </c>
      <c r="F39" s="3" t="s">
        <v>27</v>
      </c>
      <c r="G39" s="3">
        <v>97.45</v>
      </c>
      <c r="I39" s="3">
        <v>101.05</v>
      </c>
      <c r="K39" s="3">
        <v>0.0</v>
      </c>
      <c r="L39" s="3">
        <v>4.0</v>
      </c>
      <c r="M39" s="3" t="s">
        <v>68</v>
      </c>
      <c r="N39" s="3">
        <v>0.9993</v>
      </c>
      <c r="O39" s="3">
        <v>0.0</v>
      </c>
      <c r="P39" s="3">
        <v>0.6236</v>
      </c>
      <c r="Q39" s="3">
        <v>0.0</v>
      </c>
      <c r="R39" s="3">
        <v>0.3358</v>
      </c>
      <c r="S39" s="3">
        <v>199.139999</v>
      </c>
      <c r="T39" s="3">
        <v>38.0</v>
      </c>
      <c r="U39" s="3">
        <f t="shared" si="2"/>
        <v>99.25</v>
      </c>
      <c r="V39" s="3"/>
      <c r="W39" s="3">
        <f t="shared" si="3"/>
        <v>99.15055421</v>
      </c>
      <c r="X39" s="3">
        <f t="shared" si="4"/>
        <v>5.34857328</v>
      </c>
      <c r="Y39" s="3">
        <f t="shared" si="5"/>
        <v>5.218174893</v>
      </c>
      <c r="Z39" s="3">
        <f t="shared" ref="Z39:AA39" si="42">_xlfn.NORM.S.DIST(X39)</f>
        <v>0.9999999557</v>
      </c>
      <c r="AA39" s="3">
        <f t="shared" si="42"/>
        <v>0.9999999097</v>
      </c>
    </row>
    <row r="40" ht="14.25" customHeight="1">
      <c r="A40" s="3" t="s">
        <v>146</v>
      </c>
      <c r="B40" s="3" t="s">
        <v>147</v>
      </c>
      <c r="C40" s="3" t="s">
        <v>129</v>
      </c>
      <c r="D40" s="3" t="s">
        <v>29</v>
      </c>
      <c r="E40" s="3">
        <v>100.0</v>
      </c>
      <c r="F40" s="3" t="s">
        <v>27</v>
      </c>
      <c r="G40" s="3">
        <v>100.2</v>
      </c>
      <c r="I40" s="3">
        <v>103.9</v>
      </c>
      <c r="K40" s="3">
        <v>0.0</v>
      </c>
      <c r="L40" s="3">
        <v>4.0</v>
      </c>
      <c r="M40" s="3" t="s">
        <v>69</v>
      </c>
      <c r="N40" s="3">
        <v>0.9994</v>
      </c>
      <c r="O40" s="3">
        <v>0.0</v>
      </c>
      <c r="P40" s="3">
        <v>0.6349</v>
      </c>
      <c r="Q40" s="3">
        <v>0.0</v>
      </c>
      <c r="R40" s="3">
        <v>0.3048</v>
      </c>
      <c r="S40" s="3">
        <v>202.330002</v>
      </c>
      <c r="T40" s="3">
        <v>37.0</v>
      </c>
      <c r="U40" s="3">
        <f t="shared" si="2"/>
        <v>102.05</v>
      </c>
      <c r="V40" s="3"/>
      <c r="W40" s="3">
        <f t="shared" si="3"/>
        <v>102.3402793</v>
      </c>
      <c r="X40" s="3">
        <f t="shared" si="4"/>
        <v>6.093301453</v>
      </c>
      <c r="Y40" s="3">
        <f t="shared" si="5"/>
        <v>5.976508792</v>
      </c>
      <c r="Z40" s="3">
        <f t="shared" ref="Z40:AA40" si="43">_xlfn.NORM.S.DIST(X40)</f>
        <v>0.9999999994</v>
      </c>
      <c r="AA40" s="3">
        <f t="shared" si="43"/>
        <v>0.9999999989</v>
      </c>
    </row>
    <row r="41" ht="14.25" customHeight="1">
      <c r="A41" s="3" t="s">
        <v>146</v>
      </c>
      <c r="B41" s="3" t="s">
        <v>147</v>
      </c>
      <c r="C41" s="3" t="s">
        <v>129</v>
      </c>
      <c r="D41" s="3" t="s">
        <v>29</v>
      </c>
      <c r="E41" s="3">
        <v>100.0</v>
      </c>
      <c r="F41" s="3" t="s">
        <v>27</v>
      </c>
      <c r="G41" s="3">
        <v>99.6</v>
      </c>
      <c r="I41" s="3">
        <v>103.3</v>
      </c>
      <c r="K41" s="3">
        <v>0.0</v>
      </c>
      <c r="L41" s="3">
        <v>4.0</v>
      </c>
      <c r="M41" s="3" t="s">
        <v>70</v>
      </c>
      <c r="N41" s="3">
        <v>0.9994</v>
      </c>
      <c r="O41" s="3">
        <v>0.0</v>
      </c>
      <c r="P41" s="3">
        <v>0.6231</v>
      </c>
      <c r="Q41" s="3">
        <v>0.0</v>
      </c>
      <c r="R41" s="3">
        <v>0.2983</v>
      </c>
      <c r="S41" s="3">
        <v>200.830002</v>
      </c>
      <c r="T41" s="3">
        <v>36.0</v>
      </c>
      <c r="U41" s="3">
        <f t="shared" si="2"/>
        <v>101.45</v>
      </c>
      <c r="V41" s="3"/>
      <c r="W41" s="3">
        <f t="shared" si="3"/>
        <v>100.8400015</v>
      </c>
      <c r="X41" s="3">
        <f t="shared" si="4"/>
        <v>6.241813598</v>
      </c>
      <c r="Y41" s="3">
        <f t="shared" si="5"/>
        <v>6.129066796</v>
      </c>
      <c r="Z41" s="3">
        <f t="shared" ref="Z41:AA41" si="44">_xlfn.NORM.S.DIST(X41)</f>
        <v>0.9999999998</v>
      </c>
      <c r="AA41" s="3">
        <f t="shared" si="44"/>
        <v>0.9999999996</v>
      </c>
    </row>
    <row r="42" ht="14.25" customHeight="1">
      <c r="A42" s="3" t="s">
        <v>146</v>
      </c>
      <c r="B42" s="3" t="s">
        <v>147</v>
      </c>
      <c r="C42" s="3" t="s">
        <v>129</v>
      </c>
      <c r="D42" s="3" t="s">
        <v>29</v>
      </c>
      <c r="E42" s="3">
        <v>100.0</v>
      </c>
      <c r="F42" s="3" t="s">
        <v>27</v>
      </c>
      <c r="G42" s="3">
        <v>100.45</v>
      </c>
      <c r="I42" s="3">
        <v>104.05</v>
      </c>
      <c r="K42" s="3">
        <v>0.0</v>
      </c>
      <c r="L42" s="3">
        <v>4.0</v>
      </c>
      <c r="M42" s="3" t="s">
        <v>71</v>
      </c>
      <c r="N42" s="3">
        <v>0.9994</v>
      </c>
      <c r="O42" s="3">
        <v>0.0</v>
      </c>
      <c r="P42" s="3">
        <v>0.6428</v>
      </c>
      <c r="Q42" s="3">
        <v>0.0</v>
      </c>
      <c r="R42" s="3">
        <v>0.259</v>
      </c>
      <c r="S42" s="3">
        <v>202.910004</v>
      </c>
      <c r="T42" s="3">
        <v>35.0</v>
      </c>
      <c r="U42" s="3">
        <f t="shared" si="2"/>
        <v>102.25</v>
      </c>
      <c r="V42" s="3"/>
      <c r="W42" s="3">
        <f t="shared" si="3"/>
        <v>102.9197257</v>
      </c>
      <c r="X42" s="3">
        <f t="shared" si="4"/>
        <v>7.380039515</v>
      </c>
      <c r="Y42" s="3">
        <f t="shared" si="5"/>
        <v>7.283515914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146</v>
      </c>
      <c r="B43" s="3" t="s">
        <v>147</v>
      </c>
      <c r="C43" s="3" t="s">
        <v>129</v>
      </c>
      <c r="D43" s="3" t="s">
        <v>29</v>
      </c>
      <c r="E43" s="3">
        <v>100.0</v>
      </c>
      <c r="F43" s="3" t="s">
        <v>27</v>
      </c>
      <c r="G43" s="3">
        <v>102.65</v>
      </c>
      <c r="I43" s="3">
        <v>106.35</v>
      </c>
      <c r="K43" s="3">
        <v>0.0</v>
      </c>
      <c r="L43" s="3">
        <v>4.0</v>
      </c>
      <c r="M43" s="3" t="s">
        <v>72</v>
      </c>
      <c r="N43" s="3">
        <v>0.9993</v>
      </c>
      <c r="O43" s="3">
        <v>0.0</v>
      </c>
      <c r="P43" s="3">
        <v>0.7954</v>
      </c>
      <c r="Q43" s="3">
        <v>0.0</v>
      </c>
      <c r="R43" s="3">
        <v>0.2297</v>
      </c>
      <c r="S43" s="3">
        <v>205.190002</v>
      </c>
      <c r="T43" s="3">
        <v>34.0</v>
      </c>
      <c r="U43" s="3">
        <f t="shared" si="2"/>
        <v>104.5</v>
      </c>
      <c r="V43" s="3"/>
      <c r="W43" s="3">
        <f t="shared" si="3"/>
        <v>105.199446</v>
      </c>
      <c r="X43" s="3">
        <f t="shared" si="4"/>
        <v>8.562282927</v>
      </c>
      <c r="Y43" s="3">
        <f t="shared" si="5"/>
        <v>8.477910569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146</v>
      </c>
      <c r="B44" s="3" t="s">
        <v>147</v>
      </c>
      <c r="C44" s="3" t="s">
        <v>129</v>
      </c>
      <c r="D44" s="3" t="s">
        <v>29</v>
      </c>
      <c r="E44" s="3">
        <v>100.0</v>
      </c>
      <c r="F44" s="3" t="s">
        <v>27</v>
      </c>
      <c r="G44" s="3">
        <v>105.15</v>
      </c>
      <c r="I44" s="3">
        <v>108.45</v>
      </c>
      <c r="K44" s="3">
        <v>0.0</v>
      </c>
      <c r="L44" s="3">
        <v>4.0</v>
      </c>
      <c r="M44" s="3" t="s">
        <v>73</v>
      </c>
      <c r="N44" s="3">
        <v>0.9993</v>
      </c>
      <c r="O44" s="3">
        <v>0.0</v>
      </c>
      <c r="P44" s="3">
        <v>0.8073</v>
      </c>
      <c r="Q44" s="3">
        <v>0.0</v>
      </c>
      <c r="R44" s="3">
        <v>0.287</v>
      </c>
      <c r="S44" s="3">
        <v>206.529999</v>
      </c>
      <c r="T44" s="3">
        <v>33.0</v>
      </c>
      <c r="U44" s="3">
        <f t="shared" si="2"/>
        <v>106.8</v>
      </c>
      <c r="V44" s="3"/>
      <c r="W44" s="3">
        <f t="shared" si="3"/>
        <v>106.5391652</v>
      </c>
      <c r="X44" s="3">
        <f t="shared" si="4"/>
        <v>7.03617103</v>
      </c>
      <c r="Y44" s="3">
        <f t="shared" si="5"/>
        <v>6.932313355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146</v>
      </c>
      <c r="B45" s="3" t="s">
        <v>147</v>
      </c>
      <c r="C45" s="3" t="s">
        <v>129</v>
      </c>
      <c r="D45" s="3" t="s">
        <v>29</v>
      </c>
      <c r="E45" s="3">
        <v>100.0</v>
      </c>
      <c r="F45" s="3" t="s">
        <v>27</v>
      </c>
      <c r="G45" s="3">
        <v>106.4</v>
      </c>
      <c r="I45" s="3">
        <v>110.0</v>
      </c>
      <c r="K45" s="3">
        <v>0.0</v>
      </c>
      <c r="L45" s="3">
        <v>4.0</v>
      </c>
      <c r="M45" s="3" t="s">
        <v>74</v>
      </c>
      <c r="N45" s="3">
        <v>0.9994</v>
      </c>
      <c r="O45" s="3">
        <v>0.0</v>
      </c>
      <c r="P45" s="3">
        <v>0.8122</v>
      </c>
      <c r="Q45" s="3">
        <v>0.0</v>
      </c>
      <c r="R45" s="3">
        <v>0.2368</v>
      </c>
      <c r="S45" s="3">
        <v>208.380005</v>
      </c>
      <c r="T45" s="3">
        <v>32.0</v>
      </c>
      <c r="U45" s="3">
        <f t="shared" si="2"/>
        <v>108.2</v>
      </c>
      <c r="V45" s="3"/>
      <c r="W45" s="3">
        <f t="shared" si="3"/>
        <v>108.3888935</v>
      </c>
      <c r="X45" s="3">
        <f t="shared" si="4"/>
        <v>8.74393965</v>
      </c>
      <c r="Y45" s="3">
        <f t="shared" si="5"/>
        <v>8.659556367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146</v>
      </c>
      <c r="B46" s="3" t="s">
        <v>147</v>
      </c>
      <c r="C46" s="3" t="s">
        <v>129</v>
      </c>
      <c r="D46" s="3" t="s">
        <v>29</v>
      </c>
      <c r="E46" s="3">
        <v>100.0</v>
      </c>
      <c r="F46" s="3" t="s">
        <v>27</v>
      </c>
      <c r="G46" s="3">
        <v>107.45</v>
      </c>
      <c r="I46" s="3">
        <v>110.7</v>
      </c>
      <c r="K46" s="3">
        <v>0.0</v>
      </c>
      <c r="L46" s="3">
        <v>4.0</v>
      </c>
      <c r="M46" s="3" t="s">
        <v>75</v>
      </c>
      <c r="N46" s="3">
        <v>0.9994</v>
      </c>
      <c r="O46" s="3">
        <v>0.0</v>
      </c>
      <c r="P46" s="3">
        <v>0.8074</v>
      </c>
      <c r="Q46" s="3">
        <v>0.0</v>
      </c>
      <c r="R46" s="3">
        <v>0.2515</v>
      </c>
      <c r="S46" s="3">
        <v>209.419998</v>
      </c>
      <c r="T46" s="3">
        <v>31.0</v>
      </c>
      <c r="U46" s="3">
        <f t="shared" si="2"/>
        <v>109.075</v>
      </c>
      <c r="V46" s="3"/>
      <c r="W46" s="3">
        <f t="shared" si="3"/>
        <v>109.4286087</v>
      </c>
      <c r="X46" s="3">
        <f t="shared" si="4"/>
        <v>8.424747341</v>
      </c>
      <c r="Y46" s="3">
        <f t="shared" si="5"/>
        <v>8.33653719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146</v>
      </c>
      <c r="B47" s="3" t="s">
        <v>147</v>
      </c>
      <c r="C47" s="3" t="s">
        <v>129</v>
      </c>
      <c r="D47" s="3" t="s">
        <v>29</v>
      </c>
      <c r="E47" s="3">
        <v>100.0</v>
      </c>
      <c r="F47" s="3" t="s">
        <v>27</v>
      </c>
      <c r="G47" s="3">
        <v>109.85</v>
      </c>
      <c r="I47" s="3">
        <v>110.9</v>
      </c>
      <c r="K47" s="3">
        <v>0.0</v>
      </c>
      <c r="L47" s="3">
        <v>4.0</v>
      </c>
      <c r="M47" s="3" t="s">
        <v>76</v>
      </c>
      <c r="N47" s="3">
        <v>0.9994</v>
      </c>
      <c r="O47" s="3">
        <v>0.0</v>
      </c>
      <c r="P47" s="3">
        <v>0.807</v>
      </c>
      <c r="Q47" s="3">
        <v>0.0</v>
      </c>
      <c r="R47" s="3">
        <v>0.1933</v>
      </c>
      <c r="S47" s="3">
        <v>210.380005</v>
      </c>
      <c r="T47" s="3">
        <v>30.0</v>
      </c>
      <c r="U47" s="3">
        <f t="shared" si="2"/>
        <v>110.375</v>
      </c>
      <c r="V47" s="3"/>
      <c r="W47" s="3">
        <f t="shared" si="3"/>
        <v>110.388338</v>
      </c>
      <c r="X47" s="3">
        <f t="shared" si="4"/>
        <v>11.18606375</v>
      </c>
      <c r="Y47" s="3">
        <f t="shared" si="5"/>
        <v>11.11936892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146</v>
      </c>
      <c r="B48" s="3" t="s">
        <v>147</v>
      </c>
      <c r="C48" s="3" t="s">
        <v>129</v>
      </c>
      <c r="D48" s="3" t="s">
        <v>29</v>
      </c>
      <c r="E48" s="3">
        <v>100.0</v>
      </c>
      <c r="F48" s="3" t="s">
        <v>27</v>
      </c>
      <c r="G48" s="3">
        <v>108.15</v>
      </c>
      <c r="I48" s="3">
        <v>111.05</v>
      </c>
      <c r="K48" s="3">
        <v>0.0</v>
      </c>
      <c r="L48" s="3">
        <v>4.0</v>
      </c>
      <c r="M48" s="3" t="s">
        <v>77</v>
      </c>
      <c r="N48" s="3">
        <v>0.9994</v>
      </c>
      <c r="O48" s="3">
        <v>0.0</v>
      </c>
      <c r="P48" s="3">
        <v>0.8263</v>
      </c>
      <c r="Q48" s="3">
        <v>0.0</v>
      </c>
      <c r="R48" s="3">
        <v>0.2451</v>
      </c>
      <c r="S48" s="3">
        <v>210.080002</v>
      </c>
      <c r="T48" s="3">
        <v>29.0</v>
      </c>
      <c r="U48" s="3">
        <f t="shared" si="2"/>
        <v>109.6</v>
      </c>
      <c r="V48" s="3"/>
      <c r="W48" s="3">
        <f t="shared" si="3"/>
        <v>110.0880572</v>
      </c>
      <c r="X48" s="3">
        <f t="shared" si="4"/>
        <v>8.970416656</v>
      </c>
      <c r="Y48" s="3">
        <f t="shared" si="5"/>
        <v>8.887270526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146</v>
      </c>
      <c r="B49" s="3" t="s">
        <v>147</v>
      </c>
      <c r="C49" s="3" t="s">
        <v>129</v>
      </c>
      <c r="D49" s="3" t="s">
        <v>29</v>
      </c>
      <c r="E49" s="3">
        <v>100.0</v>
      </c>
      <c r="F49" s="3" t="s">
        <v>27</v>
      </c>
      <c r="G49" s="3">
        <v>108.3</v>
      </c>
      <c r="I49" s="3">
        <v>112.0</v>
      </c>
      <c r="K49" s="3">
        <v>0.0</v>
      </c>
      <c r="L49" s="3">
        <v>4.0</v>
      </c>
      <c r="M49" s="3" t="s">
        <v>78</v>
      </c>
      <c r="N49" s="3">
        <v>0.9994</v>
      </c>
      <c r="O49" s="3">
        <v>0.0</v>
      </c>
      <c r="P49" s="3">
        <v>0.8389</v>
      </c>
      <c r="Q49" s="3">
        <v>0.0</v>
      </c>
      <c r="R49" s="3">
        <v>0.2278</v>
      </c>
      <c r="S49" s="3">
        <v>210.550003</v>
      </c>
      <c r="T49" s="3">
        <v>28.0</v>
      </c>
      <c r="U49" s="3">
        <f t="shared" si="2"/>
        <v>110.15</v>
      </c>
      <c r="V49" s="3"/>
      <c r="W49" s="3">
        <f t="shared" si="3"/>
        <v>110.5577805</v>
      </c>
      <c r="X49" s="3">
        <f t="shared" si="4"/>
        <v>9.844341917</v>
      </c>
      <c r="Y49" s="3">
        <f t="shared" si="5"/>
        <v>9.768408583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146</v>
      </c>
      <c r="B50" s="3" t="s">
        <v>147</v>
      </c>
      <c r="C50" s="3" t="s">
        <v>129</v>
      </c>
      <c r="D50" s="3" t="s">
        <v>29</v>
      </c>
      <c r="E50" s="3">
        <v>100.0</v>
      </c>
      <c r="F50" s="3" t="s">
        <v>27</v>
      </c>
      <c r="G50" s="3">
        <v>109.8</v>
      </c>
      <c r="I50" s="3">
        <v>112.95</v>
      </c>
      <c r="K50" s="3">
        <v>0.0</v>
      </c>
      <c r="L50" s="3">
        <v>4.0</v>
      </c>
      <c r="M50" s="3" t="s">
        <v>79</v>
      </c>
      <c r="N50" s="3">
        <v>0.9995</v>
      </c>
      <c r="O50" s="3">
        <v>0.0</v>
      </c>
      <c r="P50" s="3">
        <v>0.8471</v>
      </c>
      <c r="Q50" s="3">
        <v>0.0</v>
      </c>
      <c r="R50" s="3">
        <v>0.2452</v>
      </c>
      <c r="S50" s="3">
        <v>212.059998</v>
      </c>
      <c r="T50" s="3">
        <v>27.0</v>
      </c>
      <c r="U50" s="3">
        <f t="shared" si="2"/>
        <v>111.375</v>
      </c>
      <c r="V50" s="3"/>
      <c r="W50" s="3">
        <f t="shared" si="3"/>
        <v>112.0674977</v>
      </c>
      <c r="X50" s="3">
        <f t="shared" si="4"/>
        <v>9.406801087</v>
      </c>
      <c r="Y50" s="3">
        <f t="shared" si="5"/>
        <v>9.326540547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146</v>
      </c>
      <c r="B51" s="3" t="s">
        <v>147</v>
      </c>
      <c r="C51" s="3" t="s">
        <v>129</v>
      </c>
      <c r="D51" s="3" t="s">
        <v>29</v>
      </c>
      <c r="E51" s="3">
        <v>100.0</v>
      </c>
      <c r="F51" s="3" t="s">
        <v>27</v>
      </c>
      <c r="G51" s="3">
        <v>113.45</v>
      </c>
      <c r="I51" s="3">
        <v>116.55</v>
      </c>
      <c r="K51" s="3">
        <v>0.0</v>
      </c>
      <c r="L51" s="3">
        <v>4.0</v>
      </c>
      <c r="M51" s="3" t="s">
        <v>80</v>
      </c>
      <c r="N51" s="3">
        <v>0.9995</v>
      </c>
      <c r="O51" s="3">
        <v>0.0</v>
      </c>
      <c r="P51" s="3">
        <v>0.8922</v>
      </c>
      <c r="Q51" s="3">
        <v>0.0</v>
      </c>
      <c r="R51" s="3">
        <v>0.2363</v>
      </c>
      <c r="S51" s="3">
        <v>215.800003</v>
      </c>
      <c r="T51" s="3">
        <v>26.0</v>
      </c>
      <c r="U51" s="3">
        <f t="shared" si="2"/>
        <v>115</v>
      </c>
      <c r="V51" s="3"/>
      <c r="W51" s="3">
        <f t="shared" si="3"/>
        <v>115.807225</v>
      </c>
      <c r="X51" s="3">
        <f t="shared" si="4"/>
        <v>10.17285605</v>
      </c>
      <c r="Y51" s="3">
        <f t="shared" si="5"/>
        <v>10.0969546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146</v>
      </c>
      <c r="B52" s="3" t="s">
        <v>147</v>
      </c>
      <c r="C52" s="3" t="s">
        <v>129</v>
      </c>
      <c r="D52" s="3" t="s">
        <v>29</v>
      </c>
      <c r="E52" s="3">
        <v>100.0</v>
      </c>
      <c r="F52" s="3" t="s">
        <v>27</v>
      </c>
      <c r="G52" s="3">
        <v>112.75</v>
      </c>
      <c r="I52" s="3">
        <v>115.9</v>
      </c>
      <c r="K52" s="3">
        <v>0.0</v>
      </c>
      <c r="L52" s="3">
        <v>4.0</v>
      </c>
      <c r="M52" s="3" t="s">
        <v>81</v>
      </c>
      <c r="N52" s="3">
        <v>0.9995</v>
      </c>
      <c r="O52" s="3">
        <v>0.0</v>
      </c>
      <c r="P52" s="3">
        <v>0.9124</v>
      </c>
      <c r="Q52" s="3">
        <v>0.0</v>
      </c>
      <c r="R52" s="3">
        <v>0.1686</v>
      </c>
      <c r="S52" s="3">
        <v>214.919998</v>
      </c>
      <c r="T52" s="3">
        <v>25.0</v>
      </c>
      <c r="U52" s="3">
        <f t="shared" si="2"/>
        <v>114.325</v>
      </c>
      <c r="V52" s="3"/>
      <c r="W52" s="3">
        <f t="shared" si="3"/>
        <v>114.9269422</v>
      </c>
      <c r="X52" s="3">
        <f t="shared" si="4"/>
        <v>14.43535347</v>
      </c>
      <c r="Y52" s="3">
        <f t="shared" si="5"/>
        <v>14.38224946</v>
      </c>
      <c r="Z52" s="3">
        <f t="shared" ref="Z52:AA52" si="55">_xlfn.NORM.S.DIST(X52)</f>
        <v>1</v>
      </c>
      <c r="AA52" s="3">
        <f t="shared" si="55"/>
        <v>1</v>
      </c>
    </row>
    <row r="53" ht="14.25" customHeight="1">
      <c r="A53" s="3" t="s">
        <v>146</v>
      </c>
      <c r="B53" s="3" t="s">
        <v>147</v>
      </c>
      <c r="C53" s="3" t="s">
        <v>129</v>
      </c>
      <c r="D53" s="3" t="s">
        <v>29</v>
      </c>
      <c r="E53" s="3">
        <v>100.0</v>
      </c>
      <c r="F53" s="3" t="s">
        <v>27</v>
      </c>
      <c r="G53" s="3">
        <v>111.55</v>
      </c>
      <c r="I53" s="3">
        <v>115.55</v>
      </c>
      <c r="K53" s="3">
        <v>0.0</v>
      </c>
      <c r="L53" s="3">
        <v>4.0</v>
      </c>
      <c r="M53" s="3" t="s">
        <v>82</v>
      </c>
      <c r="N53" s="3">
        <v>0.9995</v>
      </c>
      <c r="O53" s="3">
        <v>0.0</v>
      </c>
      <c r="P53" s="3">
        <v>0.9046</v>
      </c>
      <c r="Q53" s="3">
        <v>0.0</v>
      </c>
      <c r="R53" s="3">
        <v>0.3369</v>
      </c>
      <c r="S53" s="3">
        <v>213.210007</v>
      </c>
      <c r="T53" s="3">
        <v>24.0</v>
      </c>
      <c r="U53" s="3">
        <f t="shared" si="2"/>
        <v>113.55</v>
      </c>
      <c r="V53" s="3"/>
      <c r="W53" s="3">
        <f t="shared" si="3"/>
        <v>113.2166734</v>
      </c>
      <c r="X53" s="3">
        <f t="shared" si="4"/>
        <v>7.334634048</v>
      </c>
      <c r="Y53" s="3">
        <f t="shared" si="5"/>
        <v>7.230664451</v>
      </c>
      <c r="Z53" s="3">
        <f t="shared" ref="Z53:AA53" si="56">_xlfn.NORM.S.DIST(X53)</f>
        <v>1</v>
      </c>
      <c r="AA53" s="3">
        <f t="shared" si="56"/>
        <v>1</v>
      </c>
    </row>
    <row r="54" ht="14.25" customHeight="1">
      <c r="A54" s="3" t="s">
        <v>146</v>
      </c>
      <c r="B54" s="3" t="s">
        <v>147</v>
      </c>
      <c r="C54" s="3" t="s">
        <v>129</v>
      </c>
      <c r="D54" s="3" t="s">
        <v>29</v>
      </c>
      <c r="E54" s="3">
        <v>100.0</v>
      </c>
      <c r="F54" s="3" t="s">
        <v>27</v>
      </c>
      <c r="G54" s="3">
        <v>111.15</v>
      </c>
      <c r="I54" s="3">
        <v>114.45</v>
      </c>
      <c r="K54" s="3">
        <v>0.0</v>
      </c>
      <c r="L54" s="3">
        <v>4.0</v>
      </c>
      <c r="M54" s="3" t="s">
        <v>83</v>
      </c>
      <c r="N54" s="3">
        <v>0.9995</v>
      </c>
      <c r="O54" s="3">
        <v>0.0</v>
      </c>
      <c r="P54" s="3">
        <v>0.9076</v>
      </c>
      <c r="Q54" s="3">
        <v>0.0</v>
      </c>
      <c r="R54" s="3">
        <v>0.2741</v>
      </c>
      <c r="S54" s="3">
        <v>213.440002</v>
      </c>
      <c r="T54" s="3">
        <v>23.0</v>
      </c>
      <c r="U54" s="3">
        <f t="shared" si="2"/>
        <v>112.8</v>
      </c>
      <c r="V54" s="3"/>
      <c r="W54" s="3">
        <f t="shared" si="3"/>
        <v>113.4463907</v>
      </c>
      <c r="X54" s="3">
        <f t="shared" si="4"/>
        <v>9.198113513</v>
      </c>
      <c r="Y54" s="3">
        <f t="shared" si="5"/>
        <v>9.115305439</v>
      </c>
      <c r="Z54" s="3">
        <f t="shared" ref="Z54:AA54" si="57">_xlfn.NORM.S.DIST(X54)</f>
        <v>1</v>
      </c>
      <c r="AA54" s="3">
        <f t="shared" si="57"/>
        <v>1</v>
      </c>
    </row>
    <row r="55" ht="14.25" customHeight="1">
      <c r="A55" s="3" t="s">
        <v>146</v>
      </c>
      <c r="B55" s="3" t="s">
        <v>147</v>
      </c>
      <c r="C55" s="3" t="s">
        <v>129</v>
      </c>
      <c r="D55" s="3" t="s">
        <v>29</v>
      </c>
      <c r="E55" s="3">
        <v>100.0</v>
      </c>
      <c r="F55" s="3" t="s">
        <v>27</v>
      </c>
      <c r="G55" s="3">
        <v>113.45</v>
      </c>
      <c r="I55" s="3">
        <v>116.65</v>
      </c>
      <c r="K55" s="3">
        <v>0.0</v>
      </c>
      <c r="L55" s="3">
        <v>4.0</v>
      </c>
      <c r="M55" s="3" t="s">
        <v>84</v>
      </c>
      <c r="N55" s="3">
        <v>0.9995</v>
      </c>
      <c r="O55" s="3">
        <v>0.0</v>
      </c>
      <c r="P55" s="3">
        <v>0.9424</v>
      </c>
      <c r="Q55" s="3">
        <v>0.0</v>
      </c>
      <c r="R55" s="3">
        <v>0.2457</v>
      </c>
      <c r="S55" s="3">
        <v>215.059998</v>
      </c>
      <c r="T55" s="3">
        <v>22.0</v>
      </c>
      <c r="U55" s="3">
        <f t="shared" si="2"/>
        <v>115.05</v>
      </c>
      <c r="V55" s="3"/>
      <c r="W55" s="3">
        <f t="shared" si="3"/>
        <v>115.0661089</v>
      </c>
      <c r="X55" s="3">
        <f t="shared" si="4"/>
        <v>10.58511286</v>
      </c>
      <c r="Y55" s="3">
        <f t="shared" si="5"/>
        <v>10.51251627</v>
      </c>
      <c r="Z55" s="3">
        <f t="shared" ref="Z55:AA55" si="58">_xlfn.NORM.S.DIST(X55)</f>
        <v>1</v>
      </c>
      <c r="AA55" s="3">
        <f t="shared" si="58"/>
        <v>1</v>
      </c>
    </row>
    <row r="56" ht="14.25" customHeight="1">
      <c r="A56" s="3" t="s">
        <v>146</v>
      </c>
      <c r="B56" s="3" t="s">
        <v>147</v>
      </c>
      <c r="C56" s="3" t="s">
        <v>129</v>
      </c>
      <c r="D56" s="3" t="s">
        <v>29</v>
      </c>
      <c r="E56" s="3">
        <v>100.0</v>
      </c>
      <c r="F56" s="3" t="s">
        <v>27</v>
      </c>
      <c r="G56" s="3">
        <v>110.55</v>
      </c>
      <c r="I56" s="3">
        <v>114.15</v>
      </c>
      <c r="K56" s="3">
        <v>0.0</v>
      </c>
      <c r="L56" s="3">
        <v>4.0</v>
      </c>
      <c r="M56" s="3" t="s">
        <v>85</v>
      </c>
      <c r="N56" s="3">
        <v>0.9995</v>
      </c>
      <c r="O56" s="3">
        <v>0.0</v>
      </c>
      <c r="P56" s="3">
        <v>0.9268</v>
      </c>
      <c r="Q56" s="3">
        <v>0.0</v>
      </c>
      <c r="R56" s="3">
        <v>0.2985</v>
      </c>
      <c r="S56" s="3">
        <v>212.259995</v>
      </c>
      <c r="T56" s="3">
        <v>21.0</v>
      </c>
      <c r="U56" s="3">
        <f t="shared" si="2"/>
        <v>112.35</v>
      </c>
      <c r="V56" s="3"/>
      <c r="W56" s="3">
        <f t="shared" si="3"/>
        <v>112.2658282</v>
      </c>
      <c r="X56" s="3">
        <f t="shared" si="4"/>
        <v>8.77819197</v>
      </c>
      <c r="Y56" s="3">
        <f t="shared" si="5"/>
        <v>8.692022442</v>
      </c>
      <c r="Z56" s="3">
        <f t="shared" ref="Z56:AA56" si="59">_xlfn.NORM.S.DIST(X56)</f>
        <v>1</v>
      </c>
      <c r="AA56" s="3">
        <f t="shared" si="59"/>
        <v>1</v>
      </c>
    </row>
    <row r="57" ht="14.25" customHeight="1">
      <c r="A57" s="3" t="s">
        <v>146</v>
      </c>
      <c r="B57" s="3" t="s">
        <v>147</v>
      </c>
      <c r="C57" s="3" t="s">
        <v>129</v>
      </c>
      <c r="D57" s="3" t="s">
        <v>29</v>
      </c>
      <c r="E57" s="3">
        <v>100.0</v>
      </c>
      <c r="F57" s="3" t="s">
        <v>27</v>
      </c>
      <c r="G57" s="3">
        <v>110.5</v>
      </c>
      <c r="I57" s="3">
        <v>114.25</v>
      </c>
      <c r="K57" s="3">
        <v>0.0</v>
      </c>
      <c r="L57" s="3">
        <v>4.0</v>
      </c>
      <c r="M57" s="3" t="s">
        <v>86</v>
      </c>
      <c r="N57" s="3">
        <v>0.9996</v>
      </c>
      <c r="O57" s="3">
        <v>0.0</v>
      </c>
      <c r="P57" s="3">
        <v>0.9</v>
      </c>
      <c r="Q57" s="3">
        <v>0.0</v>
      </c>
      <c r="R57" s="3">
        <v>0.2748</v>
      </c>
      <c r="S57" s="3">
        <v>212.080002</v>
      </c>
      <c r="T57" s="3">
        <v>20.0</v>
      </c>
      <c r="U57" s="3">
        <f t="shared" si="2"/>
        <v>112.375</v>
      </c>
      <c r="V57" s="3"/>
      <c r="W57" s="3">
        <f t="shared" si="3"/>
        <v>112.0855574</v>
      </c>
      <c r="X57" s="3">
        <f t="shared" si="4"/>
        <v>9.750494789</v>
      </c>
      <c r="Y57" s="3">
        <f t="shared" si="5"/>
        <v>9.673078659</v>
      </c>
      <c r="Z57" s="3">
        <f t="shared" ref="Z57:AA57" si="60">_xlfn.NORM.S.DIST(X57)</f>
        <v>1</v>
      </c>
      <c r="AA57" s="3">
        <f t="shared" si="60"/>
        <v>1</v>
      </c>
    </row>
    <row r="58" ht="14.25" customHeight="1">
      <c r="A58" s="3" t="s">
        <v>146</v>
      </c>
      <c r="B58" s="3" t="s">
        <v>147</v>
      </c>
      <c r="C58" s="3" t="s">
        <v>129</v>
      </c>
      <c r="D58" s="3" t="s">
        <v>29</v>
      </c>
      <c r="E58" s="3">
        <v>100.0</v>
      </c>
      <c r="F58" s="3" t="s">
        <v>27</v>
      </c>
      <c r="G58" s="3">
        <v>109.15</v>
      </c>
      <c r="I58" s="3">
        <v>112.75</v>
      </c>
      <c r="K58" s="3">
        <v>0.0</v>
      </c>
      <c r="L58" s="3">
        <v>4.0</v>
      </c>
      <c r="M58" s="3" t="s">
        <v>87</v>
      </c>
      <c r="N58" s="3">
        <v>1.0</v>
      </c>
      <c r="O58" s="3">
        <v>0.0</v>
      </c>
      <c r="P58" s="3">
        <v>-0.2818</v>
      </c>
      <c r="Q58" s="3">
        <v>0.0</v>
      </c>
      <c r="R58" s="3">
        <v>0.3187</v>
      </c>
      <c r="S58" s="3">
        <v>210.740005</v>
      </c>
      <c r="T58" s="3">
        <v>19.0</v>
      </c>
      <c r="U58" s="3">
        <f t="shared" si="2"/>
        <v>110.95</v>
      </c>
      <c r="V58" s="3"/>
      <c r="W58" s="3">
        <f t="shared" si="3"/>
        <v>110.7452826</v>
      </c>
      <c r="X58" s="3">
        <f t="shared" si="4"/>
        <v>8.562852338</v>
      </c>
      <c r="Y58" s="3">
        <f t="shared" si="5"/>
        <v>8.475342155</v>
      </c>
      <c r="Z58" s="3">
        <f t="shared" ref="Z58:AA58" si="61">_xlfn.NORM.S.DIST(X58)</f>
        <v>1</v>
      </c>
      <c r="AA58" s="3">
        <f t="shared" si="61"/>
        <v>1</v>
      </c>
    </row>
    <row r="59" ht="14.25" customHeight="1">
      <c r="A59" s="3" t="s">
        <v>146</v>
      </c>
      <c r="B59" s="3" t="s">
        <v>147</v>
      </c>
      <c r="C59" s="3" t="s">
        <v>129</v>
      </c>
      <c r="D59" s="3" t="s">
        <v>29</v>
      </c>
      <c r="E59" s="3">
        <v>100.0</v>
      </c>
      <c r="F59" s="3" t="s">
        <v>27</v>
      </c>
      <c r="G59" s="3">
        <v>110.3</v>
      </c>
      <c r="I59" s="3">
        <v>113.5</v>
      </c>
      <c r="K59" s="3">
        <v>0.0</v>
      </c>
      <c r="L59" s="3">
        <v>4.0</v>
      </c>
      <c r="M59" s="3" t="s">
        <v>88</v>
      </c>
      <c r="N59" s="3">
        <v>1.0</v>
      </c>
      <c r="O59" s="3">
        <v>0.0</v>
      </c>
      <c r="P59" s="3">
        <v>-0.2818</v>
      </c>
      <c r="Q59" s="3">
        <v>0.0</v>
      </c>
      <c r="R59" s="3">
        <v>0.235</v>
      </c>
      <c r="S59" s="3">
        <v>212.360001</v>
      </c>
      <c r="T59" s="3">
        <v>18.0</v>
      </c>
      <c r="U59" s="3">
        <f t="shared" si="2"/>
        <v>111.9</v>
      </c>
      <c r="V59" s="3"/>
      <c r="W59" s="3">
        <f t="shared" si="3"/>
        <v>112.3650009</v>
      </c>
      <c r="X59" s="3">
        <f t="shared" si="4"/>
        <v>12.02322034</v>
      </c>
      <c r="Y59" s="3">
        <f t="shared" si="5"/>
        <v>11.96041395</v>
      </c>
      <c r="Z59" s="3">
        <f t="shared" ref="Z59:AA59" si="62">_xlfn.NORM.S.DIST(X59)</f>
        <v>1</v>
      </c>
      <c r="AA59" s="3">
        <f t="shared" si="62"/>
        <v>1</v>
      </c>
    </row>
    <row r="60" ht="14.25" customHeight="1">
      <c r="A60" s="3" t="s">
        <v>146</v>
      </c>
      <c r="B60" s="3" t="s">
        <v>147</v>
      </c>
      <c r="C60" s="3" t="s">
        <v>129</v>
      </c>
      <c r="D60" s="3" t="s">
        <v>29</v>
      </c>
      <c r="E60" s="3">
        <v>100.0</v>
      </c>
      <c r="F60" s="3" t="s">
        <v>27</v>
      </c>
      <c r="G60" s="3">
        <v>109.55</v>
      </c>
      <c r="I60" s="3">
        <v>113.0</v>
      </c>
      <c r="K60" s="3">
        <v>0.0</v>
      </c>
      <c r="L60" s="3">
        <v>4.0</v>
      </c>
      <c r="M60" s="3" t="s">
        <v>89</v>
      </c>
      <c r="N60" s="3">
        <v>1.0</v>
      </c>
      <c r="O60" s="3">
        <v>0.0</v>
      </c>
      <c r="P60" s="3">
        <v>-0.2818</v>
      </c>
      <c r="Q60" s="3">
        <v>0.0</v>
      </c>
      <c r="R60" s="3">
        <v>0.2521</v>
      </c>
      <c r="S60" s="3">
        <v>210.889999</v>
      </c>
      <c r="T60" s="3">
        <v>17.0</v>
      </c>
      <c r="U60" s="3">
        <f t="shared" si="2"/>
        <v>111.275</v>
      </c>
      <c r="V60" s="3"/>
      <c r="W60" s="3">
        <f t="shared" si="3"/>
        <v>110.8947211</v>
      </c>
      <c r="X60" s="3">
        <f t="shared" si="4"/>
        <v>11.42909974</v>
      </c>
      <c r="Y60" s="3">
        <f t="shared" si="5"/>
        <v>11.3636215</v>
      </c>
      <c r="Z60" s="3">
        <f t="shared" ref="Z60:AA60" si="63">_xlfn.NORM.S.DIST(X60)</f>
        <v>1</v>
      </c>
      <c r="AA60" s="3">
        <f t="shared" si="63"/>
        <v>1</v>
      </c>
    </row>
    <row r="61" ht="14.25" customHeight="1">
      <c r="A61" s="3" t="s">
        <v>146</v>
      </c>
      <c r="B61" s="3" t="s">
        <v>147</v>
      </c>
      <c r="C61" s="3" t="s">
        <v>129</v>
      </c>
      <c r="D61" s="3" t="s">
        <v>29</v>
      </c>
      <c r="E61" s="3">
        <v>100.0</v>
      </c>
      <c r="F61" s="3" t="s">
        <v>27</v>
      </c>
      <c r="G61" s="3">
        <v>111.05</v>
      </c>
      <c r="I61" s="3">
        <v>114.05</v>
      </c>
      <c r="K61" s="3">
        <v>0.0</v>
      </c>
      <c r="L61" s="3">
        <v>4.0</v>
      </c>
      <c r="M61" s="3" t="s">
        <v>90</v>
      </c>
      <c r="N61" s="3">
        <v>1.0</v>
      </c>
      <c r="O61" s="3">
        <v>0.0</v>
      </c>
      <c r="P61" s="3">
        <v>-0.2819</v>
      </c>
      <c r="Q61" s="3">
        <v>0.0</v>
      </c>
      <c r="R61" s="3">
        <v>0.2123</v>
      </c>
      <c r="S61" s="3">
        <v>213.300003</v>
      </c>
      <c r="T61" s="3">
        <v>16.0</v>
      </c>
      <c r="U61" s="3">
        <f t="shared" si="2"/>
        <v>112.55</v>
      </c>
      <c r="V61" s="3"/>
      <c r="W61" s="3">
        <f t="shared" si="3"/>
        <v>113.3044473</v>
      </c>
      <c r="X61" s="3">
        <f t="shared" si="4"/>
        <v>14.18844395</v>
      </c>
      <c r="Y61" s="3">
        <f t="shared" si="5"/>
        <v>14.13494937</v>
      </c>
      <c r="Z61" s="3">
        <f t="shared" ref="Z61:AA61" si="64">_xlfn.NORM.S.DIST(X61)</f>
        <v>1</v>
      </c>
      <c r="AA61" s="3">
        <f t="shared" si="64"/>
        <v>1</v>
      </c>
    </row>
    <row r="62" ht="14.25" customHeight="1">
      <c r="A62" s="3" t="s">
        <v>146</v>
      </c>
      <c r="B62" s="3" t="s">
        <v>147</v>
      </c>
      <c r="C62" s="3" t="s">
        <v>129</v>
      </c>
      <c r="D62" s="3" t="s">
        <v>29</v>
      </c>
      <c r="E62" s="3">
        <v>100.0</v>
      </c>
      <c r="F62" s="3" t="s">
        <v>27</v>
      </c>
      <c r="G62" s="3">
        <v>110.55</v>
      </c>
      <c r="I62" s="3">
        <v>114.05</v>
      </c>
      <c r="K62" s="3">
        <v>0.0</v>
      </c>
      <c r="L62" s="3">
        <v>4.0</v>
      </c>
      <c r="M62" s="3" t="s">
        <v>91</v>
      </c>
      <c r="N62" s="3">
        <v>1.0</v>
      </c>
      <c r="O62" s="3">
        <v>0.0</v>
      </c>
      <c r="P62" s="3">
        <v>-0.2774</v>
      </c>
      <c r="Q62" s="3">
        <v>0.0</v>
      </c>
      <c r="R62" s="3">
        <v>0.252</v>
      </c>
      <c r="S62" s="3">
        <v>212.380005</v>
      </c>
      <c r="T62" s="3">
        <v>15.0</v>
      </c>
      <c r="U62" s="3">
        <f t="shared" si="2"/>
        <v>112.3</v>
      </c>
      <c r="V62" s="3"/>
      <c r="W62" s="3">
        <f t="shared" si="3"/>
        <v>112.3841716</v>
      </c>
      <c r="X62" s="3">
        <f t="shared" si="4"/>
        <v>12.28233069</v>
      </c>
      <c r="Y62" s="3">
        <f t="shared" si="5"/>
        <v>12.22084898</v>
      </c>
      <c r="Z62" s="3">
        <f t="shared" ref="Z62:AA62" si="65">_xlfn.NORM.S.DIST(X62)</f>
        <v>1</v>
      </c>
      <c r="AA62" s="3">
        <f t="shared" si="65"/>
        <v>1</v>
      </c>
    </row>
    <row r="63" ht="14.25" customHeight="1">
      <c r="A63" s="3" t="s">
        <v>146</v>
      </c>
      <c r="B63" s="3" t="s">
        <v>147</v>
      </c>
      <c r="C63" s="3" t="s">
        <v>129</v>
      </c>
      <c r="D63" s="3" t="s">
        <v>29</v>
      </c>
      <c r="E63" s="3">
        <v>100.0</v>
      </c>
      <c r="F63" s="3" t="s">
        <v>27</v>
      </c>
      <c r="G63" s="3">
        <v>112.05</v>
      </c>
      <c r="I63" s="3">
        <v>115.9</v>
      </c>
      <c r="K63" s="3">
        <v>0.0</v>
      </c>
      <c r="L63" s="3">
        <v>4.0</v>
      </c>
      <c r="M63" s="3" t="s">
        <v>92</v>
      </c>
      <c r="N63" s="3">
        <v>0.9998</v>
      </c>
      <c r="O63" s="3">
        <v>0.0</v>
      </c>
      <c r="P63" s="3">
        <v>0.7413</v>
      </c>
      <c r="Q63" s="3">
        <v>0.0</v>
      </c>
      <c r="R63" s="3">
        <v>0.2285</v>
      </c>
      <c r="S63" s="3">
        <v>214.360001</v>
      </c>
      <c r="T63" s="3">
        <v>14.0</v>
      </c>
      <c r="U63" s="3">
        <f t="shared" si="2"/>
        <v>113.975</v>
      </c>
      <c r="V63" s="3"/>
      <c r="W63" s="3">
        <f t="shared" si="3"/>
        <v>114.3638898</v>
      </c>
      <c r="X63" s="3">
        <f t="shared" si="4"/>
        <v>14.18501184</v>
      </c>
      <c r="Y63" s="3">
        <f t="shared" si="5"/>
        <v>14.13115387</v>
      </c>
      <c r="Z63" s="3">
        <f t="shared" ref="Z63:AA63" si="66">_xlfn.NORM.S.DIST(X63)</f>
        <v>1</v>
      </c>
      <c r="AA63" s="3">
        <f t="shared" si="66"/>
        <v>1</v>
      </c>
    </row>
    <row r="64" ht="14.25" customHeight="1">
      <c r="A64" s="3" t="s">
        <v>146</v>
      </c>
      <c r="B64" s="3" t="s">
        <v>147</v>
      </c>
      <c r="C64" s="3" t="s">
        <v>129</v>
      </c>
      <c r="D64" s="3" t="s">
        <v>29</v>
      </c>
      <c r="E64" s="3">
        <v>100.0</v>
      </c>
      <c r="F64" s="3" t="s">
        <v>27</v>
      </c>
      <c r="G64" s="3">
        <v>111.15</v>
      </c>
      <c r="I64" s="3">
        <v>115.05</v>
      </c>
      <c r="K64" s="3">
        <v>0.0</v>
      </c>
      <c r="L64" s="3">
        <v>4.0</v>
      </c>
      <c r="M64" s="3" t="s">
        <v>93</v>
      </c>
      <c r="N64" s="3">
        <v>0.9996</v>
      </c>
      <c r="O64" s="3">
        <v>0.0</v>
      </c>
      <c r="P64" s="3">
        <v>1.7433</v>
      </c>
      <c r="Q64" s="3">
        <v>0.0</v>
      </c>
      <c r="R64" s="3">
        <v>0.2698</v>
      </c>
      <c r="S64" s="3">
        <v>212.660004</v>
      </c>
      <c r="T64" s="3">
        <v>13.0</v>
      </c>
      <c r="U64" s="3">
        <f t="shared" si="2"/>
        <v>113.1</v>
      </c>
      <c r="V64" s="3"/>
      <c r="W64" s="3">
        <f t="shared" si="3"/>
        <v>112.663615</v>
      </c>
      <c r="X64" s="3">
        <f t="shared" si="4"/>
        <v>12.34411844</v>
      </c>
      <c r="Y64" s="3">
        <f t="shared" si="5"/>
        <v>12.2828392</v>
      </c>
      <c r="Z64" s="3">
        <f t="shared" ref="Z64:AA64" si="67">_xlfn.NORM.S.DIST(X64)</f>
        <v>1</v>
      </c>
      <c r="AA64" s="3">
        <f t="shared" si="67"/>
        <v>1</v>
      </c>
    </row>
    <row r="65" ht="14.25" customHeight="1">
      <c r="A65" s="3" t="s">
        <v>146</v>
      </c>
      <c r="B65" s="3" t="s">
        <v>147</v>
      </c>
      <c r="C65" s="3" t="s">
        <v>129</v>
      </c>
      <c r="D65" s="3" t="s">
        <v>29</v>
      </c>
      <c r="E65" s="3">
        <v>100.0</v>
      </c>
      <c r="F65" s="3" t="s">
        <v>27</v>
      </c>
      <c r="G65" s="3">
        <v>108.9</v>
      </c>
      <c r="I65" s="3">
        <v>112.8</v>
      </c>
      <c r="K65" s="3">
        <v>0.0</v>
      </c>
      <c r="L65" s="3">
        <v>4.0</v>
      </c>
      <c r="M65" s="3" t="s">
        <v>94</v>
      </c>
      <c r="N65" s="3">
        <v>0.9996</v>
      </c>
      <c r="O65" s="3">
        <v>0.0</v>
      </c>
      <c r="P65" s="3">
        <v>1.7667</v>
      </c>
      <c r="Q65" s="3">
        <v>0.0</v>
      </c>
      <c r="R65" s="3">
        <v>0.3393</v>
      </c>
      <c r="S65" s="3">
        <v>211.309998</v>
      </c>
      <c r="T65" s="3">
        <v>12.0</v>
      </c>
      <c r="U65" s="3">
        <f t="shared" si="2"/>
        <v>110.85</v>
      </c>
      <c r="V65" s="3"/>
      <c r="W65" s="3">
        <f t="shared" si="3"/>
        <v>111.3133313</v>
      </c>
      <c r="X65" s="3">
        <f t="shared" si="4"/>
        <v>10.14204425</v>
      </c>
      <c r="Y65" s="3">
        <f t="shared" si="5"/>
        <v>10.06800292</v>
      </c>
      <c r="Z65" s="3">
        <f t="shared" ref="Z65:AA65" si="68">_xlfn.NORM.S.DIST(X65)</f>
        <v>1</v>
      </c>
      <c r="AA65" s="3">
        <f t="shared" si="68"/>
        <v>1</v>
      </c>
    </row>
    <row r="66" ht="14.25" customHeight="1">
      <c r="A66" s="3" t="s">
        <v>146</v>
      </c>
      <c r="B66" s="3" t="s">
        <v>147</v>
      </c>
      <c r="C66" s="3" t="s">
        <v>129</v>
      </c>
      <c r="D66" s="3" t="s">
        <v>29</v>
      </c>
      <c r="E66" s="3">
        <v>100.0</v>
      </c>
      <c r="F66" s="3" t="s">
        <v>27</v>
      </c>
      <c r="G66" s="3">
        <v>107.45</v>
      </c>
      <c r="I66" s="3">
        <v>111.3</v>
      </c>
      <c r="K66" s="3">
        <v>0.0</v>
      </c>
      <c r="L66" s="3">
        <v>4.0</v>
      </c>
      <c r="M66" s="3" t="s">
        <v>95</v>
      </c>
      <c r="N66" s="3">
        <v>0.9996</v>
      </c>
      <c r="O66" s="3">
        <v>0.0</v>
      </c>
      <c r="P66" s="3">
        <v>1.7841</v>
      </c>
      <c r="Q66" s="3">
        <v>0.0</v>
      </c>
      <c r="R66" s="3">
        <v>0.3101</v>
      </c>
      <c r="S66" s="3">
        <v>209.410004</v>
      </c>
      <c r="T66" s="3">
        <v>11.0</v>
      </c>
      <c r="U66" s="3">
        <f t="shared" si="2"/>
        <v>109.375</v>
      </c>
      <c r="V66" s="3"/>
      <c r="W66" s="3">
        <f t="shared" si="3"/>
        <v>109.4130595</v>
      </c>
      <c r="X66" s="3">
        <f t="shared" si="4"/>
        <v>11.44112556</v>
      </c>
      <c r="Y66" s="3">
        <f t="shared" si="5"/>
        <v>11.37633708</v>
      </c>
      <c r="Z66" s="3">
        <f t="shared" ref="Z66:AA66" si="69">_xlfn.NORM.S.DIST(X66)</f>
        <v>1</v>
      </c>
      <c r="AA66" s="3">
        <f t="shared" si="69"/>
        <v>1</v>
      </c>
    </row>
    <row r="67" ht="14.25" customHeight="1">
      <c r="A67" s="3" t="s">
        <v>146</v>
      </c>
      <c r="B67" s="3" t="s">
        <v>147</v>
      </c>
      <c r="C67" s="3" t="s">
        <v>129</v>
      </c>
      <c r="D67" s="3" t="s">
        <v>29</v>
      </c>
      <c r="E67" s="3">
        <v>100.0</v>
      </c>
      <c r="F67" s="3" t="s">
        <v>27</v>
      </c>
      <c r="G67" s="3">
        <v>108.05</v>
      </c>
      <c r="I67" s="3">
        <v>109.5</v>
      </c>
      <c r="K67" s="3">
        <v>0.0</v>
      </c>
      <c r="L67" s="3">
        <v>4.0</v>
      </c>
      <c r="M67" s="3" t="s">
        <v>96</v>
      </c>
      <c r="N67" s="3">
        <v>0.9997</v>
      </c>
      <c r="O67" s="3">
        <v>0.0</v>
      </c>
      <c r="P67" s="3">
        <v>1.8081</v>
      </c>
      <c r="Q67" s="3">
        <v>0.0</v>
      </c>
      <c r="R67" s="3">
        <v>0.3192</v>
      </c>
      <c r="S67" s="3">
        <v>209.320007</v>
      </c>
      <c r="T67" s="3">
        <v>10.0</v>
      </c>
      <c r="U67" s="3">
        <f t="shared" si="2"/>
        <v>108.775</v>
      </c>
      <c r="V67" s="3"/>
      <c r="W67" s="3">
        <f t="shared" si="3"/>
        <v>109.3227847</v>
      </c>
      <c r="X67" s="3">
        <f t="shared" si="4"/>
        <v>11.64944358</v>
      </c>
      <c r="Y67" s="3">
        <f t="shared" si="5"/>
        <v>11.58585742</v>
      </c>
      <c r="Z67" s="3">
        <f t="shared" ref="Z67:AA67" si="70">_xlfn.NORM.S.DIST(X67)</f>
        <v>1</v>
      </c>
      <c r="AA67" s="3">
        <f t="shared" si="70"/>
        <v>1</v>
      </c>
    </row>
    <row r="68" ht="14.25" customHeight="1">
      <c r="A68" s="3" t="s">
        <v>146</v>
      </c>
      <c r="B68" s="3" t="s">
        <v>147</v>
      </c>
      <c r="C68" s="3" t="s">
        <v>129</v>
      </c>
      <c r="D68" s="3" t="s">
        <v>29</v>
      </c>
      <c r="E68" s="3">
        <v>100.0</v>
      </c>
      <c r="F68" s="3" t="s">
        <v>27</v>
      </c>
      <c r="G68" s="3">
        <v>108.85</v>
      </c>
      <c r="I68" s="3">
        <v>110.35</v>
      </c>
      <c r="K68" s="3">
        <v>0.0</v>
      </c>
      <c r="L68" s="3">
        <v>4.0</v>
      </c>
      <c r="M68" s="3" t="s">
        <v>97</v>
      </c>
      <c r="N68" s="3">
        <v>0.9997</v>
      </c>
      <c r="O68" s="3">
        <v>0.0</v>
      </c>
      <c r="P68" s="3">
        <v>1.8319</v>
      </c>
      <c r="Q68" s="3">
        <v>0.0</v>
      </c>
      <c r="R68" s="3">
        <v>0.3172</v>
      </c>
      <c r="S68" s="3">
        <v>209.220001</v>
      </c>
      <c r="T68" s="3">
        <v>9.0</v>
      </c>
      <c r="U68" s="3">
        <f t="shared" si="2"/>
        <v>109.6</v>
      </c>
      <c r="V68" s="3"/>
      <c r="W68" s="3">
        <f t="shared" si="3"/>
        <v>109.222501</v>
      </c>
      <c r="X68" s="3">
        <f t="shared" si="4"/>
        <v>12.34524678</v>
      </c>
      <c r="Y68" s="3">
        <f t="shared" si="5"/>
        <v>12.28530161</v>
      </c>
      <c r="Z68" s="3">
        <f t="shared" ref="Z68:AA68" si="71">_xlfn.NORM.S.DIST(X68)</f>
        <v>1</v>
      </c>
      <c r="AA68" s="3">
        <f t="shared" si="71"/>
        <v>1</v>
      </c>
    </row>
    <row r="69" ht="14.25" customHeight="1">
      <c r="A69" s="3" t="s">
        <v>146</v>
      </c>
      <c r="B69" s="3" t="s">
        <v>147</v>
      </c>
      <c r="C69" s="3" t="s">
        <v>129</v>
      </c>
      <c r="D69" s="3" t="s">
        <v>29</v>
      </c>
      <c r="E69" s="3">
        <v>100.0</v>
      </c>
      <c r="F69" s="3" t="s">
        <v>27</v>
      </c>
      <c r="G69" s="3">
        <v>111.75</v>
      </c>
      <c r="I69" s="3">
        <v>112.65</v>
      </c>
      <c r="K69" s="3">
        <v>0.0</v>
      </c>
      <c r="L69" s="3">
        <v>4.0</v>
      </c>
      <c r="M69" s="3" t="s">
        <v>98</v>
      </c>
      <c r="N69" s="3">
        <v>0.9999</v>
      </c>
      <c r="O69" s="3">
        <v>0.0</v>
      </c>
      <c r="P69" s="3">
        <v>0.962</v>
      </c>
      <c r="Q69" s="3">
        <v>0.0</v>
      </c>
      <c r="R69" s="3">
        <v>0.2861</v>
      </c>
      <c r="S69" s="3">
        <v>212.0</v>
      </c>
      <c r="T69" s="3">
        <v>8.0</v>
      </c>
      <c r="U69" s="3">
        <f t="shared" si="2"/>
        <v>112.2</v>
      </c>
      <c r="V69" s="3"/>
      <c r="W69" s="3">
        <f t="shared" si="3"/>
        <v>112.0022222</v>
      </c>
      <c r="X69" s="3">
        <f t="shared" si="4"/>
        <v>14.766617</v>
      </c>
      <c r="Y69" s="3">
        <f t="shared" si="5"/>
        <v>14.71564137</v>
      </c>
      <c r="Z69" s="3">
        <f t="shared" ref="Z69:AA69" si="72">_xlfn.NORM.S.DIST(X69)</f>
        <v>1</v>
      </c>
      <c r="AA69" s="3">
        <f t="shared" si="72"/>
        <v>1</v>
      </c>
    </row>
    <row r="70" ht="14.25" customHeight="1">
      <c r="A70" s="3" t="s">
        <v>146</v>
      </c>
      <c r="B70" s="3" t="s">
        <v>147</v>
      </c>
      <c r="C70" s="3" t="s">
        <v>129</v>
      </c>
      <c r="D70" s="3" t="s">
        <v>29</v>
      </c>
      <c r="E70" s="3">
        <v>100.0</v>
      </c>
      <c r="F70" s="3" t="s">
        <v>27</v>
      </c>
      <c r="G70" s="3">
        <v>112.05</v>
      </c>
      <c r="I70" s="3">
        <v>113.35</v>
      </c>
      <c r="K70" s="3">
        <v>0.0</v>
      </c>
      <c r="L70" s="3">
        <v>4.0</v>
      </c>
      <c r="M70" s="3" t="s">
        <v>99</v>
      </c>
      <c r="N70" s="3">
        <v>0.9999</v>
      </c>
      <c r="O70" s="3">
        <v>0.0</v>
      </c>
      <c r="P70" s="3">
        <v>0.9674</v>
      </c>
      <c r="Q70" s="3">
        <v>0.0</v>
      </c>
      <c r="R70" s="3">
        <v>0.3247</v>
      </c>
      <c r="S70" s="3">
        <v>212.919998</v>
      </c>
      <c r="T70" s="3">
        <v>7.0</v>
      </c>
      <c r="U70" s="3">
        <f t="shared" si="2"/>
        <v>112.7</v>
      </c>
      <c r="V70" s="3"/>
      <c r="W70" s="3">
        <f t="shared" si="3"/>
        <v>112.9219424</v>
      </c>
      <c r="X70" s="3">
        <f t="shared" si="4"/>
        <v>13.99254815</v>
      </c>
      <c r="Y70" s="3">
        <f t="shared" si="5"/>
        <v>13.93843149</v>
      </c>
      <c r="Z70" s="3">
        <f t="shared" ref="Z70:AA70" si="73">_xlfn.NORM.S.DIST(X70)</f>
        <v>1</v>
      </c>
      <c r="AA70" s="3">
        <f t="shared" si="73"/>
        <v>1</v>
      </c>
    </row>
    <row r="71" ht="14.25" customHeight="1">
      <c r="A71" s="3" t="s">
        <v>146</v>
      </c>
      <c r="B71" s="3" t="s">
        <v>147</v>
      </c>
      <c r="C71" s="3" t="s">
        <v>129</v>
      </c>
      <c r="D71" s="3" t="s">
        <v>29</v>
      </c>
      <c r="E71" s="3">
        <v>100.0</v>
      </c>
      <c r="F71" s="3" t="s">
        <v>27</v>
      </c>
      <c r="G71" s="3">
        <v>110.55</v>
      </c>
      <c r="I71" s="3">
        <v>111.75</v>
      </c>
      <c r="K71" s="3">
        <v>0.0</v>
      </c>
      <c r="L71" s="3">
        <v>4.0</v>
      </c>
      <c r="M71" s="3" t="s">
        <v>100</v>
      </c>
      <c r="N71" s="3">
        <v>1.0</v>
      </c>
      <c r="O71" s="3">
        <v>0.0</v>
      </c>
      <c r="P71" s="3">
        <v>-0.2774</v>
      </c>
      <c r="Q71" s="3">
        <v>0.0</v>
      </c>
      <c r="R71" s="3">
        <v>0.3212</v>
      </c>
      <c r="S71" s="3">
        <v>211.380005</v>
      </c>
      <c r="T71" s="3">
        <v>6.0</v>
      </c>
      <c r="U71" s="3">
        <f t="shared" si="2"/>
        <v>111.15</v>
      </c>
      <c r="V71" s="3"/>
      <c r="W71" s="3">
        <f t="shared" si="3"/>
        <v>111.3816717</v>
      </c>
      <c r="X71" s="3">
        <f t="shared" si="4"/>
        <v>15.12708534</v>
      </c>
      <c r="Y71" s="3">
        <f t="shared" si="5"/>
        <v>15.0775231</v>
      </c>
      <c r="Z71" s="3">
        <f t="shared" ref="Z71:AA71" si="74">_xlfn.NORM.S.DIST(X71)</f>
        <v>1</v>
      </c>
      <c r="AA71" s="3">
        <f t="shared" si="74"/>
        <v>1</v>
      </c>
    </row>
    <row r="72" ht="14.25" customHeight="1">
      <c r="A72" s="3" t="s">
        <v>146</v>
      </c>
      <c r="B72" s="3" t="s">
        <v>147</v>
      </c>
      <c r="C72" s="3" t="s">
        <v>129</v>
      </c>
      <c r="D72" s="3" t="s">
        <v>29</v>
      </c>
      <c r="E72" s="3">
        <v>100.0</v>
      </c>
      <c r="F72" s="3" t="s">
        <v>27</v>
      </c>
      <c r="G72" s="3">
        <v>109.15</v>
      </c>
      <c r="I72" s="3">
        <v>111.1</v>
      </c>
      <c r="K72" s="3">
        <v>0.0</v>
      </c>
      <c r="L72" s="3">
        <v>4.0</v>
      </c>
      <c r="M72" s="3" t="s">
        <v>101</v>
      </c>
      <c r="N72" s="3">
        <v>1.0</v>
      </c>
      <c r="O72" s="3">
        <v>0.0</v>
      </c>
      <c r="P72" s="3">
        <v>-0.2774</v>
      </c>
      <c r="Q72" s="3">
        <v>0.0</v>
      </c>
      <c r="R72" s="3">
        <v>0.6297</v>
      </c>
      <c r="S72" s="3">
        <v>209.259995</v>
      </c>
      <c r="T72" s="3">
        <v>5.0</v>
      </c>
      <c r="U72" s="3">
        <f t="shared" si="2"/>
        <v>110.125</v>
      </c>
      <c r="V72" s="3"/>
      <c r="W72" s="3">
        <f t="shared" si="3"/>
        <v>109.2613839</v>
      </c>
      <c r="X72" s="3">
        <f t="shared" si="4"/>
        <v>8.369377762</v>
      </c>
      <c r="Y72" s="3">
        <f t="shared" si="5"/>
        <v>8.280678823</v>
      </c>
      <c r="Z72" s="3">
        <f t="shared" ref="Z72:AA72" si="75">_xlfn.NORM.S.DIST(X72)</f>
        <v>1</v>
      </c>
      <c r="AA72" s="3">
        <f t="shared" si="75"/>
        <v>1</v>
      </c>
    </row>
    <row r="73" ht="14.25" customHeight="1">
      <c r="A73" s="3" t="s">
        <v>146</v>
      </c>
      <c r="B73" s="3" t="s">
        <v>147</v>
      </c>
      <c r="C73" s="3" t="s">
        <v>129</v>
      </c>
      <c r="D73" s="3" t="s">
        <v>29</v>
      </c>
      <c r="E73" s="3">
        <v>100.0</v>
      </c>
      <c r="F73" s="3" t="s">
        <v>27</v>
      </c>
      <c r="G73" s="3">
        <v>111.35</v>
      </c>
      <c r="I73" s="3">
        <v>112.2</v>
      </c>
      <c r="K73" s="3">
        <v>0.0</v>
      </c>
      <c r="L73" s="3">
        <v>4.0</v>
      </c>
      <c r="M73" s="3" t="s">
        <v>102</v>
      </c>
      <c r="N73" s="3">
        <v>1.0</v>
      </c>
      <c r="O73" s="3">
        <v>0.0</v>
      </c>
      <c r="P73" s="3">
        <v>-0.2774</v>
      </c>
      <c r="Q73" s="3">
        <v>0.0</v>
      </c>
      <c r="R73" s="3">
        <v>0.5329</v>
      </c>
      <c r="S73" s="3">
        <v>212.0</v>
      </c>
      <c r="T73" s="3">
        <v>4.0</v>
      </c>
      <c r="U73" s="3">
        <f t="shared" si="2"/>
        <v>111.775</v>
      </c>
      <c r="V73" s="3"/>
      <c r="W73" s="3">
        <f t="shared" si="3"/>
        <v>112.0011111</v>
      </c>
      <c r="X73" s="3">
        <f t="shared" si="4"/>
        <v>11.22566656</v>
      </c>
      <c r="Y73" s="3">
        <f t="shared" si="5"/>
        <v>11.15852747</v>
      </c>
      <c r="Z73" s="3">
        <f t="shared" ref="Z73:AA73" si="76">_xlfn.NORM.S.DIST(X73)</f>
        <v>1</v>
      </c>
      <c r="AA73" s="3">
        <f t="shared" si="76"/>
        <v>1</v>
      </c>
    </row>
    <row r="74" ht="14.25" customHeight="1">
      <c r="A74" s="3" t="s">
        <v>146</v>
      </c>
      <c r="B74" s="3" t="s">
        <v>147</v>
      </c>
      <c r="C74" s="3" t="s">
        <v>129</v>
      </c>
      <c r="D74" s="3" t="s">
        <v>29</v>
      </c>
      <c r="E74" s="3">
        <v>100.0</v>
      </c>
      <c r="F74" s="3" t="s">
        <v>27</v>
      </c>
      <c r="G74" s="3">
        <v>109.45</v>
      </c>
      <c r="I74" s="3">
        <v>110.45</v>
      </c>
      <c r="K74" s="3">
        <v>0.0</v>
      </c>
      <c r="L74" s="3">
        <v>4.0</v>
      </c>
      <c r="M74" s="3" t="s">
        <v>103</v>
      </c>
      <c r="N74" s="3">
        <v>1.0</v>
      </c>
      <c r="O74" s="3">
        <v>0.0</v>
      </c>
      <c r="P74" s="3">
        <v>-0.2774</v>
      </c>
      <c r="Q74" s="3">
        <v>0.0</v>
      </c>
      <c r="R74" s="3">
        <v>0.9553</v>
      </c>
      <c r="S74" s="3">
        <v>209.669998</v>
      </c>
      <c r="T74" s="3">
        <v>3.0</v>
      </c>
      <c r="U74" s="3">
        <f t="shared" si="2"/>
        <v>109.95</v>
      </c>
      <c r="V74" s="3"/>
      <c r="W74" s="3">
        <f t="shared" si="3"/>
        <v>109.6708313</v>
      </c>
      <c r="X74" s="3">
        <f t="shared" si="4"/>
        <v>7.15525696</v>
      </c>
      <c r="Y74" s="3">
        <f t="shared" si="5"/>
        <v>7.051025185</v>
      </c>
      <c r="Z74" s="3">
        <f t="shared" ref="Z74:AA74" si="77">_xlfn.NORM.S.DIST(X74)</f>
        <v>1</v>
      </c>
      <c r="AA74" s="3">
        <f t="shared" si="77"/>
        <v>1</v>
      </c>
    </row>
    <row r="75" ht="14.25" customHeight="1">
      <c r="A75" s="3" t="s">
        <v>146</v>
      </c>
      <c r="B75" s="3" t="s">
        <v>147</v>
      </c>
      <c r="C75" s="3" t="s">
        <v>129</v>
      </c>
      <c r="D75" s="3" t="s">
        <v>29</v>
      </c>
      <c r="E75" s="3">
        <v>100.0</v>
      </c>
      <c r="F75" s="3" t="s">
        <v>27</v>
      </c>
      <c r="G75" s="3">
        <v>105.05</v>
      </c>
      <c r="I75" s="3">
        <v>109.35</v>
      </c>
      <c r="K75" s="3">
        <v>0.0</v>
      </c>
      <c r="L75" s="3">
        <v>4.0</v>
      </c>
      <c r="M75" s="3" t="s">
        <v>104</v>
      </c>
      <c r="N75" s="3">
        <v>1.0</v>
      </c>
      <c r="O75" s="3">
        <v>0.0</v>
      </c>
      <c r="P75" s="3">
        <v>-0.2774</v>
      </c>
      <c r="Q75" s="3">
        <v>0.0</v>
      </c>
      <c r="R75" s="3">
        <v>0.9216</v>
      </c>
      <c r="S75" s="3">
        <v>207.149994</v>
      </c>
      <c r="T75" s="3">
        <v>2.0</v>
      </c>
      <c r="U75" s="3">
        <f t="shared" si="2"/>
        <v>107.2</v>
      </c>
      <c r="V75" s="3"/>
      <c r="W75" s="3">
        <f t="shared" si="3"/>
        <v>107.1505496</v>
      </c>
      <c r="X75" s="3">
        <f t="shared" si="4"/>
        <v>8.911392028</v>
      </c>
      <c r="Y75" s="3">
        <f t="shared" si="5"/>
        <v>8.829289374</v>
      </c>
      <c r="Z75" s="3">
        <f t="shared" ref="Z75:AA75" si="78">_xlfn.NORM.S.DIST(X75)</f>
        <v>1</v>
      </c>
      <c r="AA75" s="3">
        <f t="shared" si="78"/>
        <v>1</v>
      </c>
    </row>
    <row r="76" ht="14.25" customHeight="1">
      <c r="A76" s="3" t="s">
        <v>146</v>
      </c>
      <c r="B76" s="3" t="s">
        <v>147</v>
      </c>
      <c r="C76" s="3" t="s">
        <v>129</v>
      </c>
      <c r="D76" s="3" t="s">
        <v>29</v>
      </c>
      <c r="E76" s="3">
        <v>100.0</v>
      </c>
      <c r="F76" s="3" t="s">
        <v>27</v>
      </c>
      <c r="G76" s="3">
        <v>89.65</v>
      </c>
      <c r="I76" s="3">
        <v>90.5</v>
      </c>
      <c r="K76" s="3">
        <v>0.0</v>
      </c>
      <c r="L76" s="3">
        <v>4.0</v>
      </c>
      <c r="M76" s="3" t="s">
        <v>105</v>
      </c>
      <c r="N76" s="3">
        <v>1.0</v>
      </c>
      <c r="O76" s="3">
        <v>0.0</v>
      </c>
      <c r="P76" s="3">
        <v>-0.2774</v>
      </c>
      <c r="Q76" s="3">
        <v>0.0</v>
      </c>
      <c r="R76" s="3">
        <v>0.4056</v>
      </c>
      <c r="S76" s="3">
        <v>190.0</v>
      </c>
      <c r="T76" s="3">
        <v>1.0</v>
      </c>
      <c r="U76" s="3">
        <f t="shared" si="2"/>
        <v>90.075</v>
      </c>
      <c r="V76" s="3"/>
      <c r="W76" s="3">
        <f t="shared" si="3"/>
        <v>90.00027778</v>
      </c>
      <c r="X76" s="3">
        <f t="shared" si="4"/>
        <v>25.13397505</v>
      </c>
      <c r="Y76" s="3">
        <f t="shared" si="5"/>
        <v>25.10842466</v>
      </c>
      <c r="Z76" s="3">
        <f t="shared" ref="Z76:AA76" si="79">_xlfn.NORM.S.DIST(X76)</f>
        <v>1</v>
      </c>
      <c r="AA76" s="3">
        <f t="shared" si="79"/>
        <v>1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148</v>
      </c>
      <c r="B2" s="3" t="s">
        <v>149</v>
      </c>
      <c r="C2" s="3" t="s">
        <v>128</v>
      </c>
      <c r="D2" s="3" t="s">
        <v>29</v>
      </c>
      <c r="E2" s="3">
        <v>42.5</v>
      </c>
      <c r="F2" s="3" t="s">
        <v>27</v>
      </c>
      <c r="G2" s="3">
        <v>26.8</v>
      </c>
      <c r="I2" s="3">
        <v>29.9</v>
      </c>
      <c r="K2" s="3">
        <v>0.0</v>
      </c>
      <c r="L2" s="3">
        <v>0.0</v>
      </c>
      <c r="M2" s="3" t="s">
        <v>30</v>
      </c>
      <c r="N2" s="3">
        <v>0.9933</v>
      </c>
      <c r="O2" s="3">
        <v>0.0</v>
      </c>
      <c r="P2" s="3">
        <v>1.4892</v>
      </c>
      <c r="Q2" s="3">
        <v>0.0</v>
      </c>
      <c r="R2" s="3">
        <v>0.1848</v>
      </c>
      <c r="S2" s="3">
        <v>70.839996</v>
      </c>
      <c r="T2" s="3">
        <v>75.0</v>
      </c>
      <c r="U2" s="3">
        <f t="shared" ref="U2:U76" si="2">(I2+G2)*0.5</f>
        <v>28.35</v>
      </c>
      <c r="V2" s="3"/>
      <c r="W2" s="3">
        <f t="shared" ref="W2:W76" si="3">( S2*Z2 ) - ( E2 * EXP(-0.0007*T2/$AC$2) * AA2)</f>
        <v>28.34884945</v>
      </c>
      <c r="X2" s="3">
        <f t="shared" ref="X2:X76" si="4">((LN(S2/E2) + (0.0007 + (R2^2)/2) * T2/$AC$2)) / (R2 * SQRT(T2/$AC$2))</f>
        <v>5.120284552</v>
      </c>
      <c r="Y2" s="3">
        <f t="shared" ref="Y2:Y76" si="5">X2-(R2*SQRT(T2/$AC$2))</f>
        <v>5.019467887</v>
      </c>
      <c r="Z2" s="3">
        <f t="shared" ref="Z2:AA2" si="1">_xlfn.NORM.S.DIST(X2)</f>
        <v>0.9999998475</v>
      </c>
      <c r="AA2" s="3">
        <f t="shared" si="1"/>
        <v>0.9999997409</v>
      </c>
      <c r="AC2" s="6">
        <v>252.0</v>
      </c>
    </row>
    <row r="3" ht="14.25" customHeight="1">
      <c r="A3" s="3" t="s">
        <v>148</v>
      </c>
      <c r="B3" s="3" t="s">
        <v>149</v>
      </c>
      <c r="C3" s="3" t="s">
        <v>128</v>
      </c>
      <c r="D3" s="3" t="s">
        <v>29</v>
      </c>
      <c r="E3" s="3">
        <v>42.5</v>
      </c>
      <c r="F3" s="3" t="s">
        <v>27</v>
      </c>
      <c r="G3" s="3">
        <v>26.6</v>
      </c>
      <c r="I3" s="3">
        <v>29.6</v>
      </c>
      <c r="K3" s="3">
        <v>0.0</v>
      </c>
      <c r="L3" s="3">
        <v>0.0</v>
      </c>
      <c r="M3" s="3" t="s">
        <v>31</v>
      </c>
      <c r="N3" s="3">
        <v>1.0</v>
      </c>
      <c r="O3" s="3">
        <v>0.0</v>
      </c>
      <c r="P3" s="3">
        <v>-0.1286</v>
      </c>
      <c r="Q3" s="3">
        <v>0.0</v>
      </c>
      <c r="R3" s="3">
        <v>0.0942</v>
      </c>
      <c r="S3" s="3">
        <v>70.739998</v>
      </c>
      <c r="T3" s="3">
        <v>74.0</v>
      </c>
      <c r="U3" s="3">
        <f t="shared" si="2"/>
        <v>28.1</v>
      </c>
      <c r="V3" s="3"/>
      <c r="W3" s="3">
        <f t="shared" si="3"/>
        <v>28.24873321</v>
      </c>
      <c r="X3" s="3">
        <f t="shared" si="4"/>
        <v>10.01077246</v>
      </c>
      <c r="Y3" s="3">
        <f t="shared" si="5"/>
        <v>9.959725899</v>
      </c>
      <c r="Z3" s="3">
        <f t="shared" ref="Z3:AA3" si="6">_xlfn.NORM.S.DIST(X3)</f>
        <v>1</v>
      </c>
      <c r="AA3" s="3">
        <f t="shared" si="6"/>
        <v>1</v>
      </c>
    </row>
    <row r="4" ht="14.25" customHeight="1">
      <c r="A4" s="3" t="s">
        <v>148</v>
      </c>
      <c r="B4" s="3" t="s">
        <v>149</v>
      </c>
      <c r="C4" s="3" t="s">
        <v>128</v>
      </c>
      <c r="D4" s="3" t="s">
        <v>29</v>
      </c>
      <c r="E4" s="3">
        <v>42.5</v>
      </c>
      <c r="F4" s="3" t="s">
        <v>27</v>
      </c>
      <c r="G4" s="3">
        <v>27.55</v>
      </c>
      <c r="I4" s="3">
        <v>30.65</v>
      </c>
      <c r="K4" s="3">
        <v>0.0</v>
      </c>
      <c r="L4" s="3">
        <v>0.0</v>
      </c>
      <c r="M4" s="3" t="s">
        <v>32</v>
      </c>
      <c r="N4" s="3">
        <v>0.9964</v>
      </c>
      <c r="O4" s="3">
        <v>0.0</v>
      </c>
      <c r="P4" s="3">
        <v>0.7609</v>
      </c>
      <c r="Q4" s="3">
        <v>0.0</v>
      </c>
      <c r="R4" s="3">
        <v>0.1883</v>
      </c>
      <c r="S4" s="3">
        <v>71.550003</v>
      </c>
      <c r="T4" s="3">
        <v>73.0</v>
      </c>
      <c r="U4" s="3">
        <f t="shared" si="2"/>
        <v>29.1</v>
      </c>
      <c r="V4" s="3"/>
      <c r="W4" s="3">
        <f t="shared" si="3"/>
        <v>29.05862032</v>
      </c>
      <c r="X4" s="3">
        <f t="shared" si="4"/>
        <v>5.192360557</v>
      </c>
      <c r="Y4" s="3">
        <f t="shared" si="5"/>
        <v>5.091013421</v>
      </c>
      <c r="Z4" s="3">
        <f t="shared" ref="Z4:AA4" si="7">_xlfn.NORM.S.DIST(X4)</f>
        <v>0.9999998962</v>
      </c>
      <c r="AA4" s="3">
        <f t="shared" si="7"/>
        <v>0.9999998219</v>
      </c>
    </row>
    <row r="5" ht="14.25" customHeight="1">
      <c r="A5" s="3" t="s">
        <v>148</v>
      </c>
      <c r="B5" s="3" t="s">
        <v>149</v>
      </c>
      <c r="C5" s="3" t="s">
        <v>128</v>
      </c>
      <c r="D5" s="3" t="s">
        <v>29</v>
      </c>
      <c r="E5" s="3">
        <v>42.5</v>
      </c>
      <c r="F5" s="3" t="s">
        <v>27</v>
      </c>
      <c r="G5" s="3">
        <v>27.4</v>
      </c>
      <c r="I5" s="3">
        <v>29.4</v>
      </c>
      <c r="K5" s="3">
        <v>0.0</v>
      </c>
      <c r="L5" s="3">
        <v>0.0</v>
      </c>
      <c r="M5" s="3" t="s">
        <v>33</v>
      </c>
      <c r="N5" s="3">
        <v>0.9927</v>
      </c>
      <c r="O5" s="3">
        <v>0.0</v>
      </c>
      <c r="P5" s="3">
        <v>1.7192</v>
      </c>
      <c r="Q5" s="3">
        <v>0.0</v>
      </c>
      <c r="R5" s="3">
        <v>0.1734</v>
      </c>
      <c r="S5" s="3">
        <v>71.400002</v>
      </c>
      <c r="T5" s="3">
        <v>72.0</v>
      </c>
      <c r="U5" s="3">
        <f t="shared" si="2"/>
        <v>28.4</v>
      </c>
      <c r="V5" s="3"/>
      <c r="W5" s="3">
        <f t="shared" si="3"/>
        <v>28.90850116</v>
      </c>
      <c r="X5" s="3">
        <f t="shared" si="4"/>
        <v>5.645815607</v>
      </c>
      <c r="Y5" s="3">
        <f t="shared" si="5"/>
        <v>5.553129408</v>
      </c>
      <c r="Z5" s="3">
        <f t="shared" ref="Z5:AA5" si="8">_xlfn.NORM.S.DIST(X5)</f>
        <v>0.9999999918</v>
      </c>
      <c r="AA5" s="3">
        <f t="shared" si="8"/>
        <v>0.999999986</v>
      </c>
    </row>
    <row r="6" ht="14.25" customHeight="1">
      <c r="A6" s="3" t="s">
        <v>148</v>
      </c>
      <c r="B6" s="3" t="s">
        <v>149</v>
      </c>
      <c r="C6" s="3" t="s">
        <v>128</v>
      </c>
      <c r="D6" s="3" t="s">
        <v>29</v>
      </c>
      <c r="E6" s="3">
        <v>42.5</v>
      </c>
      <c r="F6" s="3" t="s">
        <v>27</v>
      </c>
      <c r="G6" s="3">
        <v>27.35</v>
      </c>
      <c r="I6" s="3">
        <v>29.5</v>
      </c>
      <c r="K6" s="3">
        <v>0.0</v>
      </c>
      <c r="L6" s="3">
        <v>0.0</v>
      </c>
      <c r="M6" s="3" t="s">
        <v>34</v>
      </c>
      <c r="N6" s="3">
        <v>0.9926</v>
      </c>
      <c r="O6" s="3">
        <v>0.0</v>
      </c>
      <c r="P6" s="3">
        <v>1.7595</v>
      </c>
      <c r="Q6" s="3">
        <v>5.0E-4</v>
      </c>
      <c r="R6" s="3">
        <v>0.217</v>
      </c>
      <c r="S6" s="3">
        <v>71.410004</v>
      </c>
      <c r="T6" s="3">
        <v>71.0</v>
      </c>
      <c r="U6" s="3">
        <f t="shared" si="2"/>
        <v>28.425</v>
      </c>
      <c r="V6" s="3"/>
      <c r="W6" s="3">
        <f t="shared" si="3"/>
        <v>28.91838937</v>
      </c>
      <c r="X6" s="3">
        <f t="shared" si="4"/>
        <v>4.564600524</v>
      </c>
      <c r="Y6" s="3">
        <f t="shared" si="5"/>
        <v>4.449417457</v>
      </c>
      <c r="Z6" s="3">
        <f t="shared" ref="Z6:AA6" si="9">_xlfn.NORM.S.DIST(X6)</f>
        <v>0.9999974978</v>
      </c>
      <c r="AA6" s="3">
        <f t="shared" si="9"/>
        <v>0.9999956948</v>
      </c>
    </row>
    <row r="7" ht="14.25" customHeight="1">
      <c r="A7" s="3" t="s">
        <v>148</v>
      </c>
      <c r="B7" s="3" t="s">
        <v>149</v>
      </c>
      <c r="C7" s="3" t="s">
        <v>128</v>
      </c>
      <c r="D7" s="3" t="s">
        <v>29</v>
      </c>
      <c r="E7" s="3">
        <v>42.5</v>
      </c>
      <c r="F7" s="3" t="s">
        <v>27</v>
      </c>
      <c r="G7" s="3">
        <v>27.75</v>
      </c>
      <c r="I7" s="3">
        <v>30.8</v>
      </c>
      <c r="K7" s="3">
        <v>0.0</v>
      </c>
      <c r="L7" s="3">
        <v>0.0</v>
      </c>
      <c r="M7" s="3" t="s">
        <v>35</v>
      </c>
      <c r="N7" s="3">
        <v>0.9431</v>
      </c>
      <c r="O7" s="3">
        <v>0.0041</v>
      </c>
      <c r="P7" s="3">
        <v>-3.0079</v>
      </c>
      <c r="Q7" s="3">
        <v>3.8468</v>
      </c>
      <c r="R7" s="3">
        <v>0.6709</v>
      </c>
      <c r="S7" s="3">
        <v>71.730003</v>
      </c>
      <c r="T7" s="3">
        <v>70.0</v>
      </c>
      <c r="U7" s="3">
        <f t="shared" si="2"/>
        <v>29.275</v>
      </c>
      <c r="V7" s="3"/>
      <c r="W7" s="3">
        <f t="shared" si="3"/>
        <v>29.82921413</v>
      </c>
      <c r="X7" s="3">
        <f t="shared" si="4"/>
        <v>1.65758492</v>
      </c>
      <c r="Y7" s="3">
        <f t="shared" si="5"/>
        <v>1.303989573</v>
      </c>
      <c r="Z7" s="3">
        <f t="shared" ref="Z7:AA7" si="10">_xlfn.NORM.S.DIST(X7)</f>
        <v>0.9512993623</v>
      </c>
      <c r="AA7" s="3">
        <f t="shared" si="10"/>
        <v>0.9038814313</v>
      </c>
    </row>
    <row r="8" ht="14.25" customHeight="1">
      <c r="A8" s="3" t="s">
        <v>148</v>
      </c>
      <c r="B8" s="3" t="s">
        <v>149</v>
      </c>
      <c r="C8" s="3" t="s">
        <v>128</v>
      </c>
      <c r="D8" s="3" t="s">
        <v>29</v>
      </c>
      <c r="E8" s="3">
        <v>42.5</v>
      </c>
      <c r="F8" s="3" t="s">
        <v>27</v>
      </c>
      <c r="G8" s="3">
        <v>28.15</v>
      </c>
      <c r="I8" s="3">
        <v>31.25</v>
      </c>
      <c r="K8" s="3">
        <v>0.0</v>
      </c>
      <c r="L8" s="3">
        <v>0.0</v>
      </c>
      <c r="M8" s="3" t="s">
        <v>36</v>
      </c>
      <c r="N8" s="3">
        <v>0.9457</v>
      </c>
      <c r="O8" s="3">
        <v>0.0039</v>
      </c>
      <c r="P8" s="3">
        <v>-2.8515</v>
      </c>
      <c r="Q8" s="3">
        <v>3.6951</v>
      </c>
      <c r="R8" s="3">
        <v>0.6707</v>
      </c>
      <c r="S8" s="3">
        <v>72.190002</v>
      </c>
      <c r="T8" s="3">
        <v>69.0</v>
      </c>
      <c r="U8" s="3">
        <f t="shared" si="2"/>
        <v>29.7</v>
      </c>
      <c r="V8" s="3"/>
      <c r="W8" s="3">
        <f t="shared" si="3"/>
        <v>30.24860298</v>
      </c>
      <c r="X8" s="3">
        <f t="shared" si="4"/>
        <v>1.685608181</v>
      </c>
      <c r="Y8" s="3">
        <f t="shared" si="5"/>
        <v>1.334652254</v>
      </c>
      <c r="Z8" s="3">
        <f t="shared" ref="Z8:AA8" si="11">_xlfn.NORM.S.DIST(X8)</f>
        <v>0.9540643538</v>
      </c>
      <c r="AA8" s="3">
        <f t="shared" si="11"/>
        <v>0.9090049065</v>
      </c>
    </row>
    <row r="9" ht="14.25" customHeight="1">
      <c r="A9" s="3" t="s">
        <v>148</v>
      </c>
      <c r="B9" s="3" t="s">
        <v>149</v>
      </c>
      <c r="C9" s="3" t="s">
        <v>128</v>
      </c>
      <c r="D9" s="3" t="s">
        <v>29</v>
      </c>
      <c r="E9" s="3">
        <v>42.5</v>
      </c>
      <c r="F9" s="3" t="s">
        <v>27</v>
      </c>
      <c r="G9" s="3">
        <v>28.45</v>
      </c>
      <c r="I9" s="3">
        <v>30.2</v>
      </c>
      <c r="K9" s="3">
        <v>0.0</v>
      </c>
      <c r="L9" s="3">
        <v>0.0</v>
      </c>
      <c r="M9" s="3" t="s">
        <v>37</v>
      </c>
      <c r="N9" s="3">
        <v>0.9896</v>
      </c>
      <c r="O9" s="3">
        <v>7.0E-4</v>
      </c>
      <c r="P9" s="3">
        <v>1.5121</v>
      </c>
      <c r="Q9" s="3">
        <v>0.3726</v>
      </c>
      <c r="R9" s="3">
        <v>0.3873</v>
      </c>
      <c r="S9" s="3">
        <v>72.349998</v>
      </c>
      <c r="T9" s="3">
        <v>68.0</v>
      </c>
      <c r="U9" s="3">
        <f t="shared" si="2"/>
        <v>29.325</v>
      </c>
      <c r="V9" s="3"/>
      <c r="W9" s="3">
        <f t="shared" si="3"/>
        <v>29.8720892</v>
      </c>
      <c r="X9" s="3">
        <f t="shared" si="4"/>
        <v>2.745884468</v>
      </c>
      <c r="Y9" s="3">
        <f t="shared" si="5"/>
        <v>2.544696649</v>
      </c>
      <c r="Z9" s="3">
        <f t="shared" ref="Z9:AA9" si="12">_xlfn.NORM.S.DIST(X9)</f>
        <v>0.9969825994</v>
      </c>
      <c r="AA9" s="3">
        <f t="shared" si="12"/>
        <v>0.9945313646</v>
      </c>
    </row>
    <row r="10" ht="14.25" customHeight="1">
      <c r="A10" s="3" t="s">
        <v>148</v>
      </c>
      <c r="B10" s="3" t="s">
        <v>149</v>
      </c>
      <c r="C10" s="3" t="s">
        <v>128</v>
      </c>
      <c r="D10" s="3" t="s">
        <v>29</v>
      </c>
      <c r="E10" s="3">
        <v>42.5</v>
      </c>
      <c r="F10" s="3" t="s">
        <v>27</v>
      </c>
      <c r="G10" s="3">
        <v>28.55</v>
      </c>
      <c r="I10" s="3">
        <v>30.45</v>
      </c>
      <c r="K10" s="3">
        <v>0.0</v>
      </c>
      <c r="L10" s="3">
        <v>0.0</v>
      </c>
      <c r="M10" s="3" t="s">
        <v>38</v>
      </c>
      <c r="N10" s="3">
        <v>0.9931</v>
      </c>
      <c r="O10" s="3">
        <v>0.0</v>
      </c>
      <c r="P10" s="3">
        <v>1.7912</v>
      </c>
      <c r="Q10" s="3">
        <v>1.0E-4</v>
      </c>
      <c r="R10" s="3">
        <v>0.2119</v>
      </c>
      <c r="S10" s="3">
        <v>72.559998</v>
      </c>
      <c r="T10" s="3">
        <v>67.0</v>
      </c>
      <c r="U10" s="3">
        <f t="shared" si="2"/>
        <v>29.5</v>
      </c>
      <c r="V10" s="3"/>
      <c r="W10" s="3">
        <f t="shared" si="3"/>
        <v>30.06790754</v>
      </c>
      <c r="X10" s="3">
        <f t="shared" si="4"/>
        <v>4.952007056</v>
      </c>
      <c r="Y10" s="3">
        <f t="shared" si="5"/>
        <v>4.842745323</v>
      </c>
      <c r="Z10" s="3">
        <f t="shared" ref="Z10:AA10" si="13">_xlfn.NORM.S.DIST(X10)</f>
        <v>0.9999996327</v>
      </c>
      <c r="AA10" s="3">
        <f t="shared" si="13"/>
        <v>0.9999993597</v>
      </c>
    </row>
    <row r="11" ht="14.25" customHeight="1">
      <c r="A11" s="3" t="s">
        <v>148</v>
      </c>
      <c r="B11" s="3" t="s">
        <v>149</v>
      </c>
      <c r="C11" s="3" t="s">
        <v>128</v>
      </c>
      <c r="D11" s="3" t="s">
        <v>29</v>
      </c>
      <c r="E11" s="3">
        <v>42.5</v>
      </c>
      <c r="F11" s="3" t="s">
        <v>27</v>
      </c>
      <c r="G11" s="3">
        <v>28.3</v>
      </c>
      <c r="I11" s="3">
        <v>31.35</v>
      </c>
      <c r="K11" s="3">
        <v>0.0</v>
      </c>
      <c r="L11" s="3">
        <v>0.0</v>
      </c>
      <c r="M11" s="3" t="s">
        <v>39</v>
      </c>
      <c r="N11" s="3">
        <v>0.9863</v>
      </c>
      <c r="O11" s="3">
        <v>0.0011</v>
      </c>
      <c r="P11" s="3">
        <v>1.1741</v>
      </c>
      <c r="Q11" s="3">
        <v>0.7044</v>
      </c>
      <c r="R11" s="3">
        <v>0.4405</v>
      </c>
      <c r="S11" s="3">
        <v>72.370003</v>
      </c>
      <c r="T11" s="3">
        <v>66.0</v>
      </c>
      <c r="U11" s="3">
        <f t="shared" si="2"/>
        <v>29.825</v>
      </c>
      <c r="V11" s="3"/>
      <c r="W11" s="3">
        <f t="shared" si="3"/>
        <v>29.91570804</v>
      </c>
      <c r="X11" s="3">
        <f t="shared" si="4"/>
        <v>2.474708791</v>
      </c>
      <c r="Y11" s="3">
        <f t="shared" si="5"/>
        <v>2.249275729</v>
      </c>
      <c r="Z11" s="3">
        <f t="shared" ref="Z11:AA11" si="14">_xlfn.NORM.S.DIST(X11)</f>
        <v>0.9933327573</v>
      </c>
      <c r="AA11" s="3">
        <f t="shared" si="14"/>
        <v>0.9877525205</v>
      </c>
    </row>
    <row r="12" ht="14.25" customHeight="1">
      <c r="A12" s="3" t="s">
        <v>148</v>
      </c>
      <c r="B12" s="3" t="s">
        <v>149</v>
      </c>
      <c r="C12" s="3" t="s">
        <v>128</v>
      </c>
      <c r="D12" s="3" t="s">
        <v>29</v>
      </c>
      <c r="E12" s="3">
        <v>42.5</v>
      </c>
      <c r="F12" s="3" t="s">
        <v>27</v>
      </c>
      <c r="G12" s="3">
        <v>28.45</v>
      </c>
      <c r="I12" s="3">
        <v>31.6</v>
      </c>
      <c r="K12" s="3">
        <v>0.0</v>
      </c>
      <c r="L12" s="3">
        <v>0.0</v>
      </c>
      <c r="M12" s="3" t="s">
        <v>40</v>
      </c>
      <c r="N12" s="3">
        <v>0.9966</v>
      </c>
      <c r="O12" s="3">
        <v>0.0</v>
      </c>
      <c r="P12" s="3">
        <v>0.8348</v>
      </c>
      <c r="Q12" s="3">
        <v>0.0</v>
      </c>
      <c r="R12" s="3">
        <v>0.1392</v>
      </c>
      <c r="S12" s="3">
        <v>72.580002</v>
      </c>
      <c r="T12" s="3">
        <v>65.0</v>
      </c>
      <c r="U12" s="3">
        <f t="shared" si="2"/>
        <v>30.025</v>
      </c>
      <c r="V12" s="3"/>
      <c r="W12" s="3">
        <f t="shared" si="3"/>
        <v>30.08767492</v>
      </c>
      <c r="X12" s="3">
        <f t="shared" si="4"/>
        <v>7.608123346</v>
      </c>
      <c r="Y12" s="3">
        <f t="shared" si="5"/>
        <v>7.537427216</v>
      </c>
      <c r="Z12" s="3">
        <f t="shared" ref="Z12:AA12" si="15">_xlfn.NORM.S.DIST(X12)</f>
        <v>1</v>
      </c>
      <c r="AA12" s="3">
        <f t="shared" si="15"/>
        <v>1</v>
      </c>
    </row>
    <row r="13" ht="14.25" customHeight="1">
      <c r="A13" s="3" t="s">
        <v>148</v>
      </c>
      <c r="B13" s="3" t="s">
        <v>149</v>
      </c>
      <c r="C13" s="3" t="s">
        <v>128</v>
      </c>
      <c r="D13" s="3" t="s">
        <v>29</v>
      </c>
      <c r="E13" s="3">
        <v>42.5</v>
      </c>
      <c r="F13" s="3" t="s">
        <v>27</v>
      </c>
      <c r="G13" s="3">
        <v>28.8</v>
      </c>
      <c r="I13" s="3">
        <v>31.7</v>
      </c>
      <c r="K13" s="3">
        <v>0.0</v>
      </c>
      <c r="L13" s="3">
        <v>0.0</v>
      </c>
      <c r="M13" s="3" t="s">
        <v>41</v>
      </c>
      <c r="N13" s="3">
        <v>1.0</v>
      </c>
      <c r="O13" s="3">
        <v>0.0</v>
      </c>
      <c r="P13" s="3">
        <v>-0.1286</v>
      </c>
      <c r="Q13" s="3">
        <v>0.0</v>
      </c>
      <c r="R13" s="3">
        <v>0.0823</v>
      </c>
      <c r="S13" s="3">
        <v>72.900002</v>
      </c>
      <c r="T13" s="3">
        <v>64.0</v>
      </c>
      <c r="U13" s="3">
        <f t="shared" si="2"/>
        <v>30.25</v>
      </c>
      <c r="V13" s="3"/>
      <c r="W13" s="3">
        <f t="shared" si="3"/>
        <v>30.40755688</v>
      </c>
      <c r="X13" s="3">
        <f t="shared" si="4"/>
        <v>13.03480503</v>
      </c>
      <c r="Y13" s="3">
        <f t="shared" si="5"/>
        <v>12.99332973</v>
      </c>
      <c r="Z13" s="3">
        <f t="shared" ref="Z13:AA13" si="16">_xlfn.NORM.S.DIST(X13)</f>
        <v>1</v>
      </c>
      <c r="AA13" s="3">
        <f t="shared" si="16"/>
        <v>1</v>
      </c>
    </row>
    <row r="14" ht="14.25" customHeight="1">
      <c r="A14" s="3" t="s">
        <v>148</v>
      </c>
      <c r="B14" s="3" t="s">
        <v>149</v>
      </c>
      <c r="C14" s="3" t="s">
        <v>128</v>
      </c>
      <c r="D14" s="3" t="s">
        <v>29</v>
      </c>
      <c r="E14" s="3">
        <v>42.5</v>
      </c>
      <c r="F14" s="3" t="s">
        <v>27</v>
      </c>
      <c r="G14" s="3">
        <v>29.1</v>
      </c>
      <c r="I14" s="3">
        <v>32.15</v>
      </c>
      <c r="K14" s="3">
        <v>0.0</v>
      </c>
      <c r="L14" s="3">
        <v>0.0</v>
      </c>
      <c r="M14" s="3" t="s">
        <v>42</v>
      </c>
      <c r="N14" s="3">
        <v>1.0</v>
      </c>
      <c r="O14" s="3">
        <v>0.0</v>
      </c>
      <c r="P14" s="3">
        <v>-0.1286</v>
      </c>
      <c r="Q14" s="3">
        <v>0.0</v>
      </c>
      <c r="R14" s="3">
        <v>0.0784</v>
      </c>
      <c r="S14" s="3">
        <v>73.230003</v>
      </c>
      <c r="T14" s="3">
        <v>63.0</v>
      </c>
      <c r="U14" s="3">
        <f t="shared" si="2"/>
        <v>30.625</v>
      </c>
      <c r="V14" s="3"/>
      <c r="W14" s="3">
        <f t="shared" si="3"/>
        <v>30.73743985</v>
      </c>
      <c r="X14" s="3">
        <f t="shared" si="4"/>
        <v>13.90419536</v>
      </c>
      <c r="Y14" s="3">
        <f t="shared" si="5"/>
        <v>13.86499536</v>
      </c>
      <c r="Z14" s="3">
        <f t="shared" ref="Z14:AA14" si="17">_xlfn.NORM.S.DIST(X14)</f>
        <v>1</v>
      </c>
      <c r="AA14" s="3">
        <f t="shared" si="17"/>
        <v>1</v>
      </c>
    </row>
    <row r="15" ht="14.25" customHeight="1">
      <c r="A15" s="3" t="s">
        <v>148</v>
      </c>
      <c r="B15" s="3" t="s">
        <v>149</v>
      </c>
      <c r="C15" s="3" t="s">
        <v>128</v>
      </c>
      <c r="D15" s="3" t="s">
        <v>29</v>
      </c>
      <c r="E15" s="3">
        <v>42.5</v>
      </c>
      <c r="F15" s="3" t="s">
        <v>27</v>
      </c>
      <c r="G15" s="3">
        <v>30.0</v>
      </c>
      <c r="I15" s="3">
        <v>30.55</v>
      </c>
      <c r="K15" s="3">
        <v>0.0</v>
      </c>
      <c r="L15" s="3">
        <v>0.0</v>
      </c>
      <c r="M15" s="3" t="s">
        <v>43</v>
      </c>
      <c r="N15" s="3">
        <v>0.9968</v>
      </c>
      <c r="O15" s="3">
        <v>0.0</v>
      </c>
      <c r="P15" s="3">
        <v>0.8557</v>
      </c>
      <c r="Q15" s="3">
        <v>0.0</v>
      </c>
      <c r="R15" s="3">
        <v>0.1597</v>
      </c>
      <c r="S15" s="3">
        <v>72.690002</v>
      </c>
      <c r="T15" s="3">
        <v>62.0</v>
      </c>
      <c r="U15" s="3">
        <f t="shared" si="2"/>
        <v>30.275</v>
      </c>
      <c r="V15" s="3"/>
      <c r="W15" s="3">
        <f t="shared" si="3"/>
        <v>30.19732081</v>
      </c>
      <c r="X15" s="3">
        <f t="shared" si="4"/>
        <v>6.817118345</v>
      </c>
      <c r="Y15" s="3">
        <f t="shared" si="5"/>
        <v>6.73790461</v>
      </c>
      <c r="Z15" s="3">
        <f t="shared" ref="Z15:AA15" si="18">_xlfn.NORM.S.DIST(X15)</f>
        <v>1</v>
      </c>
      <c r="AA15" s="3">
        <f t="shared" si="18"/>
        <v>1</v>
      </c>
    </row>
    <row r="16" ht="14.25" customHeight="1">
      <c r="A16" s="3" t="s">
        <v>148</v>
      </c>
      <c r="B16" s="3" t="s">
        <v>149</v>
      </c>
      <c r="C16" s="3" t="s">
        <v>128</v>
      </c>
      <c r="D16" s="3" t="s">
        <v>29</v>
      </c>
      <c r="E16" s="3">
        <v>42.5</v>
      </c>
      <c r="F16" s="3" t="s">
        <v>27</v>
      </c>
      <c r="G16" s="3">
        <v>29.5</v>
      </c>
      <c r="I16" s="3">
        <v>31.75</v>
      </c>
      <c r="K16" s="3">
        <v>0.0</v>
      </c>
      <c r="L16" s="3">
        <v>0.0</v>
      </c>
      <c r="M16" s="3" t="s">
        <v>44</v>
      </c>
      <c r="N16" s="3">
        <v>0.9397</v>
      </c>
      <c r="O16" s="3">
        <v>0.004</v>
      </c>
      <c r="P16" s="3">
        <v>-4.591</v>
      </c>
      <c r="Q16" s="3">
        <v>3.8738</v>
      </c>
      <c r="R16" s="3">
        <v>0.7738</v>
      </c>
      <c r="S16" s="3">
        <v>72.849998</v>
      </c>
      <c r="T16" s="3">
        <v>61.0</v>
      </c>
      <c r="U16" s="3">
        <f t="shared" si="2"/>
        <v>30.625</v>
      </c>
      <c r="V16" s="3"/>
      <c r="W16" s="3">
        <f t="shared" si="3"/>
        <v>31.09742367</v>
      </c>
      <c r="X16" s="3">
        <f t="shared" si="4"/>
        <v>1.606311643</v>
      </c>
      <c r="Y16" s="3">
        <f t="shared" si="5"/>
        <v>1.225602442</v>
      </c>
      <c r="Z16" s="3">
        <f t="shared" ref="Z16:AA16" si="19">_xlfn.NORM.S.DIST(X16)</f>
        <v>0.9458972733</v>
      </c>
      <c r="AA16" s="3">
        <f t="shared" si="19"/>
        <v>0.8898258408</v>
      </c>
    </row>
    <row r="17" ht="14.25" customHeight="1">
      <c r="A17" s="3" t="s">
        <v>148</v>
      </c>
      <c r="B17" s="3" t="s">
        <v>149</v>
      </c>
      <c r="C17" s="3" t="s">
        <v>128</v>
      </c>
      <c r="D17" s="3" t="s">
        <v>29</v>
      </c>
      <c r="E17" s="3">
        <v>42.5</v>
      </c>
      <c r="F17" s="3" t="s">
        <v>27</v>
      </c>
      <c r="G17" s="3">
        <v>30.05</v>
      </c>
      <c r="I17" s="3">
        <v>30.8</v>
      </c>
      <c r="K17" s="3">
        <v>0.0</v>
      </c>
      <c r="L17" s="3">
        <v>0.0</v>
      </c>
      <c r="M17" s="3" t="s">
        <v>45</v>
      </c>
      <c r="N17" s="3">
        <v>0.982</v>
      </c>
      <c r="O17" s="3">
        <v>0.0016</v>
      </c>
      <c r="P17" s="3">
        <v>0.7699</v>
      </c>
      <c r="Q17" s="3">
        <v>1.0477</v>
      </c>
      <c r="R17" s="3">
        <v>0.5153</v>
      </c>
      <c r="S17" s="3">
        <v>73.099998</v>
      </c>
      <c r="T17" s="3">
        <v>60.0</v>
      </c>
      <c r="U17" s="3">
        <f t="shared" si="2"/>
        <v>30.425</v>
      </c>
      <c r="V17" s="3"/>
      <c r="W17" s="3">
        <f t="shared" si="3"/>
        <v>30.68381495</v>
      </c>
      <c r="X17" s="3">
        <f t="shared" si="4"/>
        <v>2.283251028</v>
      </c>
      <c r="Y17" s="3">
        <f t="shared" si="5"/>
        <v>2.031810374</v>
      </c>
      <c r="Z17" s="3">
        <f t="shared" ref="Z17:AA17" si="20">_xlfn.NORM.S.DIST(X17)</f>
        <v>0.9887922071</v>
      </c>
      <c r="AA17" s="3">
        <f t="shared" si="20"/>
        <v>0.9789135717</v>
      </c>
    </row>
    <row r="18" ht="14.25" customHeight="1">
      <c r="A18" s="3" t="s">
        <v>148</v>
      </c>
      <c r="B18" s="3" t="s">
        <v>149</v>
      </c>
      <c r="C18" s="3" t="s">
        <v>128</v>
      </c>
      <c r="D18" s="3" t="s">
        <v>29</v>
      </c>
      <c r="E18" s="3">
        <v>42.5</v>
      </c>
      <c r="F18" s="3" t="s">
        <v>27</v>
      </c>
      <c r="G18" s="3">
        <v>29.7</v>
      </c>
      <c r="I18" s="3">
        <v>31.6</v>
      </c>
      <c r="K18" s="3">
        <v>0.0</v>
      </c>
      <c r="L18" s="3">
        <v>0.0</v>
      </c>
      <c r="M18" s="3" t="s">
        <v>46</v>
      </c>
      <c r="N18" s="3">
        <v>0.9933</v>
      </c>
      <c r="O18" s="3">
        <v>0.0</v>
      </c>
      <c r="P18" s="3">
        <v>2.0182</v>
      </c>
      <c r="Q18" s="3">
        <v>0.0</v>
      </c>
      <c r="R18" s="3">
        <v>0.1996</v>
      </c>
      <c r="S18" s="3">
        <v>73.919998</v>
      </c>
      <c r="T18" s="3">
        <v>59.0</v>
      </c>
      <c r="U18" s="3">
        <f t="shared" si="2"/>
        <v>30.65</v>
      </c>
      <c r="V18" s="3"/>
      <c r="W18" s="3">
        <f t="shared" si="3"/>
        <v>31.42696271</v>
      </c>
      <c r="X18" s="3">
        <f t="shared" si="4"/>
        <v>5.780785208</v>
      </c>
      <c r="Y18" s="3">
        <f t="shared" si="5"/>
        <v>5.684205414</v>
      </c>
      <c r="Z18" s="3">
        <f t="shared" ref="Z18:AA18" si="21">_xlfn.NORM.S.DIST(X18)</f>
        <v>0.9999999963</v>
      </c>
      <c r="AA18" s="3">
        <f t="shared" si="21"/>
        <v>0.9999999934</v>
      </c>
    </row>
    <row r="19" ht="14.25" customHeight="1">
      <c r="A19" s="3" t="s">
        <v>148</v>
      </c>
      <c r="B19" s="3" t="s">
        <v>149</v>
      </c>
      <c r="C19" s="3" t="s">
        <v>128</v>
      </c>
      <c r="D19" s="3" t="s">
        <v>29</v>
      </c>
      <c r="E19" s="3">
        <v>42.5</v>
      </c>
      <c r="F19" s="3" t="s">
        <v>27</v>
      </c>
      <c r="G19" s="3">
        <v>29.95</v>
      </c>
      <c r="I19" s="3">
        <v>31.95</v>
      </c>
      <c r="K19" s="3">
        <v>0.0</v>
      </c>
      <c r="L19" s="3">
        <v>0.0</v>
      </c>
      <c r="M19" s="3" t="s">
        <v>47</v>
      </c>
      <c r="N19" s="3">
        <v>0.9584</v>
      </c>
      <c r="O19" s="3">
        <v>0.0032</v>
      </c>
      <c r="P19" s="3">
        <v>-2.2862</v>
      </c>
      <c r="Q19" s="3">
        <v>2.6883</v>
      </c>
      <c r="R19" s="3">
        <v>0.7012</v>
      </c>
      <c r="S19" s="3">
        <v>73.620003</v>
      </c>
      <c r="T19" s="3">
        <v>58.0</v>
      </c>
      <c r="U19" s="3">
        <f t="shared" si="2"/>
        <v>30.95</v>
      </c>
      <c r="V19" s="3"/>
      <c r="W19" s="3">
        <f t="shared" si="3"/>
        <v>31.52636534</v>
      </c>
      <c r="X19" s="3">
        <f t="shared" si="4"/>
        <v>1.801892643</v>
      </c>
      <c r="Y19" s="3">
        <f t="shared" si="5"/>
        <v>1.465492916</v>
      </c>
      <c r="Z19" s="3">
        <f t="shared" ref="Z19:AA19" si="22">_xlfn.NORM.S.DIST(X19)</f>
        <v>0.964218851</v>
      </c>
      <c r="AA19" s="3">
        <f t="shared" si="22"/>
        <v>0.9286067582</v>
      </c>
    </row>
    <row r="20" ht="14.25" customHeight="1">
      <c r="A20" s="3" t="s">
        <v>148</v>
      </c>
      <c r="B20" s="3" t="s">
        <v>149</v>
      </c>
      <c r="C20" s="3" t="s">
        <v>128</v>
      </c>
      <c r="D20" s="3" t="s">
        <v>29</v>
      </c>
      <c r="E20" s="3">
        <v>42.5</v>
      </c>
      <c r="F20" s="3" t="s">
        <v>27</v>
      </c>
      <c r="G20" s="3">
        <v>30.35</v>
      </c>
      <c r="I20" s="3">
        <v>33.5</v>
      </c>
      <c r="K20" s="3">
        <v>0.0</v>
      </c>
      <c r="L20" s="3">
        <v>0.0</v>
      </c>
      <c r="M20" s="3" t="s">
        <v>48</v>
      </c>
      <c r="N20" s="3">
        <v>0.9719</v>
      </c>
      <c r="O20" s="3">
        <v>0.0023</v>
      </c>
      <c r="P20" s="3">
        <v>-0.5303</v>
      </c>
      <c r="Q20" s="3">
        <v>1.7945</v>
      </c>
      <c r="R20" s="3">
        <v>0.6306</v>
      </c>
      <c r="S20" s="3">
        <v>74.410004</v>
      </c>
      <c r="T20" s="3">
        <v>57.0</v>
      </c>
      <c r="U20" s="3">
        <f t="shared" si="2"/>
        <v>31.925</v>
      </c>
      <c r="V20" s="3"/>
      <c r="W20" s="3">
        <f t="shared" si="3"/>
        <v>32.11746081</v>
      </c>
      <c r="X20" s="3">
        <f t="shared" si="4"/>
        <v>2.017996888</v>
      </c>
      <c r="Y20" s="3">
        <f t="shared" si="5"/>
        <v>1.718086765</v>
      </c>
      <c r="Z20" s="3">
        <f t="shared" ref="Z20:AA20" si="23">_xlfn.NORM.S.DIST(X20)</f>
        <v>0.9782042073</v>
      </c>
      <c r="AA20" s="3">
        <f t="shared" si="23"/>
        <v>0.9571096048</v>
      </c>
    </row>
    <row r="21" ht="14.25" customHeight="1">
      <c r="A21" s="3" t="s">
        <v>148</v>
      </c>
      <c r="B21" s="3" t="s">
        <v>149</v>
      </c>
      <c r="C21" s="3" t="s">
        <v>128</v>
      </c>
      <c r="D21" s="3" t="s">
        <v>29</v>
      </c>
      <c r="E21" s="3">
        <v>42.5</v>
      </c>
      <c r="F21" s="3" t="s">
        <v>27</v>
      </c>
      <c r="G21" s="3">
        <v>30.15</v>
      </c>
      <c r="I21" s="3">
        <v>32.65</v>
      </c>
      <c r="K21" s="3">
        <v>0.0</v>
      </c>
      <c r="L21" s="3">
        <v>0.0</v>
      </c>
      <c r="M21" s="3" t="s">
        <v>49</v>
      </c>
      <c r="N21" s="3">
        <v>0.9879</v>
      </c>
      <c r="O21" s="3">
        <v>9.0E-4</v>
      </c>
      <c r="P21" s="3">
        <v>1.5104</v>
      </c>
      <c r="Q21" s="3">
        <v>0.5382</v>
      </c>
      <c r="R21" s="3">
        <v>0.4851</v>
      </c>
      <c r="S21" s="3">
        <v>74.089996</v>
      </c>
      <c r="T21" s="3">
        <v>56.0</v>
      </c>
      <c r="U21" s="3">
        <f t="shared" si="2"/>
        <v>31.4</v>
      </c>
      <c r="V21" s="3"/>
      <c r="W21" s="3">
        <f t="shared" si="3"/>
        <v>31.6282095</v>
      </c>
      <c r="X21" s="3">
        <f t="shared" si="4"/>
        <v>2.545404623</v>
      </c>
      <c r="Y21" s="3">
        <f t="shared" si="5"/>
        <v>2.31672629</v>
      </c>
      <c r="Z21" s="3">
        <f t="shared" ref="Z21:AA21" si="24">_xlfn.NORM.S.DIST(X21)</f>
        <v>0.9945424411</v>
      </c>
      <c r="AA21" s="3">
        <f t="shared" si="24"/>
        <v>0.9897406767</v>
      </c>
    </row>
    <row r="22" ht="14.25" customHeight="1">
      <c r="A22" s="3" t="s">
        <v>148</v>
      </c>
      <c r="B22" s="3" t="s">
        <v>149</v>
      </c>
      <c r="C22" s="3" t="s">
        <v>128</v>
      </c>
      <c r="D22" s="3" t="s">
        <v>29</v>
      </c>
      <c r="E22" s="3">
        <v>42.5</v>
      </c>
      <c r="F22" s="3" t="s">
        <v>27</v>
      </c>
      <c r="G22" s="3">
        <v>29.9</v>
      </c>
      <c r="I22" s="3">
        <v>32.75</v>
      </c>
      <c r="K22" s="3">
        <v>0.0</v>
      </c>
      <c r="L22" s="3">
        <v>0.0</v>
      </c>
      <c r="M22" s="3" t="s">
        <v>50</v>
      </c>
      <c r="N22" s="3">
        <v>0.9933</v>
      </c>
      <c r="O22" s="3">
        <v>0.0</v>
      </c>
      <c r="P22" s="3">
        <v>2.1772</v>
      </c>
      <c r="Q22" s="3">
        <v>9.0E-4</v>
      </c>
      <c r="R22" s="3">
        <v>0.2737</v>
      </c>
      <c r="S22" s="3">
        <v>73.919998</v>
      </c>
      <c r="T22" s="3">
        <v>55.0</v>
      </c>
      <c r="U22" s="3">
        <f t="shared" si="2"/>
        <v>31.325</v>
      </c>
      <c r="V22" s="3"/>
      <c r="W22" s="3">
        <f t="shared" si="3"/>
        <v>31.42650183</v>
      </c>
      <c r="X22" s="3">
        <f t="shared" si="4"/>
        <v>4.393708758</v>
      </c>
      <c r="Y22" s="3">
        <f t="shared" si="5"/>
        <v>4.265842524</v>
      </c>
      <c r="Z22" s="3">
        <f t="shared" ref="Z22:AA22" si="25">_xlfn.NORM.S.DIST(X22)</f>
        <v>0.9999944283</v>
      </c>
      <c r="AA22" s="3">
        <f t="shared" si="25"/>
        <v>0.9999900425</v>
      </c>
    </row>
    <row r="23" ht="14.25" customHeight="1">
      <c r="A23" s="3" t="s">
        <v>148</v>
      </c>
      <c r="B23" s="3" t="s">
        <v>149</v>
      </c>
      <c r="C23" s="3" t="s">
        <v>129</v>
      </c>
      <c r="D23" s="3" t="s">
        <v>29</v>
      </c>
      <c r="E23" s="3">
        <v>42.5</v>
      </c>
      <c r="F23" s="3" t="s">
        <v>27</v>
      </c>
      <c r="G23" s="3">
        <v>30.25</v>
      </c>
      <c r="I23" s="3">
        <v>32.25</v>
      </c>
      <c r="K23" s="3">
        <v>0.0</v>
      </c>
      <c r="L23" s="3">
        <v>0.0</v>
      </c>
      <c r="M23" s="3" t="s">
        <v>52</v>
      </c>
      <c r="N23" s="3">
        <v>0.9933</v>
      </c>
      <c r="O23" s="3">
        <v>0.0</v>
      </c>
      <c r="P23" s="3">
        <v>2.2039</v>
      </c>
      <c r="Q23" s="3">
        <v>2.0E-4</v>
      </c>
      <c r="R23" s="3">
        <v>0.2589</v>
      </c>
      <c r="S23" s="3">
        <v>74.18</v>
      </c>
      <c r="T23" s="3">
        <v>54.0</v>
      </c>
      <c r="U23" s="3">
        <f t="shared" si="2"/>
        <v>31.25</v>
      </c>
      <c r="V23" s="3"/>
      <c r="W23" s="3">
        <f t="shared" si="3"/>
        <v>31.68637675</v>
      </c>
      <c r="X23" s="3">
        <f t="shared" si="4"/>
        <v>4.708672371</v>
      </c>
      <c r="Y23" s="3">
        <f t="shared" si="5"/>
        <v>4.588824959</v>
      </c>
      <c r="Z23" s="3">
        <f t="shared" ref="Z23:AA23" si="26">_xlfn.NORM.S.DIST(X23)</f>
        <v>0.9999987533</v>
      </c>
      <c r="AA23" s="3">
        <f t="shared" si="26"/>
        <v>0.9999977713</v>
      </c>
    </row>
    <row r="24" ht="14.25" customHeight="1">
      <c r="A24" s="3" t="s">
        <v>148</v>
      </c>
      <c r="B24" s="3" t="s">
        <v>149</v>
      </c>
      <c r="C24" s="3" t="s">
        <v>129</v>
      </c>
      <c r="D24" s="3" t="s">
        <v>29</v>
      </c>
      <c r="E24" s="3">
        <v>42.5</v>
      </c>
      <c r="F24" s="3" t="s">
        <v>27</v>
      </c>
      <c r="G24" s="3">
        <v>31.0</v>
      </c>
      <c r="I24" s="3">
        <v>32.1</v>
      </c>
      <c r="K24" s="3">
        <v>0.0</v>
      </c>
      <c r="L24" s="3">
        <v>0.0</v>
      </c>
      <c r="M24" s="3" t="s">
        <v>53</v>
      </c>
      <c r="N24" s="3">
        <v>0.9573</v>
      </c>
      <c r="O24" s="3">
        <v>0.0032</v>
      </c>
      <c r="P24" s="3">
        <v>-2.6854</v>
      </c>
      <c r="Q24" s="3">
        <v>2.6481</v>
      </c>
      <c r="R24" s="3">
        <v>0.7498</v>
      </c>
      <c r="S24" s="3">
        <v>74.110001</v>
      </c>
      <c r="T24" s="3">
        <v>53.0</v>
      </c>
      <c r="U24" s="3">
        <f t="shared" si="2"/>
        <v>31.55</v>
      </c>
      <c r="V24" s="3"/>
      <c r="W24" s="3">
        <f t="shared" si="3"/>
        <v>32.04189768</v>
      </c>
      <c r="X24" s="3">
        <f t="shared" si="4"/>
        <v>1.789425451</v>
      </c>
      <c r="Y24" s="3">
        <f t="shared" si="5"/>
        <v>1.445564309</v>
      </c>
      <c r="Z24" s="3">
        <f t="shared" ref="Z24:AA24" si="27">_xlfn.NORM.S.DIST(X24)</f>
        <v>0.9632268382</v>
      </c>
      <c r="AA24" s="3">
        <f t="shared" si="27"/>
        <v>0.9258502784</v>
      </c>
    </row>
    <row r="25" ht="14.25" customHeight="1">
      <c r="A25" s="3" t="s">
        <v>148</v>
      </c>
      <c r="B25" s="3" t="s">
        <v>149</v>
      </c>
      <c r="C25" s="3" t="s">
        <v>129</v>
      </c>
      <c r="D25" s="3" t="s">
        <v>29</v>
      </c>
      <c r="E25" s="3">
        <v>42.5</v>
      </c>
      <c r="F25" s="3" t="s">
        <v>27</v>
      </c>
      <c r="G25" s="3">
        <v>30.7</v>
      </c>
      <c r="I25" s="3">
        <v>33.65</v>
      </c>
      <c r="K25" s="3">
        <v>0.0</v>
      </c>
      <c r="L25" s="3">
        <v>0.0</v>
      </c>
      <c r="M25" s="3" t="s">
        <v>54</v>
      </c>
      <c r="N25" s="3">
        <v>0.9498</v>
      </c>
      <c r="O25" s="3">
        <v>0.0034</v>
      </c>
      <c r="P25" s="3">
        <v>-4.0616</v>
      </c>
      <c r="Q25" s="3">
        <v>3.09</v>
      </c>
      <c r="R25" s="3">
        <v>0.8159</v>
      </c>
      <c r="S25" s="3">
        <v>74.660004</v>
      </c>
      <c r="T25" s="3">
        <v>52.0</v>
      </c>
      <c r="U25" s="3">
        <f t="shared" si="2"/>
        <v>32.175</v>
      </c>
      <c r="V25" s="3"/>
      <c r="W25" s="3">
        <f t="shared" si="3"/>
        <v>32.74252923</v>
      </c>
      <c r="X25" s="3">
        <f t="shared" si="4"/>
        <v>1.70593514</v>
      </c>
      <c r="Y25" s="3">
        <f t="shared" si="5"/>
        <v>1.335307048</v>
      </c>
      <c r="Z25" s="3">
        <f t="shared" ref="Z25:AA25" si="28">_xlfn.NORM.S.DIST(X25)</f>
        <v>0.9559899219</v>
      </c>
      <c r="AA25" s="3">
        <f t="shared" si="28"/>
        <v>0.9091120635</v>
      </c>
    </row>
    <row r="26" ht="14.25" customHeight="1">
      <c r="A26" s="3" t="s">
        <v>148</v>
      </c>
      <c r="B26" s="3" t="s">
        <v>149</v>
      </c>
      <c r="C26" s="3" t="s">
        <v>129</v>
      </c>
      <c r="D26" s="3" t="s">
        <v>29</v>
      </c>
      <c r="E26" s="3">
        <v>42.5</v>
      </c>
      <c r="F26" s="3" t="s">
        <v>27</v>
      </c>
      <c r="G26" s="3">
        <v>31.3</v>
      </c>
      <c r="I26" s="3">
        <v>34.25</v>
      </c>
      <c r="K26" s="3">
        <v>0.0</v>
      </c>
      <c r="L26" s="3">
        <v>0.0</v>
      </c>
      <c r="M26" s="3" t="s">
        <v>55</v>
      </c>
      <c r="N26" s="3">
        <v>0.9592</v>
      </c>
      <c r="O26" s="3">
        <v>0.0028</v>
      </c>
      <c r="P26" s="3">
        <v>-2.7507</v>
      </c>
      <c r="Q26" s="3">
        <v>2.551</v>
      </c>
      <c r="R26" s="3">
        <v>0.7747</v>
      </c>
      <c r="S26" s="3">
        <v>75.389999</v>
      </c>
      <c r="T26" s="3">
        <v>51.0</v>
      </c>
      <c r="U26" s="3">
        <f t="shared" si="2"/>
        <v>32.775</v>
      </c>
      <c r="V26" s="3"/>
      <c r="W26" s="3">
        <f t="shared" si="3"/>
        <v>33.30336008</v>
      </c>
      <c r="X26" s="3">
        <f t="shared" si="4"/>
        <v>1.819282471</v>
      </c>
      <c r="Y26" s="3">
        <f t="shared" si="5"/>
        <v>1.47076996</v>
      </c>
      <c r="Z26" s="3">
        <f t="shared" ref="Z26:AA26" si="29">_xlfn.NORM.S.DIST(X26)</f>
        <v>0.9655658269</v>
      </c>
      <c r="AA26" s="3">
        <f t="shared" si="29"/>
        <v>0.9293233305</v>
      </c>
    </row>
    <row r="27" ht="14.25" customHeight="1">
      <c r="A27" s="3" t="s">
        <v>148</v>
      </c>
      <c r="B27" s="3" t="s">
        <v>149</v>
      </c>
      <c r="C27" s="3" t="s">
        <v>129</v>
      </c>
      <c r="D27" s="3" t="s">
        <v>29</v>
      </c>
      <c r="E27" s="3">
        <v>42.5</v>
      </c>
      <c r="F27" s="3" t="s">
        <v>27</v>
      </c>
      <c r="G27" s="3">
        <v>31.95</v>
      </c>
      <c r="I27" s="3">
        <v>33.0</v>
      </c>
      <c r="K27" s="3">
        <v>0.0</v>
      </c>
      <c r="L27" s="3">
        <v>0.0</v>
      </c>
      <c r="M27" s="3" t="s">
        <v>56</v>
      </c>
      <c r="N27" s="3">
        <v>0.958</v>
      </c>
      <c r="O27" s="3">
        <v>0.003</v>
      </c>
      <c r="P27" s="3">
        <v>-2.9844</v>
      </c>
      <c r="Q27" s="3">
        <v>2.6009</v>
      </c>
      <c r="R27" s="3">
        <v>0.7825</v>
      </c>
      <c r="S27" s="3">
        <v>75.059998</v>
      </c>
      <c r="T27" s="3">
        <v>50.0</v>
      </c>
      <c r="U27" s="3">
        <f t="shared" si="2"/>
        <v>32.475</v>
      </c>
      <c r="V27" s="3"/>
      <c r="W27" s="3">
        <f t="shared" si="3"/>
        <v>32.98501063</v>
      </c>
      <c r="X27" s="3">
        <f t="shared" si="4"/>
        <v>1.806516888</v>
      </c>
      <c r="Y27" s="3">
        <f t="shared" si="5"/>
        <v>1.457963685</v>
      </c>
      <c r="Z27" s="3">
        <f t="shared" ref="Z27:AA27" si="30">_xlfn.NORM.S.DIST(X27)</f>
        <v>0.9645811807</v>
      </c>
      <c r="AA27" s="3">
        <f t="shared" si="30"/>
        <v>0.9275747235</v>
      </c>
    </row>
    <row r="28" ht="14.25" customHeight="1">
      <c r="A28" s="3" t="s">
        <v>148</v>
      </c>
      <c r="B28" s="3" t="s">
        <v>149</v>
      </c>
      <c r="C28" s="3" t="s">
        <v>129</v>
      </c>
      <c r="D28" s="3" t="s">
        <v>29</v>
      </c>
      <c r="E28" s="3">
        <v>42.5</v>
      </c>
      <c r="F28" s="3" t="s">
        <v>27</v>
      </c>
      <c r="G28" s="3">
        <v>32.4</v>
      </c>
      <c r="I28" s="3">
        <v>33.45</v>
      </c>
      <c r="K28" s="3">
        <v>0.0</v>
      </c>
      <c r="L28" s="3">
        <v>0.0</v>
      </c>
      <c r="M28" s="3" t="s">
        <v>57</v>
      </c>
      <c r="N28" s="3">
        <v>0.9578</v>
      </c>
      <c r="O28" s="3">
        <v>0.003</v>
      </c>
      <c r="P28" s="3">
        <v>-3.2195</v>
      </c>
      <c r="Q28" s="3">
        <v>2.6177</v>
      </c>
      <c r="R28" s="3">
        <v>0.7994</v>
      </c>
      <c r="S28" s="3">
        <v>75.480003</v>
      </c>
      <c r="T28" s="3">
        <v>49.0</v>
      </c>
      <c r="U28" s="3">
        <f t="shared" si="2"/>
        <v>32.925</v>
      </c>
      <c r="V28" s="3"/>
      <c r="W28" s="3">
        <f t="shared" si="3"/>
        <v>33.41322576</v>
      </c>
      <c r="X28" s="3">
        <f t="shared" si="4"/>
        <v>1.806027308</v>
      </c>
      <c r="Y28" s="3">
        <f t="shared" si="5"/>
        <v>1.453525042</v>
      </c>
      <c r="Z28" s="3">
        <f t="shared" ref="Z28:AA28" si="31">_xlfn.NORM.S.DIST(X28)</f>
        <v>0.964542963</v>
      </c>
      <c r="AA28" s="3">
        <f t="shared" si="31"/>
        <v>0.926960984</v>
      </c>
    </row>
    <row r="29" ht="14.25" customHeight="1">
      <c r="A29" s="3" t="s">
        <v>148</v>
      </c>
      <c r="B29" s="3" t="s">
        <v>149</v>
      </c>
      <c r="C29" s="3" t="s">
        <v>129</v>
      </c>
      <c r="D29" s="3" t="s">
        <v>29</v>
      </c>
      <c r="E29" s="3">
        <v>42.5</v>
      </c>
      <c r="F29" s="3" t="s">
        <v>27</v>
      </c>
      <c r="G29" s="3">
        <v>32.4</v>
      </c>
      <c r="I29" s="3">
        <v>34.4</v>
      </c>
      <c r="K29" s="3">
        <v>0.0</v>
      </c>
      <c r="L29" s="3">
        <v>0.0</v>
      </c>
      <c r="M29" s="3" t="s">
        <v>58</v>
      </c>
      <c r="N29" s="3">
        <v>0.9942</v>
      </c>
      <c r="O29" s="3">
        <v>0.0</v>
      </c>
      <c r="P29" s="3">
        <v>2.2549</v>
      </c>
      <c r="Q29" s="3">
        <v>2.0E-4</v>
      </c>
      <c r="R29" s="3">
        <v>0.2872</v>
      </c>
      <c r="S29" s="3">
        <v>75.410004</v>
      </c>
      <c r="T29" s="3">
        <v>48.0</v>
      </c>
      <c r="U29" s="3">
        <f t="shared" si="2"/>
        <v>33.4</v>
      </c>
      <c r="V29" s="3"/>
      <c r="W29" s="3">
        <f t="shared" si="3"/>
        <v>32.91567367</v>
      </c>
      <c r="X29" s="3">
        <f t="shared" si="4"/>
        <v>4.638619754</v>
      </c>
      <c r="Y29" s="3">
        <f t="shared" si="5"/>
        <v>4.513275398</v>
      </c>
      <c r="Z29" s="3">
        <f t="shared" ref="Z29:AA29" si="32">_xlfn.NORM.S.DIST(X29)</f>
        <v>0.9999982463</v>
      </c>
      <c r="AA29" s="3">
        <f t="shared" si="32"/>
        <v>0.9999968083</v>
      </c>
    </row>
    <row r="30" ht="14.25" customHeight="1">
      <c r="A30" s="3" t="s">
        <v>148</v>
      </c>
      <c r="B30" s="3" t="s">
        <v>149</v>
      </c>
      <c r="C30" s="3" t="s">
        <v>129</v>
      </c>
      <c r="D30" s="3" t="s">
        <v>29</v>
      </c>
      <c r="E30" s="3">
        <v>42.5</v>
      </c>
      <c r="F30" s="3" t="s">
        <v>27</v>
      </c>
      <c r="G30" s="3">
        <v>31.8</v>
      </c>
      <c r="I30" s="3">
        <v>34.65</v>
      </c>
      <c r="K30" s="3">
        <v>0.0</v>
      </c>
      <c r="L30" s="3">
        <v>0.0</v>
      </c>
      <c r="M30" s="3" t="s">
        <v>59</v>
      </c>
      <c r="N30" s="3">
        <v>0.9943</v>
      </c>
      <c r="O30" s="3">
        <v>0.0</v>
      </c>
      <c r="P30" s="3">
        <v>2.2589</v>
      </c>
      <c r="Q30" s="3">
        <v>5.0E-4</v>
      </c>
      <c r="R30" s="3">
        <v>0.3068</v>
      </c>
      <c r="S30" s="3">
        <v>75.800003</v>
      </c>
      <c r="T30" s="3">
        <v>47.0</v>
      </c>
      <c r="U30" s="3">
        <f t="shared" si="2"/>
        <v>33.225</v>
      </c>
      <c r="V30" s="3"/>
      <c r="W30" s="3">
        <f t="shared" si="3"/>
        <v>33.30556112</v>
      </c>
      <c r="X30" s="3">
        <f t="shared" si="4"/>
        <v>4.434101942</v>
      </c>
      <c r="Y30" s="3">
        <f t="shared" si="5"/>
        <v>4.301605562</v>
      </c>
      <c r="Z30" s="3">
        <f t="shared" ref="Z30:AA30" si="33">_xlfn.NORM.S.DIST(X30)</f>
        <v>0.9999953772</v>
      </c>
      <c r="AA30" s="3">
        <f t="shared" si="33"/>
        <v>0.9999915218</v>
      </c>
    </row>
    <row r="31" ht="14.25" customHeight="1">
      <c r="A31" s="3" t="s">
        <v>148</v>
      </c>
      <c r="B31" s="3" t="s">
        <v>149</v>
      </c>
      <c r="C31" s="3" t="s">
        <v>129</v>
      </c>
      <c r="D31" s="3" t="s">
        <v>29</v>
      </c>
      <c r="E31" s="3">
        <v>42.5</v>
      </c>
      <c r="F31" s="3" t="s">
        <v>27</v>
      </c>
      <c r="G31" s="3">
        <v>31.9</v>
      </c>
      <c r="I31" s="3">
        <v>34.7</v>
      </c>
      <c r="K31" s="3">
        <v>0.0</v>
      </c>
      <c r="L31" s="3">
        <v>0.0</v>
      </c>
      <c r="M31" s="3" t="s">
        <v>60</v>
      </c>
      <c r="N31" s="3">
        <v>0.9524</v>
      </c>
      <c r="O31" s="3">
        <v>0.0032</v>
      </c>
      <c r="P31" s="3">
        <v>-4.9042</v>
      </c>
      <c r="Q31" s="3">
        <v>2.8704</v>
      </c>
      <c r="R31" s="3">
        <v>0.8781</v>
      </c>
      <c r="S31" s="3">
        <v>75.660004</v>
      </c>
      <c r="T31" s="3">
        <v>46.0</v>
      </c>
      <c r="U31" s="3">
        <f t="shared" si="2"/>
        <v>33.3</v>
      </c>
      <c r="V31" s="3"/>
      <c r="W31" s="3">
        <f t="shared" si="3"/>
        <v>33.72999532</v>
      </c>
      <c r="X31" s="3">
        <f t="shared" si="4"/>
        <v>1.725233975</v>
      </c>
      <c r="Y31" s="3">
        <f t="shared" si="5"/>
        <v>1.350068709</v>
      </c>
      <c r="Z31" s="3">
        <f t="shared" ref="Z31:AA31" si="34">_xlfn.NORM.S.DIST(X31)</f>
        <v>0.9577573424</v>
      </c>
      <c r="AA31" s="3">
        <f t="shared" si="34"/>
        <v>0.9115030279</v>
      </c>
    </row>
    <row r="32" ht="14.25" customHeight="1">
      <c r="A32" s="3" t="s">
        <v>148</v>
      </c>
      <c r="B32" s="3" t="s">
        <v>149</v>
      </c>
      <c r="C32" s="3" t="s">
        <v>129</v>
      </c>
      <c r="D32" s="3" t="s">
        <v>29</v>
      </c>
      <c r="E32" s="3">
        <v>42.5</v>
      </c>
      <c r="F32" s="3" t="s">
        <v>27</v>
      </c>
      <c r="G32" s="3">
        <v>31.85</v>
      </c>
      <c r="I32" s="3">
        <v>34.8</v>
      </c>
      <c r="K32" s="3">
        <v>0.0</v>
      </c>
      <c r="L32" s="3">
        <v>0.0</v>
      </c>
      <c r="M32" s="3" t="s">
        <v>61</v>
      </c>
      <c r="N32" s="3">
        <v>0.9505</v>
      </c>
      <c r="O32" s="3">
        <v>0.0032</v>
      </c>
      <c r="P32" s="3">
        <v>-5.4803</v>
      </c>
      <c r="Q32" s="3">
        <v>2.962</v>
      </c>
      <c r="R32" s="3">
        <v>0.9031</v>
      </c>
      <c r="S32" s="3">
        <v>75.809998</v>
      </c>
      <c r="T32" s="3">
        <v>45.0</v>
      </c>
      <c r="U32" s="3">
        <f t="shared" si="2"/>
        <v>33.325</v>
      </c>
      <c r="V32" s="3"/>
      <c r="W32" s="3">
        <f t="shared" si="3"/>
        <v>33.91819997</v>
      </c>
      <c r="X32" s="3">
        <f t="shared" si="4"/>
        <v>1.707603246</v>
      </c>
      <c r="Y32" s="3">
        <f t="shared" si="5"/>
        <v>1.325973842</v>
      </c>
      <c r="Z32" s="3">
        <f t="shared" ref="Z32:AA32" si="35">_xlfn.NORM.S.DIST(X32)</f>
        <v>0.9561450072</v>
      </c>
      <c r="AA32" s="3">
        <f t="shared" si="35"/>
        <v>0.9075758191</v>
      </c>
    </row>
    <row r="33" ht="14.25" customHeight="1">
      <c r="A33" s="3" t="s">
        <v>148</v>
      </c>
      <c r="B33" s="3" t="s">
        <v>149</v>
      </c>
      <c r="C33" s="3" t="s">
        <v>129</v>
      </c>
      <c r="D33" s="3" t="s">
        <v>29</v>
      </c>
      <c r="E33" s="3">
        <v>42.5</v>
      </c>
      <c r="F33" s="3" t="s">
        <v>27</v>
      </c>
      <c r="G33" s="3">
        <v>32.05</v>
      </c>
      <c r="I33" s="3">
        <v>35.15</v>
      </c>
      <c r="K33" s="3">
        <v>0.0</v>
      </c>
      <c r="L33" s="3">
        <v>0.0</v>
      </c>
      <c r="M33" s="3" t="s">
        <v>62</v>
      </c>
      <c r="N33" s="3">
        <v>0.9973</v>
      </c>
      <c r="O33" s="3">
        <v>0.0</v>
      </c>
      <c r="P33" s="3">
        <v>1.0466</v>
      </c>
      <c r="Q33" s="3">
        <v>0.0</v>
      </c>
      <c r="R33" s="3">
        <v>0.2153</v>
      </c>
      <c r="S33" s="3">
        <v>76.160004</v>
      </c>
      <c r="T33" s="3">
        <v>44.0</v>
      </c>
      <c r="U33" s="3">
        <f t="shared" si="2"/>
        <v>33.6</v>
      </c>
      <c r="V33" s="3"/>
      <c r="W33" s="3">
        <f t="shared" si="3"/>
        <v>33.66519813</v>
      </c>
      <c r="X33" s="3">
        <f t="shared" si="4"/>
        <v>6.530385056</v>
      </c>
      <c r="Y33" s="3">
        <f t="shared" si="5"/>
        <v>6.440420778</v>
      </c>
      <c r="Z33" s="3">
        <f t="shared" ref="Z33:AA33" si="36">_xlfn.NORM.S.DIST(X33)</f>
        <v>1</v>
      </c>
      <c r="AA33" s="3">
        <f t="shared" si="36"/>
        <v>0.9999999999</v>
      </c>
    </row>
    <row r="34" ht="14.25" customHeight="1">
      <c r="A34" s="3" t="s">
        <v>148</v>
      </c>
      <c r="B34" s="3" t="s">
        <v>149</v>
      </c>
      <c r="C34" s="3" t="s">
        <v>129</v>
      </c>
      <c r="D34" s="3" t="s">
        <v>29</v>
      </c>
      <c r="E34" s="3">
        <v>42.5</v>
      </c>
      <c r="F34" s="3" t="s">
        <v>27</v>
      </c>
      <c r="G34" s="3">
        <v>32.85</v>
      </c>
      <c r="I34" s="3">
        <v>35.9</v>
      </c>
      <c r="K34" s="3">
        <v>0.0</v>
      </c>
      <c r="L34" s="3">
        <v>0.0</v>
      </c>
      <c r="M34" s="3" t="s">
        <v>63</v>
      </c>
      <c r="N34" s="3">
        <v>1.0</v>
      </c>
      <c r="O34" s="3">
        <v>0.0</v>
      </c>
      <c r="P34" s="3">
        <v>-0.1234</v>
      </c>
      <c r="Q34" s="3">
        <v>0.0</v>
      </c>
      <c r="R34" s="3">
        <v>0.0707</v>
      </c>
      <c r="S34" s="3">
        <v>76.959999</v>
      </c>
      <c r="T34" s="3">
        <v>43.0</v>
      </c>
      <c r="U34" s="3">
        <f t="shared" si="2"/>
        <v>34.375</v>
      </c>
      <c r="V34" s="3"/>
      <c r="W34" s="3">
        <f t="shared" si="3"/>
        <v>34.46507509</v>
      </c>
      <c r="X34" s="3">
        <f t="shared" si="4"/>
        <v>20.35038091</v>
      </c>
      <c r="Y34" s="3">
        <f t="shared" si="5"/>
        <v>20.32117617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148</v>
      </c>
      <c r="B35" s="3" t="s">
        <v>149</v>
      </c>
      <c r="C35" s="3" t="s">
        <v>129</v>
      </c>
      <c r="D35" s="3" t="s">
        <v>29</v>
      </c>
      <c r="E35" s="3">
        <v>42.5</v>
      </c>
      <c r="F35" s="3" t="s">
        <v>27</v>
      </c>
      <c r="G35" s="3">
        <v>32.75</v>
      </c>
      <c r="I35" s="3">
        <v>35.65</v>
      </c>
      <c r="K35" s="3">
        <v>0.0</v>
      </c>
      <c r="L35" s="3">
        <v>0.0</v>
      </c>
      <c r="M35" s="3" t="s">
        <v>64</v>
      </c>
      <c r="N35" s="3">
        <v>1.0</v>
      </c>
      <c r="O35" s="3">
        <v>0.0</v>
      </c>
      <c r="P35" s="3">
        <v>-0.1234</v>
      </c>
      <c r="Q35" s="3">
        <v>0.0</v>
      </c>
      <c r="R35" s="3">
        <v>0.0738</v>
      </c>
      <c r="S35" s="3">
        <v>76.650002</v>
      </c>
      <c r="T35" s="3">
        <v>42.0</v>
      </c>
      <c r="U35" s="3">
        <f t="shared" si="2"/>
        <v>34.2</v>
      </c>
      <c r="V35" s="3"/>
      <c r="W35" s="3">
        <f t="shared" si="3"/>
        <v>34.15496004</v>
      </c>
      <c r="X35" s="3">
        <f t="shared" si="4"/>
        <v>19.59313296</v>
      </c>
      <c r="Y35" s="3">
        <f t="shared" si="5"/>
        <v>19.56300424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148</v>
      </c>
      <c r="B36" s="3" t="s">
        <v>149</v>
      </c>
      <c r="C36" s="3" t="s">
        <v>129</v>
      </c>
      <c r="D36" s="3" t="s">
        <v>29</v>
      </c>
      <c r="E36" s="3">
        <v>42.5</v>
      </c>
      <c r="F36" s="3" t="s">
        <v>27</v>
      </c>
      <c r="G36" s="3">
        <v>32.9</v>
      </c>
      <c r="I36" s="3">
        <v>35.95</v>
      </c>
      <c r="K36" s="3">
        <v>0.0</v>
      </c>
      <c r="L36" s="3">
        <v>0.0</v>
      </c>
      <c r="M36" s="3" t="s">
        <v>65</v>
      </c>
      <c r="N36" s="3">
        <v>1.0</v>
      </c>
      <c r="O36" s="3">
        <v>0.0</v>
      </c>
      <c r="P36" s="3">
        <v>-0.1234</v>
      </c>
      <c r="Q36" s="3">
        <v>0.0</v>
      </c>
      <c r="R36" s="3">
        <v>0.0776</v>
      </c>
      <c r="S36" s="3">
        <v>76.870003</v>
      </c>
      <c r="T36" s="3">
        <v>41.0</v>
      </c>
      <c r="U36" s="3">
        <f t="shared" si="2"/>
        <v>34.425</v>
      </c>
      <c r="V36" s="3"/>
      <c r="W36" s="3">
        <f t="shared" si="3"/>
        <v>34.374843</v>
      </c>
      <c r="X36" s="3">
        <f t="shared" si="4"/>
        <v>18.95217414</v>
      </c>
      <c r="Y36" s="3">
        <f t="shared" si="5"/>
        <v>18.92087349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148</v>
      </c>
      <c r="B37" s="3" t="s">
        <v>149</v>
      </c>
      <c r="C37" s="3" t="s">
        <v>129</v>
      </c>
      <c r="D37" s="3" t="s">
        <v>29</v>
      </c>
      <c r="E37" s="3">
        <v>42.5</v>
      </c>
      <c r="F37" s="3" t="s">
        <v>27</v>
      </c>
      <c r="G37" s="3">
        <v>32.2</v>
      </c>
      <c r="I37" s="3">
        <v>35.3</v>
      </c>
      <c r="K37" s="3">
        <v>0.0</v>
      </c>
      <c r="L37" s="3">
        <v>0.0</v>
      </c>
      <c r="M37" s="3" t="s">
        <v>66</v>
      </c>
      <c r="N37" s="3">
        <v>1.0</v>
      </c>
      <c r="O37" s="3">
        <v>0.0</v>
      </c>
      <c r="P37" s="3">
        <v>-0.1234</v>
      </c>
      <c r="Q37" s="3">
        <v>0.0</v>
      </c>
      <c r="R37" s="3">
        <v>0.1747</v>
      </c>
      <c r="S37" s="3">
        <v>76.25</v>
      </c>
      <c r="T37" s="3">
        <v>40.0</v>
      </c>
      <c r="U37" s="3">
        <f t="shared" si="2"/>
        <v>33.75</v>
      </c>
      <c r="V37" s="3"/>
      <c r="W37" s="3">
        <f t="shared" si="3"/>
        <v>33.75472196</v>
      </c>
      <c r="X37" s="3">
        <f t="shared" si="4"/>
        <v>8.434318676</v>
      </c>
      <c r="Y37" s="3">
        <f t="shared" si="5"/>
        <v>8.36471653</v>
      </c>
      <c r="Z37" s="3">
        <f t="shared" ref="Z37:AA37" si="40">_xlfn.NORM.S.DIST(X37)</f>
        <v>1</v>
      </c>
      <c r="AA37" s="3">
        <f t="shared" si="40"/>
        <v>1</v>
      </c>
    </row>
    <row r="38" ht="14.25" customHeight="1">
      <c r="A38" s="3" t="s">
        <v>148</v>
      </c>
      <c r="B38" s="3" t="s">
        <v>149</v>
      </c>
      <c r="C38" s="3" t="s">
        <v>129</v>
      </c>
      <c r="D38" s="3" t="s">
        <v>29</v>
      </c>
      <c r="E38" s="3">
        <v>42.5</v>
      </c>
      <c r="F38" s="3" t="s">
        <v>27</v>
      </c>
      <c r="G38" s="3">
        <v>31.7</v>
      </c>
      <c r="I38" s="3">
        <v>34.7</v>
      </c>
      <c r="K38" s="3">
        <v>0.0</v>
      </c>
      <c r="L38" s="3">
        <v>0.0</v>
      </c>
      <c r="M38" s="3" t="s">
        <v>67</v>
      </c>
      <c r="N38" s="3">
        <v>1.0</v>
      </c>
      <c r="O38" s="3">
        <v>0.0</v>
      </c>
      <c r="P38" s="3">
        <v>-0.1234</v>
      </c>
      <c r="Q38" s="3">
        <v>0.0</v>
      </c>
      <c r="R38" s="3">
        <v>0.2817</v>
      </c>
      <c r="S38" s="3">
        <v>75.57</v>
      </c>
      <c r="T38" s="3">
        <v>39.0</v>
      </c>
      <c r="U38" s="3">
        <f t="shared" si="2"/>
        <v>33.2</v>
      </c>
      <c r="V38" s="3"/>
      <c r="W38" s="3">
        <f t="shared" si="3"/>
        <v>33.07460403</v>
      </c>
      <c r="X38" s="3">
        <f t="shared" si="4"/>
        <v>5.249983845</v>
      </c>
      <c r="Y38" s="3">
        <f t="shared" si="5"/>
        <v>5.139163658</v>
      </c>
      <c r="Z38" s="3">
        <f t="shared" ref="Z38:AA38" si="41">_xlfn.NORM.S.DIST(X38)</f>
        <v>0.9999999239</v>
      </c>
      <c r="AA38" s="3">
        <f t="shared" si="41"/>
        <v>0.999999862</v>
      </c>
    </row>
    <row r="39" ht="14.25" customHeight="1">
      <c r="A39" s="3" t="s">
        <v>148</v>
      </c>
      <c r="B39" s="3" t="s">
        <v>149</v>
      </c>
      <c r="C39" s="3" t="s">
        <v>129</v>
      </c>
      <c r="D39" s="3" t="s">
        <v>29</v>
      </c>
      <c r="E39" s="3">
        <v>42.5</v>
      </c>
      <c r="F39" s="3" t="s">
        <v>27</v>
      </c>
      <c r="G39" s="3">
        <v>31.75</v>
      </c>
      <c r="I39" s="3">
        <v>34.8</v>
      </c>
      <c r="K39" s="3">
        <v>0.0</v>
      </c>
      <c r="L39" s="3">
        <v>0.0</v>
      </c>
      <c r="M39" s="3" t="s">
        <v>68</v>
      </c>
      <c r="N39" s="3">
        <v>1.0</v>
      </c>
      <c r="O39" s="3">
        <v>0.0</v>
      </c>
      <c r="P39" s="3">
        <v>-0.1234</v>
      </c>
      <c r="Q39" s="3">
        <v>0.0</v>
      </c>
      <c r="R39" s="3">
        <v>0.2213</v>
      </c>
      <c r="S39" s="3">
        <v>75.75</v>
      </c>
      <c r="T39" s="3">
        <v>38.0</v>
      </c>
      <c r="U39" s="3">
        <f t="shared" si="2"/>
        <v>33.275</v>
      </c>
      <c r="V39" s="3"/>
      <c r="W39" s="3">
        <f t="shared" si="3"/>
        <v>33.25448587</v>
      </c>
      <c r="X39" s="3">
        <f t="shared" si="4"/>
        <v>6.76940191</v>
      </c>
      <c r="Y39" s="3">
        <f t="shared" si="5"/>
        <v>6.683466344</v>
      </c>
      <c r="Z39" s="3">
        <f t="shared" ref="Z39:AA39" si="42">_xlfn.NORM.S.DIST(X39)</f>
        <v>1</v>
      </c>
      <c r="AA39" s="3">
        <f t="shared" si="42"/>
        <v>1</v>
      </c>
    </row>
    <row r="40" ht="14.25" customHeight="1">
      <c r="A40" s="3" t="s">
        <v>148</v>
      </c>
      <c r="B40" s="3" t="s">
        <v>149</v>
      </c>
      <c r="C40" s="3" t="s">
        <v>129</v>
      </c>
      <c r="D40" s="3" t="s">
        <v>29</v>
      </c>
      <c r="E40" s="3">
        <v>42.5</v>
      </c>
      <c r="F40" s="3" t="s">
        <v>27</v>
      </c>
      <c r="G40" s="3">
        <v>32.35</v>
      </c>
      <c r="I40" s="3">
        <v>35.3</v>
      </c>
      <c r="K40" s="3">
        <v>0.0</v>
      </c>
      <c r="L40" s="3">
        <v>0.0</v>
      </c>
      <c r="M40" s="3" t="s">
        <v>69</v>
      </c>
      <c r="N40" s="3">
        <v>0.9991</v>
      </c>
      <c r="O40" s="3">
        <v>0.0</v>
      </c>
      <c r="P40" s="3">
        <v>0.3603</v>
      </c>
      <c r="Q40" s="3">
        <v>0.0</v>
      </c>
      <c r="R40" s="3">
        <v>0.2212</v>
      </c>
      <c r="S40" s="3">
        <v>76.32</v>
      </c>
      <c r="T40" s="3">
        <v>37.0</v>
      </c>
      <c r="U40" s="3">
        <f t="shared" si="2"/>
        <v>33.825</v>
      </c>
      <c r="V40" s="3"/>
      <c r="W40" s="3">
        <f t="shared" si="3"/>
        <v>33.82436783</v>
      </c>
      <c r="X40" s="3">
        <f t="shared" si="4"/>
        <v>6.950600176</v>
      </c>
      <c r="Y40" s="3">
        <f t="shared" si="5"/>
        <v>6.865841197</v>
      </c>
      <c r="Z40" s="3">
        <f t="shared" ref="Z40:AA40" si="43">_xlfn.NORM.S.DIST(X40)</f>
        <v>1</v>
      </c>
      <c r="AA40" s="3">
        <f t="shared" si="43"/>
        <v>1</v>
      </c>
    </row>
    <row r="41" ht="14.25" customHeight="1">
      <c r="A41" s="3" t="s">
        <v>148</v>
      </c>
      <c r="B41" s="3" t="s">
        <v>149</v>
      </c>
      <c r="C41" s="3" t="s">
        <v>129</v>
      </c>
      <c r="D41" s="3" t="s">
        <v>29</v>
      </c>
      <c r="E41" s="3">
        <v>42.5</v>
      </c>
      <c r="F41" s="3" t="s">
        <v>27</v>
      </c>
      <c r="G41" s="3">
        <v>33.0</v>
      </c>
      <c r="I41" s="3">
        <v>34.5</v>
      </c>
      <c r="K41" s="3">
        <v>0.0</v>
      </c>
      <c r="L41" s="3">
        <v>0.0</v>
      </c>
      <c r="M41" s="3" t="s">
        <v>70</v>
      </c>
      <c r="N41" s="3">
        <v>0.9985</v>
      </c>
      <c r="O41" s="3">
        <v>0.0</v>
      </c>
      <c r="P41" s="3">
        <v>0.6919</v>
      </c>
      <c r="Q41" s="3">
        <v>7.0E-4</v>
      </c>
      <c r="R41" s="3">
        <v>0.3619</v>
      </c>
      <c r="S41" s="3">
        <v>76.110001</v>
      </c>
      <c r="T41" s="3">
        <v>36.0</v>
      </c>
      <c r="U41" s="3">
        <f t="shared" si="2"/>
        <v>33.75</v>
      </c>
      <c r="V41" s="3"/>
      <c r="W41" s="3">
        <f t="shared" si="3"/>
        <v>33.61426773</v>
      </c>
      <c r="X41" s="3">
        <f t="shared" si="4"/>
        <v>4.328904709</v>
      </c>
      <c r="Y41" s="3">
        <f t="shared" si="5"/>
        <v>4.192119366</v>
      </c>
      <c r="Z41" s="3">
        <f t="shared" ref="Z41:AA41" si="44">_xlfn.NORM.S.DIST(X41)</f>
        <v>0.9999925074</v>
      </c>
      <c r="AA41" s="3">
        <f t="shared" si="44"/>
        <v>0.999986182</v>
      </c>
    </row>
    <row r="42" ht="14.25" customHeight="1">
      <c r="A42" s="3" t="s">
        <v>148</v>
      </c>
      <c r="B42" s="3" t="s">
        <v>149</v>
      </c>
      <c r="C42" s="3" t="s">
        <v>129</v>
      </c>
      <c r="D42" s="3" t="s">
        <v>29</v>
      </c>
      <c r="E42" s="3">
        <v>42.5</v>
      </c>
      <c r="F42" s="3" t="s">
        <v>27</v>
      </c>
      <c r="G42" s="3">
        <v>32.7</v>
      </c>
      <c r="I42" s="3">
        <v>35.55</v>
      </c>
      <c r="K42" s="3">
        <v>0.0</v>
      </c>
      <c r="L42" s="3">
        <v>0.0</v>
      </c>
      <c r="M42" s="3" t="s">
        <v>71</v>
      </c>
      <c r="N42" s="3">
        <v>0.9988</v>
      </c>
      <c r="O42" s="3">
        <v>0.0</v>
      </c>
      <c r="P42" s="3">
        <v>0.5538</v>
      </c>
      <c r="Q42" s="3">
        <v>0.0</v>
      </c>
      <c r="R42" s="3">
        <v>0.2572</v>
      </c>
      <c r="S42" s="3">
        <v>76.699997</v>
      </c>
      <c r="T42" s="3">
        <v>35.0</v>
      </c>
      <c r="U42" s="3">
        <f t="shared" si="2"/>
        <v>34.125</v>
      </c>
      <c r="V42" s="3"/>
      <c r="W42" s="3">
        <f t="shared" si="3"/>
        <v>34.20412874</v>
      </c>
      <c r="X42" s="3">
        <f t="shared" si="4"/>
        <v>6.208361295</v>
      </c>
      <c r="Y42" s="3">
        <f t="shared" si="5"/>
        <v>6.112508515</v>
      </c>
      <c r="Z42" s="3">
        <f t="shared" ref="Z42:AA42" si="45">_xlfn.NORM.S.DIST(X42)</f>
        <v>0.9999999997</v>
      </c>
      <c r="AA42" s="3">
        <f t="shared" si="45"/>
        <v>0.9999999995</v>
      </c>
    </row>
    <row r="43" ht="14.25" customHeight="1">
      <c r="A43" s="3" t="s">
        <v>148</v>
      </c>
      <c r="B43" s="3" t="s">
        <v>149</v>
      </c>
      <c r="C43" s="3" t="s">
        <v>129</v>
      </c>
      <c r="D43" s="3" t="s">
        <v>29</v>
      </c>
      <c r="E43" s="3">
        <v>42.5</v>
      </c>
      <c r="F43" s="3" t="s">
        <v>27</v>
      </c>
      <c r="G43" s="3">
        <v>33.1</v>
      </c>
      <c r="I43" s="3">
        <v>35.8</v>
      </c>
      <c r="K43" s="3">
        <v>0.0</v>
      </c>
      <c r="L43" s="3">
        <v>0.0</v>
      </c>
      <c r="M43" s="3" t="s">
        <v>72</v>
      </c>
      <c r="N43" s="3">
        <v>0.9989</v>
      </c>
      <c r="O43" s="3">
        <v>0.0</v>
      </c>
      <c r="P43" s="3">
        <v>0.5447</v>
      </c>
      <c r="Q43" s="3">
        <v>0.0</v>
      </c>
      <c r="R43" s="3">
        <v>0.1864</v>
      </c>
      <c r="S43" s="3">
        <v>77.199997</v>
      </c>
      <c r="T43" s="3">
        <v>34.0</v>
      </c>
      <c r="U43" s="3">
        <f t="shared" si="2"/>
        <v>34.45</v>
      </c>
      <c r="V43" s="3"/>
      <c r="W43" s="3">
        <f t="shared" si="3"/>
        <v>34.7040107</v>
      </c>
      <c r="X43" s="3">
        <f t="shared" si="4"/>
        <v>8.753537507</v>
      </c>
      <c r="Y43" s="3">
        <f t="shared" si="5"/>
        <v>8.685069908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148</v>
      </c>
      <c r="B44" s="3" t="s">
        <v>149</v>
      </c>
      <c r="C44" s="3" t="s">
        <v>129</v>
      </c>
      <c r="D44" s="3" t="s">
        <v>29</v>
      </c>
      <c r="E44" s="3">
        <v>42.5</v>
      </c>
      <c r="F44" s="3" t="s">
        <v>27</v>
      </c>
      <c r="G44" s="3">
        <v>33.6</v>
      </c>
      <c r="I44" s="3">
        <v>36.65</v>
      </c>
      <c r="K44" s="3">
        <v>0.0</v>
      </c>
      <c r="L44" s="3">
        <v>0.0</v>
      </c>
      <c r="M44" s="3" t="s">
        <v>73</v>
      </c>
      <c r="N44" s="3">
        <v>0.999</v>
      </c>
      <c r="O44" s="3">
        <v>0.0</v>
      </c>
      <c r="P44" s="3">
        <v>0.5352</v>
      </c>
      <c r="Q44" s="3">
        <v>0.0</v>
      </c>
      <c r="R44" s="3">
        <v>0.1933</v>
      </c>
      <c r="S44" s="3">
        <v>77.660004</v>
      </c>
      <c r="T44" s="3">
        <v>33.0</v>
      </c>
      <c r="U44" s="3">
        <f t="shared" si="2"/>
        <v>35.125</v>
      </c>
      <c r="V44" s="3"/>
      <c r="W44" s="3">
        <f t="shared" si="3"/>
        <v>35.16389965</v>
      </c>
      <c r="X44" s="3">
        <f t="shared" si="4"/>
        <v>8.654371889</v>
      </c>
      <c r="Y44" s="3">
        <f t="shared" si="5"/>
        <v>8.584421754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148</v>
      </c>
      <c r="B45" s="3" t="s">
        <v>149</v>
      </c>
      <c r="C45" s="3" t="s">
        <v>129</v>
      </c>
      <c r="D45" s="3" t="s">
        <v>29</v>
      </c>
      <c r="E45" s="3">
        <v>42.5</v>
      </c>
      <c r="F45" s="3" t="s">
        <v>27</v>
      </c>
      <c r="G45" s="3">
        <v>33.4</v>
      </c>
      <c r="I45" s="3">
        <v>36.5</v>
      </c>
      <c r="K45" s="3">
        <v>0.0</v>
      </c>
      <c r="L45" s="3">
        <v>0.0</v>
      </c>
      <c r="M45" s="3" t="s">
        <v>74</v>
      </c>
      <c r="N45" s="3">
        <v>0.999</v>
      </c>
      <c r="O45" s="3">
        <v>0.0</v>
      </c>
      <c r="P45" s="3">
        <v>0.5175</v>
      </c>
      <c r="Q45" s="3">
        <v>0.0</v>
      </c>
      <c r="R45" s="3">
        <v>0.2914</v>
      </c>
      <c r="S45" s="3">
        <v>77.389999</v>
      </c>
      <c r="T45" s="3">
        <v>32.0</v>
      </c>
      <c r="U45" s="3">
        <f t="shared" si="2"/>
        <v>34.95</v>
      </c>
      <c r="V45" s="3"/>
      <c r="W45" s="3">
        <f t="shared" si="3"/>
        <v>34.89377661</v>
      </c>
      <c r="X45" s="3">
        <f t="shared" si="4"/>
        <v>5.824675572</v>
      </c>
      <c r="Y45" s="3">
        <f t="shared" si="5"/>
        <v>5.720835671</v>
      </c>
      <c r="Z45" s="3">
        <f t="shared" ref="Z45:AA45" si="48">_xlfn.NORM.S.DIST(X45)</f>
        <v>0.9999999971</v>
      </c>
      <c r="AA45" s="3">
        <f t="shared" si="48"/>
        <v>0.9999999947</v>
      </c>
    </row>
    <row r="46" ht="14.25" customHeight="1">
      <c r="A46" s="3" t="s">
        <v>148</v>
      </c>
      <c r="B46" s="3" t="s">
        <v>149</v>
      </c>
      <c r="C46" s="3" t="s">
        <v>129</v>
      </c>
      <c r="D46" s="3" t="s">
        <v>29</v>
      </c>
      <c r="E46" s="3">
        <v>42.5</v>
      </c>
      <c r="F46" s="3" t="s">
        <v>27</v>
      </c>
      <c r="G46" s="3">
        <v>33.75</v>
      </c>
      <c r="I46" s="3">
        <v>36.75</v>
      </c>
      <c r="K46" s="3">
        <v>0.0</v>
      </c>
      <c r="L46" s="3">
        <v>0.0</v>
      </c>
      <c r="M46" s="3" t="s">
        <v>75</v>
      </c>
      <c r="N46" s="3">
        <v>0.9991</v>
      </c>
      <c r="O46" s="3">
        <v>0.0</v>
      </c>
      <c r="P46" s="3">
        <v>0.4408</v>
      </c>
      <c r="Q46" s="3">
        <v>0.0</v>
      </c>
      <c r="R46" s="3">
        <v>0.1913</v>
      </c>
      <c r="S46" s="3">
        <v>77.75</v>
      </c>
      <c r="T46" s="3">
        <v>31.0</v>
      </c>
      <c r="U46" s="3">
        <f t="shared" si="2"/>
        <v>35.25</v>
      </c>
      <c r="V46" s="3"/>
      <c r="W46" s="3">
        <f t="shared" si="3"/>
        <v>35.25365956</v>
      </c>
      <c r="X46" s="3">
        <f t="shared" si="4"/>
        <v>9.036798382</v>
      </c>
      <c r="Y46" s="3">
        <f t="shared" si="5"/>
        <v>8.96970255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148</v>
      </c>
      <c r="B47" s="3" t="s">
        <v>149</v>
      </c>
      <c r="C47" s="3" t="s">
        <v>129</v>
      </c>
      <c r="D47" s="3" t="s">
        <v>29</v>
      </c>
      <c r="E47" s="3">
        <v>42.5</v>
      </c>
      <c r="F47" s="3" t="s">
        <v>27</v>
      </c>
      <c r="G47" s="3">
        <v>35.55</v>
      </c>
      <c r="I47" s="3">
        <v>35.7</v>
      </c>
      <c r="K47" s="3">
        <v>0.0</v>
      </c>
      <c r="L47" s="3">
        <v>0.0</v>
      </c>
      <c r="M47" s="3" t="s">
        <v>76</v>
      </c>
      <c r="N47" s="3">
        <v>0.9993</v>
      </c>
      <c r="O47" s="3">
        <v>0.0</v>
      </c>
      <c r="P47" s="3">
        <v>0.3794</v>
      </c>
      <c r="Q47" s="3">
        <v>0.0</v>
      </c>
      <c r="R47" s="3">
        <v>0.1813</v>
      </c>
      <c r="S47" s="3">
        <v>78.190002</v>
      </c>
      <c r="T47" s="3">
        <v>30.0</v>
      </c>
      <c r="U47" s="3">
        <f t="shared" si="2"/>
        <v>35.625</v>
      </c>
      <c r="V47" s="3"/>
      <c r="W47" s="3">
        <f t="shared" si="3"/>
        <v>35.69354352</v>
      </c>
      <c r="X47" s="3">
        <f t="shared" si="4"/>
        <v>9.778323416</v>
      </c>
      <c r="Y47" s="3">
        <f t="shared" si="5"/>
        <v>9.715768973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148</v>
      </c>
      <c r="B48" s="3" t="s">
        <v>149</v>
      </c>
      <c r="C48" s="3" t="s">
        <v>129</v>
      </c>
      <c r="D48" s="3" t="s">
        <v>29</v>
      </c>
      <c r="E48" s="3">
        <v>42.5</v>
      </c>
      <c r="F48" s="3" t="s">
        <v>27</v>
      </c>
      <c r="G48" s="3">
        <v>34.45</v>
      </c>
      <c r="I48" s="3">
        <v>36.95</v>
      </c>
      <c r="K48" s="3">
        <v>0.0</v>
      </c>
      <c r="L48" s="3">
        <v>0.0</v>
      </c>
      <c r="M48" s="3" t="s">
        <v>77</v>
      </c>
      <c r="N48" s="3">
        <v>0.9997</v>
      </c>
      <c r="O48" s="3">
        <v>0.0</v>
      </c>
      <c r="P48" s="3">
        <v>0.1247</v>
      </c>
      <c r="Q48" s="3">
        <v>0.0</v>
      </c>
      <c r="R48" s="3">
        <v>0.184</v>
      </c>
      <c r="S48" s="3">
        <v>78.440002</v>
      </c>
      <c r="T48" s="3">
        <v>29.0</v>
      </c>
      <c r="U48" s="3">
        <f t="shared" si="2"/>
        <v>35.7</v>
      </c>
      <c r="V48" s="3"/>
      <c r="W48" s="3">
        <f t="shared" si="3"/>
        <v>35.94342547</v>
      </c>
      <c r="X48" s="3">
        <f t="shared" si="4"/>
        <v>9.850509157</v>
      </c>
      <c r="Y48" s="3">
        <f t="shared" si="5"/>
        <v>9.788090194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148</v>
      </c>
      <c r="B49" s="3" t="s">
        <v>149</v>
      </c>
      <c r="C49" s="3" t="s">
        <v>129</v>
      </c>
      <c r="D49" s="3" t="s">
        <v>29</v>
      </c>
      <c r="E49" s="3">
        <v>42.5</v>
      </c>
      <c r="F49" s="3" t="s">
        <v>27</v>
      </c>
      <c r="G49" s="3">
        <v>35.25</v>
      </c>
      <c r="I49" s="3">
        <v>36.5</v>
      </c>
      <c r="K49" s="3">
        <v>0.0</v>
      </c>
      <c r="L49" s="3">
        <v>0.0</v>
      </c>
      <c r="M49" s="3" t="s">
        <v>78</v>
      </c>
      <c r="N49" s="3">
        <v>0.9997</v>
      </c>
      <c r="O49" s="3">
        <v>0.0</v>
      </c>
      <c r="P49" s="3">
        <v>0.1245</v>
      </c>
      <c r="Q49" s="3">
        <v>0.0</v>
      </c>
      <c r="R49" s="3">
        <v>0.1545</v>
      </c>
      <c r="S49" s="3">
        <v>78.559998</v>
      </c>
      <c r="T49" s="3">
        <v>28.0</v>
      </c>
      <c r="U49" s="3">
        <f t="shared" si="2"/>
        <v>35.875</v>
      </c>
      <c r="V49" s="3"/>
      <c r="W49" s="3">
        <f t="shared" si="3"/>
        <v>36.06330343</v>
      </c>
      <c r="X49" s="3">
        <f t="shared" si="4"/>
        <v>11.95655273</v>
      </c>
      <c r="Y49" s="3">
        <f t="shared" si="5"/>
        <v>11.90505273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148</v>
      </c>
      <c r="B50" s="3" t="s">
        <v>149</v>
      </c>
      <c r="C50" s="3" t="s">
        <v>129</v>
      </c>
      <c r="D50" s="3" t="s">
        <v>29</v>
      </c>
      <c r="E50" s="3">
        <v>42.5</v>
      </c>
      <c r="F50" s="3" t="s">
        <v>27</v>
      </c>
      <c r="G50" s="3">
        <v>34.5</v>
      </c>
      <c r="I50" s="3">
        <v>37.55</v>
      </c>
      <c r="K50" s="3">
        <v>0.0</v>
      </c>
      <c r="L50" s="3">
        <v>0.0</v>
      </c>
      <c r="M50" s="3" t="s">
        <v>79</v>
      </c>
      <c r="N50" s="3">
        <v>0.9997</v>
      </c>
      <c r="O50" s="3">
        <v>0.0</v>
      </c>
      <c r="P50" s="3">
        <v>0.107</v>
      </c>
      <c r="Q50" s="3">
        <v>0.0</v>
      </c>
      <c r="R50" s="3">
        <v>0.1744</v>
      </c>
      <c r="S50" s="3">
        <v>78.550003</v>
      </c>
      <c r="T50" s="3">
        <v>27.0</v>
      </c>
      <c r="U50" s="3">
        <f t="shared" si="2"/>
        <v>36.025</v>
      </c>
      <c r="V50" s="3"/>
      <c r="W50" s="3">
        <f t="shared" si="3"/>
        <v>36.05319038</v>
      </c>
      <c r="X50" s="3">
        <f t="shared" si="4"/>
        <v>10.78964857</v>
      </c>
      <c r="Y50" s="3">
        <f t="shared" si="5"/>
        <v>10.73256277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148</v>
      </c>
      <c r="B51" s="3" t="s">
        <v>149</v>
      </c>
      <c r="C51" s="3" t="s">
        <v>129</v>
      </c>
      <c r="D51" s="3" t="s">
        <v>29</v>
      </c>
      <c r="E51" s="3">
        <v>42.5</v>
      </c>
      <c r="F51" s="3" t="s">
        <v>27</v>
      </c>
      <c r="G51" s="3">
        <v>35.15</v>
      </c>
      <c r="I51" s="3">
        <v>37.5</v>
      </c>
      <c r="K51" s="3">
        <v>0.0</v>
      </c>
      <c r="L51" s="3">
        <v>0.0</v>
      </c>
      <c r="M51" s="3" t="s">
        <v>80</v>
      </c>
      <c r="N51" s="3">
        <v>0.9997</v>
      </c>
      <c r="O51" s="3">
        <v>0.0</v>
      </c>
      <c r="P51" s="3">
        <v>0.1085</v>
      </c>
      <c r="Q51" s="3">
        <v>0.0</v>
      </c>
      <c r="R51" s="3">
        <v>0.1278</v>
      </c>
      <c r="S51" s="3">
        <v>79.099998</v>
      </c>
      <c r="T51" s="3">
        <v>26.0</v>
      </c>
      <c r="U51" s="3">
        <f t="shared" si="2"/>
        <v>36.325</v>
      </c>
      <c r="V51" s="3"/>
      <c r="W51" s="3">
        <f t="shared" si="3"/>
        <v>36.60306733</v>
      </c>
      <c r="X51" s="3">
        <f t="shared" si="4"/>
        <v>15.15512048</v>
      </c>
      <c r="Y51" s="3">
        <f t="shared" si="5"/>
        <v>15.11407009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148</v>
      </c>
      <c r="B52" s="3" t="s">
        <v>149</v>
      </c>
      <c r="C52" s="3" t="s">
        <v>129</v>
      </c>
      <c r="D52" s="3" t="s">
        <v>29</v>
      </c>
      <c r="E52" s="3">
        <v>42.5</v>
      </c>
      <c r="F52" s="3" t="s">
        <v>27</v>
      </c>
      <c r="G52" s="3">
        <v>35.1</v>
      </c>
      <c r="I52" s="3">
        <v>38.2</v>
      </c>
      <c r="K52" s="3">
        <v>0.0</v>
      </c>
      <c r="L52" s="3">
        <v>0.0</v>
      </c>
      <c r="M52" s="3" t="s">
        <v>81</v>
      </c>
      <c r="N52" s="3">
        <v>0.9997</v>
      </c>
      <c r="O52" s="3">
        <v>0.0</v>
      </c>
      <c r="P52" s="3">
        <v>0.1265</v>
      </c>
      <c r="Q52" s="3">
        <v>0.0</v>
      </c>
      <c r="R52" s="3">
        <v>0.1963</v>
      </c>
      <c r="S52" s="3">
        <v>79.190002</v>
      </c>
      <c r="T52" s="3">
        <v>25.0</v>
      </c>
      <c r="U52" s="3">
        <f t="shared" si="2"/>
        <v>36.65</v>
      </c>
      <c r="V52" s="3"/>
      <c r="W52" s="3">
        <f t="shared" si="3"/>
        <v>36.69295329</v>
      </c>
      <c r="X52" s="3">
        <f t="shared" si="4"/>
        <v>10.09768817</v>
      </c>
      <c r="Y52" s="3">
        <f t="shared" si="5"/>
        <v>10.03585948</v>
      </c>
      <c r="Z52" s="3">
        <f t="shared" ref="Z52:AA52" si="55">_xlfn.NORM.S.DIST(X52)</f>
        <v>1</v>
      </c>
      <c r="AA52" s="3">
        <f t="shared" si="55"/>
        <v>1</v>
      </c>
    </row>
    <row r="53" ht="14.25" customHeight="1">
      <c r="A53" s="3" t="s">
        <v>148</v>
      </c>
      <c r="B53" s="3" t="s">
        <v>149</v>
      </c>
      <c r="C53" s="3" t="s">
        <v>129</v>
      </c>
      <c r="D53" s="3" t="s">
        <v>29</v>
      </c>
      <c r="E53" s="3">
        <v>42.5</v>
      </c>
      <c r="F53" s="3" t="s">
        <v>27</v>
      </c>
      <c r="G53" s="3">
        <v>34.75</v>
      </c>
      <c r="I53" s="3">
        <v>37.75</v>
      </c>
      <c r="K53" s="3">
        <v>0.0</v>
      </c>
      <c r="L53" s="3">
        <v>0.0</v>
      </c>
      <c r="M53" s="3" t="s">
        <v>82</v>
      </c>
      <c r="N53" s="3">
        <v>0.9997</v>
      </c>
      <c r="O53" s="3">
        <v>0.0</v>
      </c>
      <c r="P53" s="3">
        <v>0.1259</v>
      </c>
      <c r="Q53" s="3">
        <v>0.0</v>
      </c>
      <c r="R53" s="3">
        <v>0.1296</v>
      </c>
      <c r="S53" s="3">
        <v>78.809998</v>
      </c>
      <c r="T53" s="3">
        <v>24.0</v>
      </c>
      <c r="U53" s="3">
        <f t="shared" si="2"/>
        <v>36.25</v>
      </c>
      <c r="V53" s="3"/>
      <c r="W53" s="3">
        <f t="shared" si="3"/>
        <v>36.31283124</v>
      </c>
      <c r="X53" s="3">
        <f t="shared" si="4"/>
        <v>15.46182404</v>
      </c>
      <c r="Y53" s="3">
        <f t="shared" si="5"/>
        <v>15.42182861</v>
      </c>
      <c r="Z53" s="3">
        <f t="shared" ref="Z53:AA53" si="56">_xlfn.NORM.S.DIST(X53)</f>
        <v>1</v>
      </c>
      <c r="AA53" s="3">
        <f t="shared" si="56"/>
        <v>1</v>
      </c>
    </row>
    <row r="54" ht="14.25" customHeight="1">
      <c r="A54" s="3" t="s">
        <v>148</v>
      </c>
      <c r="B54" s="3" t="s">
        <v>149</v>
      </c>
      <c r="C54" s="3" t="s">
        <v>129</v>
      </c>
      <c r="D54" s="3" t="s">
        <v>29</v>
      </c>
      <c r="E54" s="3">
        <v>42.5</v>
      </c>
      <c r="F54" s="3" t="s">
        <v>27</v>
      </c>
      <c r="G54" s="3">
        <v>35.75</v>
      </c>
      <c r="I54" s="3">
        <v>37.05</v>
      </c>
      <c r="K54" s="3">
        <v>0.0</v>
      </c>
      <c r="L54" s="3">
        <v>0.0</v>
      </c>
      <c r="M54" s="3" t="s">
        <v>83</v>
      </c>
      <c r="N54" s="3">
        <v>0.9997</v>
      </c>
      <c r="O54" s="3">
        <v>0.0</v>
      </c>
      <c r="P54" s="3">
        <v>0.1255</v>
      </c>
      <c r="Q54" s="3">
        <v>0.0</v>
      </c>
      <c r="R54" s="3">
        <v>0.1841</v>
      </c>
      <c r="S54" s="3">
        <v>78.860001</v>
      </c>
      <c r="T54" s="3">
        <v>23.0</v>
      </c>
      <c r="U54" s="3">
        <f t="shared" si="2"/>
        <v>36.4</v>
      </c>
      <c r="V54" s="3"/>
      <c r="W54" s="3">
        <f t="shared" si="3"/>
        <v>36.36271619</v>
      </c>
      <c r="X54" s="3">
        <f t="shared" si="4"/>
        <v>11.1434733</v>
      </c>
      <c r="Y54" s="3">
        <f t="shared" si="5"/>
        <v>11.08785504</v>
      </c>
      <c r="Z54" s="3">
        <f t="shared" ref="Z54:AA54" si="57">_xlfn.NORM.S.DIST(X54)</f>
        <v>1</v>
      </c>
      <c r="AA54" s="3">
        <f t="shared" si="57"/>
        <v>1</v>
      </c>
    </row>
    <row r="55" ht="14.25" customHeight="1">
      <c r="A55" s="3" t="s">
        <v>148</v>
      </c>
      <c r="B55" s="3" t="s">
        <v>149</v>
      </c>
      <c r="C55" s="3" t="s">
        <v>129</v>
      </c>
      <c r="D55" s="3" t="s">
        <v>29</v>
      </c>
      <c r="E55" s="3">
        <v>42.5</v>
      </c>
      <c r="F55" s="3" t="s">
        <v>27</v>
      </c>
      <c r="G55" s="3">
        <v>35.35</v>
      </c>
      <c r="I55" s="3">
        <v>38.4</v>
      </c>
      <c r="K55" s="3">
        <v>0.0</v>
      </c>
      <c r="L55" s="3">
        <v>0.0</v>
      </c>
      <c r="M55" s="3" t="s">
        <v>84</v>
      </c>
      <c r="N55" s="3">
        <v>0.9997</v>
      </c>
      <c r="O55" s="3">
        <v>0.0</v>
      </c>
      <c r="P55" s="3">
        <v>0.1311</v>
      </c>
      <c r="Q55" s="3">
        <v>0.0</v>
      </c>
      <c r="R55" s="3">
        <v>0.1612</v>
      </c>
      <c r="S55" s="3">
        <v>79.449997</v>
      </c>
      <c r="T55" s="3">
        <v>22.0</v>
      </c>
      <c r="U55" s="3">
        <f t="shared" si="2"/>
        <v>36.875</v>
      </c>
      <c r="V55" s="3"/>
      <c r="W55" s="3">
        <f t="shared" si="3"/>
        <v>36.95259414</v>
      </c>
      <c r="X55" s="3">
        <f t="shared" si="4"/>
        <v>13.16031142</v>
      </c>
      <c r="Y55" s="3">
        <f t="shared" si="5"/>
        <v>13.11268191</v>
      </c>
      <c r="Z55" s="3">
        <f t="shared" ref="Z55:AA55" si="58">_xlfn.NORM.S.DIST(X55)</f>
        <v>1</v>
      </c>
      <c r="AA55" s="3">
        <f t="shared" si="58"/>
        <v>1</v>
      </c>
    </row>
    <row r="56" ht="14.25" customHeight="1">
      <c r="A56" s="3" t="s">
        <v>148</v>
      </c>
      <c r="B56" s="3" t="s">
        <v>149</v>
      </c>
      <c r="C56" s="3" t="s">
        <v>129</v>
      </c>
      <c r="D56" s="3" t="s">
        <v>29</v>
      </c>
      <c r="E56" s="3">
        <v>42.5</v>
      </c>
      <c r="F56" s="3" t="s">
        <v>27</v>
      </c>
      <c r="G56" s="3">
        <v>35.25</v>
      </c>
      <c r="I56" s="3">
        <v>38.0</v>
      </c>
      <c r="K56" s="3">
        <v>0.0</v>
      </c>
      <c r="L56" s="3">
        <v>0.0</v>
      </c>
      <c r="M56" s="3" t="s">
        <v>85</v>
      </c>
      <c r="N56" s="3">
        <v>0.9997</v>
      </c>
      <c r="O56" s="3">
        <v>0.0</v>
      </c>
      <c r="P56" s="3">
        <v>0.1374</v>
      </c>
      <c r="Q56" s="3">
        <v>0.0</v>
      </c>
      <c r="R56" s="3">
        <v>0.186</v>
      </c>
      <c r="S56" s="3">
        <v>79.010002</v>
      </c>
      <c r="T56" s="3">
        <v>21.0</v>
      </c>
      <c r="U56" s="3">
        <f t="shared" si="2"/>
        <v>36.625</v>
      </c>
      <c r="V56" s="3"/>
      <c r="W56" s="3">
        <f t="shared" si="3"/>
        <v>36.51248109</v>
      </c>
      <c r="X56" s="3">
        <f t="shared" si="4"/>
        <v>11.57624928</v>
      </c>
      <c r="Y56" s="3">
        <f t="shared" si="5"/>
        <v>11.52255571</v>
      </c>
      <c r="Z56" s="3">
        <f t="shared" ref="Z56:AA56" si="59">_xlfn.NORM.S.DIST(X56)</f>
        <v>1</v>
      </c>
      <c r="AA56" s="3">
        <f t="shared" si="59"/>
        <v>1</v>
      </c>
    </row>
    <row r="57" ht="14.25" customHeight="1">
      <c r="A57" s="3" t="s">
        <v>148</v>
      </c>
      <c r="B57" s="3" t="s">
        <v>149</v>
      </c>
      <c r="C57" s="3" t="s">
        <v>129</v>
      </c>
      <c r="D57" s="3" t="s">
        <v>29</v>
      </c>
      <c r="E57" s="3">
        <v>42.5</v>
      </c>
      <c r="F57" s="3" t="s">
        <v>27</v>
      </c>
      <c r="G57" s="3">
        <v>36.25</v>
      </c>
      <c r="I57" s="3">
        <v>37.8</v>
      </c>
      <c r="K57" s="3">
        <v>0.0</v>
      </c>
      <c r="L57" s="3">
        <v>0.0</v>
      </c>
      <c r="M57" s="3" t="s">
        <v>86</v>
      </c>
      <c r="N57" s="3">
        <v>0.9998</v>
      </c>
      <c r="O57" s="3">
        <v>0.0</v>
      </c>
      <c r="P57" s="3">
        <v>0.1358</v>
      </c>
      <c r="Q57" s="3">
        <v>0.0</v>
      </c>
      <c r="R57" s="3">
        <v>0.1852</v>
      </c>
      <c r="S57" s="3">
        <v>79.739998</v>
      </c>
      <c r="T57" s="3">
        <v>20.0</v>
      </c>
      <c r="U57" s="3">
        <f t="shared" si="2"/>
        <v>37.025</v>
      </c>
      <c r="V57" s="3"/>
      <c r="W57" s="3">
        <f t="shared" si="3"/>
        <v>37.24235905</v>
      </c>
      <c r="X57" s="3">
        <f t="shared" si="4"/>
        <v>12.08804349</v>
      </c>
      <c r="Y57" s="3">
        <f t="shared" si="5"/>
        <v>12.0358693</v>
      </c>
      <c r="Z57" s="3">
        <f t="shared" ref="Z57:AA57" si="60">_xlfn.NORM.S.DIST(X57)</f>
        <v>1</v>
      </c>
      <c r="AA57" s="3">
        <f t="shared" si="60"/>
        <v>1</v>
      </c>
    </row>
    <row r="58" ht="14.25" customHeight="1">
      <c r="A58" s="3" t="s">
        <v>148</v>
      </c>
      <c r="B58" s="3" t="s">
        <v>149</v>
      </c>
      <c r="C58" s="3" t="s">
        <v>129</v>
      </c>
      <c r="D58" s="3" t="s">
        <v>29</v>
      </c>
      <c r="E58" s="3">
        <v>42.5</v>
      </c>
      <c r="F58" s="3" t="s">
        <v>27</v>
      </c>
      <c r="G58" s="3">
        <v>36.85</v>
      </c>
      <c r="I58" s="3">
        <v>37.45</v>
      </c>
      <c r="K58" s="3">
        <v>0.0</v>
      </c>
      <c r="L58" s="3">
        <v>0.0</v>
      </c>
      <c r="M58" s="3" t="s">
        <v>87</v>
      </c>
      <c r="N58" s="3">
        <v>0.9997</v>
      </c>
      <c r="O58" s="3">
        <v>0.0</v>
      </c>
      <c r="P58" s="3">
        <v>0.1908</v>
      </c>
      <c r="Q58" s="3">
        <v>0.0</v>
      </c>
      <c r="R58" s="3">
        <v>0.205</v>
      </c>
      <c r="S58" s="3">
        <v>79.68</v>
      </c>
      <c r="T58" s="3">
        <v>19.0</v>
      </c>
      <c r="U58" s="3">
        <f t="shared" si="2"/>
        <v>37.15</v>
      </c>
      <c r="V58" s="3"/>
      <c r="W58" s="3">
        <f t="shared" si="3"/>
        <v>37.182243</v>
      </c>
      <c r="X58" s="3">
        <f t="shared" si="4"/>
        <v>11.19475635</v>
      </c>
      <c r="Y58" s="3">
        <f t="shared" si="5"/>
        <v>11.13846647</v>
      </c>
      <c r="Z58" s="3">
        <f t="shared" ref="Z58:AA58" si="61">_xlfn.NORM.S.DIST(X58)</f>
        <v>1</v>
      </c>
      <c r="AA58" s="3">
        <f t="shared" si="61"/>
        <v>1</v>
      </c>
    </row>
    <row r="59" ht="14.25" customHeight="1">
      <c r="A59" s="3" t="s">
        <v>148</v>
      </c>
      <c r="B59" s="3" t="s">
        <v>149</v>
      </c>
      <c r="C59" s="3" t="s">
        <v>129</v>
      </c>
      <c r="D59" s="3" t="s">
        <v>29</v>
      </c>
      <c r="E59" s="3">
        <v>42.5</v>
      </c>
      <c r="F59" s="3" t="s">
        <v>27</v>
      </c>
      <c r="G59" s="3">
        <v>36.75</v>
      </c>
      <c r="I59" s="3">
        <v>39.7</v>
      </c>
      <c r="K59" s="3">
        <v>0.0</v>
      </c>
      <c r="L59" s="3">
        <v>0.0</v>
      </c>
      <c r="M59" s="3" t="s">
        <v>88</v>
      </c>
      <c r="N59" s="3">
        <v>0.9997</v>
      </c>
      <c r="O59" s="3">
        <v>0.0</v>
      </c>
      <c r="P59" s="3">
        <v>0.2385</v>
      </c>
      <c r="Q59" s="3">
        <v>0.0</v>
      </c>
      <c r="R59" s="3">
        <v>0.1596</v>
      </c>
      <c r="S59" s="3">
        <v>80.849998</v>
      </c>
      <c r="T59" s="3">
        <v>18.0</v>
      </c>
      <c r="U59" s="3">
        <f t="shared" si="2"/>
        <v>38.225</v>
      </c>
      <c r="V59" s="3"/>
      <c r="W59" s="3">
        <f t="shared" si="3"/>
        <v>38.35212295</v>
      </c>
      <c r="X59" s="3">
        <f t="shared" si="4"/>
        <v>15.09911623</v>
      </c>
      <c r="Y59" s="3">
        <f t="shared" si="5"/>
        <v>15.05646133</v>
      </c>
      <c r="Z59" s="3">
        <f t="shared" ref="Z59:AA59" si="62">_xlfn.NORM.S.DIST(X59)</f>
        <v>1</v>
      </c>
      <c r="AA59" s="3">
        <f t="shared" si="62"/>
        <v>1</v>
      </c>
    </row>
    <row r="60" ht="14.25" customHeight="1">
      <c r="A60" s="3" t="s">
        <v>148</v>
      </c>
      <c r="B60" s="3" t="s">
        <v>149</v>
      </c>
      <c r="C60" s="3" t="s">
        <v>129</v>
      </c>
      <c r="D60" s="3" t="s">
        <v>29</v>
      </c>
      <c r="E60" s="3">
        <v>42.5</v>
      </c>
      <c r="F60" s="3" t="s">
        <v>27</v>
      </c>
      <c r="G60" s="3">
        <v>37.2</v>
      </c>
      <c r="I60" s="3">
        <v>39.6</v>
      </c>
      <c r="K60" s="3">
        <v>0.0</v>
      </c>
      <c r="L60" s="3">
        <v>0.0</v>
      </c>
      <c r="M60" s="3" t="s">
        <v>89</v>
      </c>
      <c r="N60" s="3">
        <v>0.9997</v>
      </c>
      <c r="O60" s="3">
        <v>0.0</v>
      </c>
      <c r="P60" s="3">
        <v>0.2838</v>
      </c>
      <c r="Q60" s="3">
        <v>0.0</v>
      </c>
      <c r="R60" s="3">
        <v>0.146</v>
      </c>
      <c r="S60" s="3">
        <v>81.269997</v>
      </c>
      <c r="T60" s="3">
        <v>17.0</v>
      </c>
      <c r="U60" s="3">
        <f t="shared" si="2"/>
        <v>38.4</v>
      </c>
      <c r="V60" s="3"/>
      <c r="W60" s="3">
        <f t="shared" si="3"/>
        <v>38.7720039</v>
      </c>
      <c r="X60" s="3">
        <f t="shared" si="4"/>
        <v>17.11566504</v>
      </c>
      <c r="Y60" s="3">
        <f t="shared" si="5"/>
        <v>17.07774428</v>
      </c>
      <c r="Z60" s="3">
        <f t="shared" ref="Z60:AA60" si="63">_xlfn.NORM.S.DIST(X60)</f>
        <v>1</v>
      </c>
      <c r="AA60" s="3">
        <f t="shared" si="63"/>
        <v>1</v>
      </c>
    </row>
    <row r="61" ht="14.25" customHeight="1">
      <c r="A61" s="3" t="s">
        <v>148</v>
      </c>
      <c r="B61" s="3" t="s">
        <v>149</v>
      </c>
      <c r="C61" s="3" t="s">
        <v>129</v>
      </c>
      <c r="D61" s="3" t="s">
        <v>29</v>
      </c>
      <c r="E61" s="3">
        <v>42.5</v>
      </c>
      <c r="F61" s="3" t="s">
        <v>27</v>
      </c>
      <c r="G61" s="3">
        <v>37.65</v>
      </c>
      <c r="I61" s="3">
        <v>40.0</v>
      </c>
      <c r="K61" s="3">
        <v>0.0</v>
      </c>
      <c r="L61" s="3">
        <v>0.0</v>
      </c>
      <c r="M61" s="3" t="s">
        <v>90</v>
      </c>
      <c r="N61" s="3">
        <v>0.9997</v>
      </c>
      <c r="O61" s="3">
        <v>0.0</v>
      </c>
      <c r="P61" s="3">
        <v>0.2851</v>
      </c>
      <c r="Q61" s="3">
        <v>0.0</v>
      </c>
      <c r="R61" s="3">
        <v>0.1414</v>
      </c>
      <c r="S61" s="3">
        <v>81.529999</v>
      </c>
      <c r="T61" s="3">
        <v>16.0</v>
      </c>
      <c r="U61" s="3">
        <f t="shared" si="2"/>
        <v>38.825</v>
      </c>
      <c r="V61" s="3"/>
      <c r="W61" s="3">
        <f t="shared" si="3"/>
        <v>39.03188785</v>
      </c>
      <c r="X61" s="3">
        <f t="shared" si="4"/>
        <v>18.3035696</v>
      </c>
      <c r="Y61" s="3">
        <f t="shared" si="5"/>
        <v>18.26794014</v>
      </c>
      <c r="Z61" s="3">
        <f t="shared" ref="Z61:AA61" si="64">_xlfn.NORM.S.DIST(X61)</f>
        <v>1</v>
      </c>
      <c r="AA61" s="3">
        <f t="shared" si="64"/>
        <v>1</v>
      </c>
    </row>
    <row r="62" ht="14.25" customHeight="1">
      <c r="A62" s="3" t="s">
        <v>148</v>
      </c>
      <c r="B62" s="3" t="s">
        <v>149</v>
      </c>
      <c r="C62" s="3" t="s">
        <v>129</v>
      </c>
      <c r="D62" s="3" t="s">
        <v>29</v>
      </c>
      <c r="E62" s="3">
        <v>42.5</v>
      </c>
      <c r="F62" s="3" t="s">
        <v>27</v>
      </c>
      <c r="G62" s="3">
        <v>37.85</v>
      </c>
      <c r="I62" s="3">
        <v>41.0</v>
      </c>
      <c r="K62" s="3">
        <v>0.0</v>
      </c>
      <c r="L62" s="3">
        <v>0.0</v>
      </c>
      <c r="M62" s="3" t="s">
        <v>91</v>
      </c>
      <c r="N62" s="3">
        <v>0.9997</v>
      </c>
      <c r="O62" s="3">
        <v>0.0</v>
      </c>
      <c r="P62" s="3">
        <v>0.4388</v>
      </c>
      <c r="Q62" s="3">
        <v>0.0</v>
      </c>
      <c r="R62" s="3">
        <v>0.2341</v>
      </c>
      <c r="S62" s="3">
        <v>81.93</v>
      </c>
      <c r="T62" s="3">
        <v>15.0</v>
      </c>
      <c r="U62" s="3">
        <f t="shared" si="2"/>
        <v>39.425</v>
      </c>
      <c r="V62" s="3"/>
      <c r="W62" s="3">
        <f t="shared" si="3"/>
        <v>39.4317708</v>
      </c>
      <c r="X62" s="3">
        <f t="shared" si="4"/>
        <v>11.5212994</v>
      </c>
      <c r="Y62" s="3">
        <f t="shared" si="5"/>
        <v>11.46418485</v>
      </c>
      <c r="Z62" s="3">
        <f t="shared" ref="Z62:AA62" si="65">_xlfn.NORM.S.DIST(X62)</f>
        <v>1</v>
      </c>
      <c r="AA62" s="3">
        <f t="shared" si="65"/>
        <v>1</v>
      </c>
    </row>
    <row r="63" ht="14.25" customHeight="1">
      <c r="A63" s="3" t="s">
        <v>148</v>
      </c>
      <c r="B63" s="3" t="s">
        <v>149</v>
      </c>
      <c r="C63" s="3" t="s">
        <v>129</v>
      </c>
      <c r="D63" s="3" t="s">
        <v>29</v>
      </c>
      <c r="E63" s="3">
        <v>42.5</v>
      </c>
      <c r="F63" s="3" t="s">
        <v>27</v>
      </c>
      <c r="G63" s="3">
        <v>38.6</v>
      </c>
      <c r="I63" s="3">
        <v>41.7</v>
      </c>
      <c r="K63" s="3">
        <v>0.0</v>
      </c>
      <c r="L63" s="3">
        <v>0.0</v>
      </c>
      <c r="M63" s="3" t="s">
        <v>92</v>
      </c>
      <c r="N63" s="3">
        <v>0.9996</v>
      </c>
      <c r="O63" s="3">
        <v>0.0</v>
      </c>
      <c r="P63" s="3">
        <v>0.5111</v>
      </c>
      <c r="Q63" s="3">
        <v>0.0</v>
      </c>
      <c r="R63" s="3">
        <v>0.1717</v>
      </c>
      <c r="S63" s="3">
        <v>82.690002</v>
      </c>
      <c r="T63" s="3">
        <v>14.0</v>
      </c>
      <c r="U63" s="3">
        <f t="shared" si="2"/>
        <v>40.15</v>
      </c>
      <c r="V63" s="3"/>
      <c r="W63" s="3">
        <f t="shared" si="3"/>
        <v>40.19165475</v>
      </c>
      <c r="X63" s="3">
        <f t="shared" si="4"/>
        <v>16.46778207</v>
      </c>
      <c r="Y63" s="3">
        <f t="shared" si="5"/>
        <v>16.42731199</v>
      </c>
      <c r="Z63" s="3">
        <f t="shared" ref="Z63:AA63" si="66">_xlfn.NORM.S.DIST(X63)</f>
        <v>1</v>
      </c>
      <c r="AA63" s="3">
        <f t="shared" si="66"/>
        <v>1</v>
      </c>
    </row>
    <row r="64" ht="14.25" customHeight="1">
      <c r="A64" s="3" t="s">
        <v>148</v>
      </c>
      <c r="B64" s="3" t="s">
        <v>149</v>
      </c>
      <c r="C64" s="3" t="s">
        <v>129</v>
      </c>
      <c r="D64" s="3" t="s">
        <v>29</v>
      </c>
      <c r="E64" s="3">
        <v>42.5</v>
      </c>
      <c r="F64" s="3" t="s">
        <v>27</v>
      </c>
      <c r="G64" s="3">
        <v>38.85</v>
      </c>
      <c r="I64" s="3">
        <v>40.6</v>
      </c>
      <c r="K64" s="3">
        <v>0.0</v>
      </c>
      <c r="L64" s="3">
        <v>0.0</v>
      </c>
      <c r="M64" s="3" t="s">
        <v>93</v>
      </c>
      <c r="N64" s="3">
        <v>0.9996</v>
      </c>
      <c r="O64" s="3">
        <v>0.0</v>
      </c>
      <c r="P64" s="3">
        <v>0.5729</v>
      </c>
      <c r="Q64" s="3">
        <v>0.0</v>
      </c>
      <c r="R64" s="3">
        <v>0.2073</v>
      </c>
      <c r="S64" s="3">
        <v>82.07</v>
      </c>
      <c r="T64" s="3">
        <v>13.0</v>
      </c>
      <c r="U64" s="3">
        <f t="shared" si="2"/>
        <v>39.725</v>
      </c>
      <c r="V64" s="3"/>
      <c r="W64" s="3">
        <f t="shared" si="3"/>
        <v>39.57153469</v>
      </c>
      <c r="X64" s="3">
        <f t="shared" si="4"/>
        <v>14.00087136</v>
      </c>
      <c r="Y64" s="3">
        <f t="shared" si="5"/>
        <v>13.95378764</v>
      </c>
      <c r="Z64" s="3">
        <f t="shared" ref="Z64:AA64" si="67">_xlfn.NORM.S.DIST(X64)</f>
        <v>1</v>
      </c>
      <c r="AA64" s="3">
        <f t="shared" si="67"/>
        <v>1</v>
      </c>
    </row>
    <row r="65" ht="14.25" customHeight="1">
      <c r="A65" s="3" t="s">
        <v>148</v>
      </c>
      <c r="B65" s="3" t="s">
        <v>149</v>
      </c>
      <c r="C65" s="3" t="s">
        <v>129</v>
      </c>
      <c r="D65" s="3" t="s">
        <v>29</v>
      </c>
      <c r="E65" s="3">
        <v>42.5</v>
      </c>
      <c r="F65" s="3" t="s">
        <v>27</v>
      </c>
      <c r="G65" s="3">
        <v>38.35</v>
      </c>
      <c r="I65" s="3">
        <v>41.35</v>
      </c>
      <c r="K65" s="3">
        <v>0.0</v>
      </c>
      <c r="L65" s="3">
        <v>0.0</v>
      </c>
      <c r="M65" s="3" t="s">
        <v>94</v>
      </c>
      <c r="N65" s="3">
        <v>0.9996</v>
      </c>
      <c r="O65" s="3">
        <v>0.0</v>
      </c>
      <c r="P65" s="3">
        <v>0.5939</v>
      </c>
      <c r="Q65" s="3">
        <v>0.0</v>
      </c>
      <c r="R65" s="3">
        <v>0.2434</v>
      </c>
      <c r="S65" s="3">
        <v>82.410004</v>
      </c>
      <c r="T65" s="3">
        <v>12.0</v>
      </c>
      <c r="U65" s="3">
        <f t="shared" si="2"/>
        <v>39.85</v>
      </c>
      <c r="V65" s="3"/>
      <c r="W65" s="3">
        <f t="shared" si="3"/>
        <v>39.91142064</v>
      </c>
      <c r="X65" s="3">
        <f t="shared" si="4"/>
        <v>12.49470433</v>
      </c>
      <c r="Y65" s="3">
        <f t="shared" si="5"/>
        <v>12.4415901</v>
      </c>
      <c r="Z65" s="3">
        <f t="shared" ref="Z65:AA65" si="68">_xlfn.NORM.S.DIST(X65)</f>
        <v>1</v>
      </c>
      <c r="AA65" s="3">
        <f t="shared" si="68"/>
        <v>1</v>
      </c>
    </row>
    <row r="66" ht="14.25" customHeight="1">
      <c r="A66" s="3" t="s">
        <v>148</v>
      </c>
      <c r="B66" s="3" t="s">
        <v>149</v>
      </c>
      <c r="C66" s="3" t="s">
        <v>129</v>
      </c>
      <c r="D66" s="3" t="s">
        <v>29</v>
      </c>
      <c r="E66" s="3">
        <v>42.5</v>
      </c>
      <c r="F66" s="3" t="s">
        <v>27</v>
      </c>
      <c r="G66" s="3">
        <v>37.95</v>
      </c>
      <c r="I66" s="3">
        <v>40.7</v>
      </c>
      <c r="K66" s="3">
        <v>0.0</v>
      </c>
      <c r="L66" s="3">
        <v>0.0</v>
      </c>
      <c r="M66" s="3" t="s">
        <v>95</v>
      </c>
      <c r="N66" s="3">
        <v>0.9997</v>
      </c>
      <c r="O66" s="3">
        <v>0.0</v>
      </c>
      <c r="P66" s="3">
        <v>0.6088</v>
      </c>
      <c r="Q66" s="3">
        <v>0.0</v>
      </c>
      <c r="R66" s="3">
        <v>0.1952</v>
      </c>
      <c r="S66" s="3">
        <v>82.040001</v>
      </c>
      <c r="T66" s="3">
        <v>11.0</v>
      </c>
      <c r="U66" s="3">
        <f t="shared" si="2"/>
        <v>39.325</v>
      </c>
      <c r="V66" s="3"/>
      <c r="W66" s="3">
        <f t="shared" si="3"/>
        <v>39.54129959</v>
      </c>
      <c r="X66" s="3">
        <f t="shared" si="4"/>
        <v>16.14815042</v>
      </c>
      <c r="Y66" s="3">
        <f t="shared" si="5"/>
        <v>16.10736773</v>
      </c>
      <c r="Z66" s="3">
        <f t="shared" ref="Z66:AA66" si="69">_xlfn.NORM.S.DIST(X66)</f>
        <v>1</v>
      </c>
      <c r="AA66" s="3">
        <f t="shared" si="69"/>
        <v>1</v>
      </c>
    </row>
    <row r="67" ht="14.25" customHeight="1">
      <c r="A67" s="3" t="s">
        <v>148</v>
      </c>
      <c r="B67" s="3" t="s">
        <v>149</v>
      </c>
      <c r="C67" s="3" t="s">
        <v>129</v>
      </c>
      <c r="D67" s="3" t="s">
        <v>29</v>
      </c>
      <c r="E67" s="3">
        <v>42.5</v>
      </c>
      <c r="F67" s="3" t="s">
        <v>27</v>
      </c>
      <c r="G67" s="3">
        <v>38.45</v>
      </c>
      <c r="I67" s="3">
        <v>38.65</v>
      </c>
      <c r="K67" s="3">
        <v>0.0</v>
      </c>
      <c r="L67" s="3">
        <v>0.0</v>
      </c>
      <c r="M67" s="3" t="s">
        <v>96</v>
      </c>
      <c r="N67" s="3">
        <v>0.9997</v>
      </c>
      <c r="O67" s="3">
        <v>0.0</v>
      </c>
      <c r="P67" s="3">
        <v>0.6645</v>
      </c>
      <c r="Q67" s="3">
        <v>0.0</v>
      </c>
      <c r="R67" s="3">
        <v>0.168</v>
      </c>
      <c r="S67" s="3">
        <v>81.110001</v>
      </c>
      <c r="T67" s="3">
        <v>10.0</v>
      </c>
      <c r="U67" s="3">
        <f t="shared" si="2"/>
        <v>38.55</v>
      </c>
      <c r="V67" s="3"/>
      <c r="W67" s="3">
        <f t="shared" si="3"/>
        <v>38.61118154</v>
      </c>
      <c r="X67" s="3">
        <f t="shared" si="4"/>
        <v>19.32953505</v>
      </c>
      <c r="Y67" s="3">
        <f t="shared" si="5"/>
        <v>19.29606865</v>
      </c>
      <c r="Z67" s="3">
        <f t="shared" ref="Z67:AA67" si="70">_xlfn.NORM.S.DIST(X67)</f>
        <v>1</v>
      </c>
      <c r="AA67" s="3">
        <f t="shared" si="70"/>
        <v>1</v>
      </c>
    </row>
    <row r="68" ht="14.25" customHeight="1">
      <c r="A68" s="3" t="s">
        <v>148</v>
      </c>
      <c r="B68" s="3" t="s">
        <v>149</v>
      </c>
      <c r="C68" s="3" t="s">
        <v>129</v>
      </c>
      <c r="D68" s="3" t="s">
        <v>29</v>
      </c>
      <c r="E68" s="3">
        <v>42.5</v>
      </c>
      <c r="F68" s="3" t="s">
        <v>27</v>
      </c>
      <c r="G68" s="3">
        <v>38.95</v>
      </c>
      <c r="I68" s="3">
        <v>39.25</v>
      </c>
      <c r="K68" s="3">
        <v>0.0</v>
      </c>
      <c r="L68" s="3">
        <v>0.0</v>
      </c>
      <c r="M68" s="3" t="s">
        <v>97</v>
      </c>
      <c r="N68" s="3">
        <v>0.9997</v>
      </c>
      <c r="O68" s="3">
        <v>0.0</v>
      </c>
      <c r="P68" s="3">
        <v>0.7328</v>
      </c>
      <c r="Q68" s="3">
        <v>0.0</v>
      </c>
      <c r="R68" s="3">
        <v>0.2342</v>
      </c>
      <c r="S68" s="3">
        <v>81.519997</v>
      </c>
      <c r="T68" s="3">
        <v>9.0</v>
      </c>
      <c r="U68" s="3">
        <f t="shared" si="2"/>
        <v>39.1</v>
      </c>
      <c r="V68" s="3"/>
      <c r="W68" s="3">
        <f t="shared" si="3"/>
        <v>39.02105949</v>
      </c>
      <c r="X68" s="3">
        <f t="shared" si="4"/>
        <v>14.73913338</v>
      </c>
      <c r="Y68" s="3">
        <f t="shared" si="5"/>
        <v>14.69487374</v>
      </c>
      <c r="Z68" s="3">
        <f t="shared" ref="Z68:AA68" si="71">_xlfn.NORM.S.DIST(X68)</f>
        <v>1</v>
      </c>
      <c r="AA68" s="3">
        <f t="shared" si="71"/>
        <v>1</v>
      </c>
    </row>
    <row r="69" ht="14.25" customHeight="1">
      <c r="A69" s="3" t="s">
        <v>148</v>
      </c>
      <c r="B69" s="3" t="s">
        <v>149</v>
      </c>
      <c r="C69" s="3" t="s">
        <v>129</v>
      </c>
      <c r="D69" s="3" t="s">
        <v>29</v>
      </c>
      <c r="E69" s="3">
        <v>42.5</v>
      </c>
      <c r="F69" s="3" t="s">
        <v>27</v>
      </c>
      <c r="G69" s="3">
        <v>37.95</v>
      </c>
      <c r="I69" s="3">
        <v>40.9</v>
      </c>
      <c r="K69" s="3">
        <v>0.0</v>
      </c>
      <c r="L69" s="3">
        <v>0.0</v>
      </c>
      <c r="M69" s="3" t="s">
        <v>98</v>
      </c>
      <c r="N69" s="3">
        <v>0.9997</v>
      </c>
      <c r="O69" s="3">
        <v>0.0</v>
      </c>
      <c r="P69" s="3">
        <v>0.738</v>
      </c>
      <c r="Q69" s="3">
        <v>0.0</v>
      </c>
      <c r="R69" s="3">
        <v>0.1711</v>
      </c>
      <c r="S69" s="3">
        <v>82.019997</v>
      </c>
      <c r="T69" s="3">
        <v>8.0</v>
      </c>
      <c r="U69" s="3">
        <f t="shared" si="2"/>
        <v>39.425</v>
      </c>
      <c r="V69" s="3"/>
      <c r="W69" s="3">
        <f t="shared" si="3"/>
        <v>39.52094143</v>
      </c>
      <c r="X69" s="3">
        <f t="shared" si="4"/>
        <v>21.58218757</v>
      </c>
      <c r="Y69" s="3">
        <f t="shared" si="5"/>
        <v>21.55170197</v>
      </c>
      <c r="Z69" s="3">
        <f t="shared" ref="Z69:AA69" si="72">_xlfn.NORM.S.DIST(X69)</f>
        <v>1</v>
      </c>
      <c r="AA69" s="3">
        <f t="shared" si="72"/>
        <v>1</v>
      </c>
    </row>
    <row r="70" ht="14.25" customHeight="1">
      <c r="A70" s="3" t="s">
        <v>148</v>
      </c>
      <c r="B70" s="3" t="s">
        <v>149</v>
      </c>
      <c r="C70" s="3" t="s">
        <v>129</v>
      </c>
      <c r="D70" s="3" t="s">
        <v>29</v>
      </c>
      <c r="E70" s="3">
        <v>42.5</v>
      </c>
      <c r="F70" s="3" t="s">
        <v>27</v>
      </c>
      <c r="G70" s="3">
        <v>39.2</v>
      </c>
      <c r="I70" s="3">
        <v>41.15</v>
      </c>
      <c r="K70" s="3">
        <v>0.0</v>
      </c>
      <c r="L70" s="3">
        <v>0.0</v>
      </c>
      <c r="M70" s="3" t="s">
        <v>99</v>
      </c>
      <c r="N70" s="3">
        <v>0.9998</v>
      </c>
      <c r="O70" s="3">
        <v>0.0</v>
      </c>
      <c r="P70" s="3">
        <v>0.7412</v>
      </c>
      <c r="Q70" s="3">
        <v>0.0</v>
      </c>
      <c r="R70" s="3">
        <v>0.1888</v>
      </c>
      <c r="S70" s="3">
        <v>82.32</v>
      </c>
      <c r="T70" s="3">
        <v>7.0</v>
      </c>
      <c r="U70" s="3">
        <f t="shared" si="2"/>
        <v>40.175</v>
      </c>
      <c r="V70" s="3"/>
      <c r="W70" s="3">
        <f t="shared" si="3"/>
        <v>39.82082638</v>
      </c>
      <c r="X70" s="3">
        <f t="shared" si="4"/>
        <v>21.02620346</v>
      </c>
      <c r="Y70" s="3">
        <f t="shared" si="5"/>
        <v>20.9947368</v>
      </c>
      <c r="Z70" s="3">
        <f t="shared" ref="Z70:AA70" si="73">_xlfn.NORM.S.DIST(X70)</f>
        <v>1</v>
      </c>
      <c r="AA70" s="3">
        <f t="shared" si="73"/>
        <v>1</v>
      </c>
    </row>
    <row r="71" ht="14.25" customHeight="1">
      <c r="A71" s="3" t="s">
        <v>148</v>
      </c>
      <c r="B71" s="3" t="s">
        <v>149</v>
      </c>
      <c r="C71" s="3" t="s">
        <v>129</v>
      </c>
      <c r="D71" s="3" t="s">
        <v>29</v>
      </c>
      <c r="E71" s="3">
        <v>42.5</v>
      </c>
      <c r="F71" s="3" t="s">
        <v>27</v>
      </c>
      <c r="G71" s="3">
        <v>38.6</v>
      </c>
      <c r="I71" s="3">
        <v>41.7</v>
      </c>
      <c r="K71" s="3">
        <v>0.0</v>
      </c>
      <c r="L71" s="3">
        <v>0.0</v>
      </c>
      <c r="M71" s="3" t="s">
        <v>100</v>
      </c>
      <c r="N71" s="3">
        <v>0.9998</v>
      </c>
      <c r="O71" s="3">
        <v>0.0</v>
      </c>
      <c r="P71" s="3">
        <v>0.7456</v>
      </c>
      <c r="Q71" s="3">
        <v>0.0</v>
      </c>
      <c r="R71" s="3">
        <v>0.1854</v>
      </c>
      <c r="S71" s="3">
        <v>82.739998</v>
      </c>
      <c r="T71" s="3">
        <v>6.0</v>
      </c>
      <c r="U71" s="3">
        <f t="shared" si="2"/>
        <v>40.15</v>
      </c>
      <c r="V71" s="3"/>
      <c r="W71" s="3">
        <f t="shared" si="3"/>
        <v>40.24070633</v>
      </c>
      <c r="X71" s="3">
        <f t="shared" si="4"/>
        <v>23.30217544</v>
      </c>
      <c r="Y71" s="3">
        <f t="shared" si="5"/>
        <v>23.2735676</v>
      </c>
      <c r="Z71" s="3">
        <f t="shared" ref="Z71:AA71" si="74">_xlfn.NORM.S.DIST(X71)</f>
        <v>1</v>
      </c>
      <c r="AA71" s="3">
        <f t="shared" si="74"/>
        <v>1</v>
      </c>
    </row>
    <row r="72" ht="14.25" customHeight="1">
      <c r="A72" s="3" t="s">
        <v>148</v>
      </c>
      <c r="B72" s="3" t="s">
        <v>149</v>
      </c>
      <c r="C72" s="3" t="s">
        <v>129</v>
      </c>
      <c r="D72" s="3" t="s">
        <v>29</v>
      </c>
      <c r="E72" s="3">
        <v>42.5</v>
      </c>
      <c r="F72" s="3" t="s">
        <v>27</v>
      </c>
      <c r="G72" s="3">
        <v>37.7</v>
      </c>
      <c r="I72" s="3">
        <v>40.9</v>
      </c>
      <c r="K72" s="3">
        <v>0.0</v>
      </c>
      <c r="L72" s="3">
        <v>0.0</v>
      </c>
      <c r="M72" s="3" t="s">
        <v>101</v>
      </c>
      <c r="N72" s="3">
        <v>1.0</v>
      </c>
      <c r="O72" s="3">
        <v>0.0</v>
      </c>
      <c r="P72" s="3">
        <v>-0.1179</v>
      </c>
      <c r="Q72" s="3">
        <v>0.0</v>
      </c>
      <c r="R72" s="3">
        <v>0.4712</v>
      </c>
      <c r="S72" s="3">
        <v>81.709999</v>
      </c>
      <c r="T72" s="3">
        <v>5.0</v>
      </c>
      <c r="U72" s="3">
        <f t="shared" si="2"/>
        <v>39.3</v>
      </c>
      <c r="V72" s="3"/>
      <c r="W72" s="3">
        <f t="shared" si="3"/>
        <v>39.21058927</v>
      </c>
      <c r="X72" s="3">
        <f t="shared" si="4"/>
        <v>9.881895247</v>
      </c>
      <c r="Y72" s="3">
        <f t="shared" si="5"/>
        <v>9.815522466</v>
      </c>
      <c r="Z72" s="3">
        <f t="shared" ref="Z72:AA72" si="75">_xlfn.NORM.S.DIST(X72)</f>
        <v>1</v>
      </c>
      <c r="AA72" s="3">
        <f t="shared" si="75"/>
        <v>1</v>
      </c>
    </row>
    <row r="73" ht="14.25" customHeight="1">
      <c r="A73" s="3" t="s">
        <v>148</v>
      </c>
      <c r="B73" s="3" t="s">
        <v>149</v>
      </c>
      <c r="C73" s="3" t="s">
        <v>129</v>
      </c>
      <c r="D73" s="3" t="s">
        <v>29</v>
      </c>
      <c r="E73" s="3">
        <v>42.5</v>
      </c>
      <c r="F73" s="3" t="s">
        <v>27</v>
      </c>
      <c r="G73" s="3">
        <v>39.4</v>
      </c>
      <c r="I73" s="3">
        <v>42.25</v>
      </c>
      <c r="K73" s="3">
        <v>0.0</v>
      </c>
      <c r="L73" s="3">
        <v>0.0</v>
      </c>
      <c r="M73" s="3" t="s">
        <v>102</v>
      </c>
      <c r="N73" s="3">
        <v>1.0</v>
      </c>
      <c r="O73" s="3">
        <v>0.0</v>
      </c>
      <c r="P73" s="3">
        <v>-0.1179</v>
      </c>
      <c r="Q73" s="3">
        <v>0.0</v>
      </c>
      <c r="R73" s="3">
        <v>0.3534</v>
      </c>
      <c r="S73" s="3">
        <v>83.440002</v>
      </c>
      <c r="T73" s="3">
        <v>4.0</v>
      </c>
      <c r="U73" s="3">
        <f t="shared" si="2"/>
        <v>40.825</v>
      </c>
      <c r="V73" s="3"/>
      <c r="W73" s="3">
        <f t="shared" si="3"/>
        <v>40.94047422</v>
      </c>
      <c r="X73" s="3">
        <f t="shared" si="4"/>
        <v>15.17435117</v>
      </c>
      <c r="Y73" s="3">
        <f t="shared" si="5"/>
        <v>15.12982695</v>
      </c>
      <c r="Z73" s="3">
        <f t="shared" ref="Z73:AA73" si="76">_xlfn.NORM.S.DIST(X73)</f>
        <v>1</v>
      </c>
      <c r="AA73" s="3">
        <f t="shared" si="76"/>
        <v>1</v>
      </c>
    </row>
    <row r="74" ht="14.25" customHeight="1">
      <c r="A74" s="3" t="s">
        <v>148</v>
      </c>
      <c r="B74" s="3" t="s">
        <v>149</v>
      </c>
      <c r="C74" s="3" t="s">
        <v>129</v>
      </c>
      <c r="D74" s="3" t="s">
        <v>29</v>
      </c>
      <c r="E74" s="3">
        <v>42.5</v>
      </c>
      <c r="F74" s="3" t="s">
        <v>27</v>
      </c>
      <c r="G74" s="3">
        <v>39.85</v>
      </c>
      <c r="I74" s="3">
        <v>43.0</v>
      </c>
      <c r="K74" s="3">
        <v>0.0</v>
      </c>
      <c r="L74" s="3">
        <v>0.0</v>
      </c>
      <c r="M74" s="3" t="s">
        <v>103</v>
      </c>
      <c r="N74" s="3">
        <v>1.0</v>
      </c>
      <c r="O74" s="3">
        <v>0.0</v>
      </c>
      <c r="P74" s="3">
        <v>-0.1179</v>
      </c>
      <c r="Q74" s="3">
        <v>0.0</v>
      </c>
      <c r="R74" s="3">
        <v>0.1757</v>
      </c>
      <c r="S74" s="3">
        <v>83.900002</v>
      </c>
      <c r="T74" s="3">
        <v>3.0</v>
      </c>
      <c r="U74" s="3">
        <f t="shared" si="2"/>
        <v>41.425</v>
      </c>
      <c r="V74" s="3"/>
      <c r="W74" s="3">
        <f t="shared" si="3"/>
        <v>41.40035617</v>
      </c>
      <c r="X74" s="3">
        <f t="shared" si="4"/>
        <v>35.48763559</v>
      </c>
      <c r="Y74" s="3">
        <f t="shared" si="5"/>
        <v>35.46846515</v>
      </c>
      <c r="Z74" s="3">
        <f t="shared" ref="Z74:AA74" si="77">_xlfn.NORM.S.DIST(X74)</f>
        <v>1</v>
      </c>
      <c r="AA74" s="3">
        <f t="shared" si="77"/>
        <v>1</v>
      </c>
    </row>
    <row r="75" ht="14.25" customHeight="1">
      <c r="A75" s="3" t="s">
        <v>148</v>
      </c>
      <c r="B75" s="3" t="s">
        <v>149</v>
      </c>
      <c r="C75" s="3" t="s">
        <v>129</v>
      </c>
      <c r="D75" s="3" t="s">
        <v>29</v>
      </c>
      <c r="E75" s="3">
        <v>42.5</v>
      </c>
      <c r="F75" s="3" t="s">
        <v>27</v>
      </c>
      <c r="G75" s="3">
        <v>39.35</v>
      </c>
      <c r="I75" s="3">
        <v>42.3</v>
      </c>
      <c r="K75" s="3">
        <v>0.0</v>
      </c>
      <c r="L75" s="3">
        <v>0.0</v>
      </c>
      <c r="M75" s="3" t="s">
        <v>104</v>
      </c>
      <c r="N75" s="3">
        <v>1.0</v>
      </c>
      <c r="O75" s="3">
        <v>0.0</v>
      </c>
      <c r="P75" s="3">
        <v>-0.1179</v>
      </c>
      <c r="Q75" s="3">
        <v>0.0</v>
      </c>
      <c r="R75" s="3">
        <v>0.6968</v>
      </c>
      <c r="S75" s="3">
        <v>83.18</v>
      </c>
      <c r="T75" s="3">
        <v>2.0</v>
      </c>
      <c r="U75" s="3">
        <f t="shared" si="2"/>
        <v>40.825</v>
      </c>
      <c r="V75" s="3"/>
      <c r="W75" s="3">
        <f t="shared" si="3"/>
        <v>40.68023611</v>
      </c>
      <c r="X75" s="3">
        <f t="shared" si="4"/>
        <v>10.84857992</v>
      </c>
      <c r="Y75" s="3">
        <f t="shared" si="5"/>
        <v>10.78650404</v>
      </c>
      <c r="Z75" s="3">
        <f t="shared" ref="Z75:AA75" si="78">_xlfn.NORM.S.DIST(X75)</f>
        <v>1</v>
      </c>
      <c r="AA75" s="3">
        <f t="shared" si="78"/>
        <v>1</v>
      </c>
    </row>
    <row r="76" ht="14.25" customHeight="1">
      <c r="A76" s="3" t="s">
        <v>148</v>
      </c>
      <c r="B76" s="3" t="s">
        <v>149</v>
      </c>
      <c r="C76" s="3" t="s">
        <v>129</v>
      </c>
      <c r="D76" s="3" t="s">
        <v>29</v>
      </c>
      <c r="E76" s="3">
        <v>42.5</v>
      </c>
      <c r="F76" s="3" t="s">
        <v>27</v>
      </c>
      <c r="G76" s="3">
        <v>40.25</v>
      </c>
      <c r="I76" s="3">
        <v>43.1</v>
      </c>
      <c r="K76" s="3">
        <v>0.0</v>
      </c>
      <c r="L76" s="3">
        <v>0.0</v>
      </c>
      <c r="M76" s="3" t="s">
        <v>105</v>
      </c>
      <c r="N76" s="3">
        <v>1.0</v>
      </c>
      <c r="O76" s="3">
        <v>0.0</v>
      </c>
      <c r="P76" s="3">
        <v>-0.1179</v>
      </c>
      <c r="Q76" s="3">
        <v>0.0</v>
      </c>
      <c r="R76" s="3">
        <v>1.9879</v>
      </c>
      <c r="S76" s="3">
        <v>84.489998</v>
      </c>
      <c r="T76" s="3">
        <v>1.0</v>
      </c>
      <c r="U76" s="3">
        <f t="shared" si="2"/>
        <v>41.675</v>
      </c>
      <c r="V76" s="3"/>
      <c r="W76" s="3">
        <f t="shared" si="3"/>
        <v>41.99011608</v>
      </c>
      <c r="X76" s="3">
        <f t="shared" si="4"/>
        <v>5.549750222</v>
      </c>
      <c r="Y76" s="3">
        <f t="shared" si="5"/>
        <v>5.424524293</v>
      </c>
      <c r="Z76" s="3">
        <f t="shared" ref="Z76:AA76" si="79">_xlfn.NORM.S.DIST(X76)</f>
        <v>0.9999999857</v>
      </c>
      <c r="AA76" s="3">
        <f t="shared" si="79"/>
        <v>0.9999999709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150</v>
      </c>
      <c r="B2" s="3" t="s">
        <v>151</v>
      </c>
      <c r="C2" s="3" t="s">
        <v>128</v>
      </c>
      <c r="D2" s="3" t="s">
        <v>29</v>
      </c>
      <c r="E2" s="3">
        <v>35.0</v>
      </c>
      <c r="F2" s="3" t="s">
        <v>27</v>
      </c>
      <c r="G2" s="3">
        <v>32.05</v>
      </c>
      <c r="I2" s="3">
        <v>35.85</v>
      </c>
      <c r="K2" s="3">
        <v>0.0</v>
      </c>
      <c r="L2" s="3">
        <v>0.0</v>
      </c>
      <c r="M2" s="3" t="s">
        <v>30</v>
      </c>
      <c r="N2" s="3">
        <v>1.0</v>
      </c>
      <c r="O2" s="3">
        <v>0.0</v>
      </c>
      <c r="P2" s="3">
        <v>-0.1059</v>
      </c>
      <c r="Q2" s="3">
        <v>0.0</v>
      </c>
      <c r="R2" s="3">
        <v>0.1078</v>
      </c>
      <c r="S2" s="3">
        <v>69.389999</v>
      </c>
      <c r="T2" s="3">
        <v>75.0</v>
      </c>
      <c r="U2" s="3">
        <f t="shared" ref="U2:U76" si="2">(I2+G2)*0.5</f>
        <v>33.95</v>
      </c>
      <c r="V2" s="3"/>
      <c r="W2" s="3">
        <f t="shared" ref="W2:W76" si="3">( S2*Z2 ) - ( E2 * EXP(-0.0007*T2/$AC$2) * AA2)</f>
        <v>34.39728991</v>
      </c>
      <c r="X2" s="3">
        <f t="shared" ref="X2:X76" si="4">((LN(S2/E2) + (0.0007 + (R2^2)/2) * T2/$AC$2)) / (R2 * SQRT(T2/$AC$2))</f>
        <v>11.6703888</v>
      </c>
      <c r="Y2" s="3">
        <f t="shared" ref="Y2:Y76" si="5">X2-(R2*SQRT(T2/$AC$2))</f>
        <v>11.61157908</v>
      </c>
      <c r="Z2" s="3">
        <f t="shared" ref="Z2:AA2" si="1">_xlfn.NORM.S.DIST(X2)</f>
        <v>1</v>
      </c>
      <c r="AA2" s="3">
        <f t="shared" si="1"/>
        <v>1</v>
      </c>
      <c r="AC2" s="6">
        <v>252.0</v>
      </c>
    </row>
    <row r="3" ht="14.25" customHeight="1">
      <c r="A3" s="3" t="s">
        <v>150</v>
      </c>
      <c r="B3" s="3" t="s">
        <v>151</v>
      </c>
      <c r="C3" s="3" t="s">
        <v>128</v>
      </c>
      <c r="D3" s="3" t="s">
        <v>29</v>
      </c>
      <c r="E3" s="3">
        <v>35.0</v>
      </c>
      <c r="F3" s="3" t="s">
        <v>27</v>
      </c>
      <c r="G3" s="3">
        <v>32.5</v>
      </c>
      <c r="I3" s="3">
        <v>35.85</v>
      </c>
      <c r="K3" s="3">
        <v>0.0</v>
      </c>
      <c r="L3" s="3">
        <v>0.0</v>
      </c>
      <c r="M3" s="3" t="s">
        <v>31</v>
      </c>
      <c r="N3" s="3">
        <v>1.0</v>
      </c>
      <c r="O3" s="3">
        <v>0.0</v>
      </c>
      <c r="P3" s="3">
        <v>-0.1059</v>
      </c>
      <c r="Q3" s="3">
        <v>0.0</v>
      </c>
      <c r="R3" s="3">
        <v>0.1183</v>
      </c>
      <c r="S3" s="3">
        <v>68.949997</v>
      </c>
      <c r="T3" s="3">
        <v>74.0</v>
      </c>
      <c r="U3" s="3">
        <f t="shared" si="2"/>
        <v>34.175</v>
      </c>
      <c r="V3" s="3"/>
      <c r="W3" s="3">
        <f t="shared" si="3"/>
        <v>33.95719071</v>
      </c>
      <c r="X3" s="3">
        <f t="shared" si="4"/>
        <v>10.61197498</v>
      </c>
      <c r="Y3" s="3">
        <f t="shared" si="5"/>
        <v>10.54786873</v>
      </c>
      <c r="Z3" s="3">
        <f t="shared" ref="Z3:AA3" si="6">_xlfn.NORM.S.DIST(X3)</f>
        <v>1</v>
      </c>
      <c r="AA3" s="3">
        <f t="shared" si="6"/>
        <v>1</v>
      </c>
    </row>
    <row r="4" ht="14.25" customHeight="1">
      <c r="A4" s="3" t="s">
        <v>150</v>
      </c>
      <c r="B4" s="3" t="s">
        <v>151</v>
      </c>
      <c r="C4" s="3" t="s">
        <v>128</v>
      </c>
      <c r="D4" s="3" t="s">
        <v>29</v>
      </c>
      <c r="E4" s="3">
        <v>35.0</v>
      </c>
      <c r="F4" s="3" t="s">
        <v>27</v>
      </c>
      <c r="G4" s="3">
        <v>32.25</v>
      </c>
      <c r="I4" s="3">
        <v>35.6</v>
      </c>
      <c r="K4" s="3">
        <v>0.0</v>
      </c>
      <c r="L4" s="3">
        <v>0.0</v>
      </c>
      <c r="M4" s="3" t="s">
        <v>32</v>
      </c>
      <c r="N4" s="3">
        <v>1.0</v>
      </c>
      <c r="O4" s="3">
        <v>0.0</v>
      </c>
      <c r="P4" s="3">
        <v>-0.1059</v>
      </c>
      <c r="Q4" s="3">
        <v>0.0</v>
      </c>
      <c r="R4" s="3">
        <v>0.0978</v>
      </c>
      <c r="S4" s="3">
        <v>69.089996</v>
      </c>
      <c r="T4" s="3">
        <v>73.0</v>
      </c>
      <c r="U4" s="3">
        <f t="shared" si="2"/>
        <v>33.925</v>
      </c>
      <c r="V4" s="3"/>
      <c r="W4" s="3">
        <f t="shared" si="3"/>
        <v>34.0970925</v>
      </c>
      <c r="X4" s="3">
        <f t="shared" si="4"/>
        <v>12.94975205</v>
      </c>
      <c r="Y4" s="3">
        <f t="shared" si="5"/>
        <v>12.89711397</v>
      </c>
      <c r="Z4" s="3">
        <f t="shared" ref="Z4:AA4" si="7">_xlfn.NORM.S.DIST(X4)</f>
        <v>1</v>
      </c>
      <c r="AA4" s="3">
        <f t="shared" si="7"/>
        <v>1</v>
      </c>
    </row>
    <row r="5" ht="14.25" customHeight="1">
      <c r="A5" s="3" t="s">
        <v>150</v>
      </c>
      <c r="B5" s="3" t="s">
        <v>151</v>
      </c>
      <c r="C5" s="3" t="s">
        <v>128</v>
      </c>
      <c r="D5" s="3" t="s">
        <v>29</v>
      </c>
      <c r="E5" s="3">
        <v>35.0</v>
      </c>
      <c r="F5" s="3" t="s">
        <v>27</v>
      </c>
      <c r="G5" s="3">
        <v>31.8</v>
      </c>
      <c r="I5" s="3">
        <v>35.4</v>
      </c>
      <c r="K5" s="3">
        <v>0.0</v>
      </c>
      <c r="L5" s="3">
        <v>0.0</v>
      </c>
      <c r="M5" s="3" t="s">
        <v>33</v>
      </c>
      <c r="N5" s="3">
        <v>1.0</v>
      </c>
      <c r="O5" s="3">
        <v>0.0</v>
      </c>
      <c r="P5" s="3">
        <v>-0.1059</v>
      </c>
      <c r="Q5" s="3">
        <v>0.0</v>
      </c>
      <c r="R5" s="3">
        <v>0.1041</v>
      </c>
      <c r="S5" s="3">
        <v>68.620003</v>
      </c>
      <c r="T5" s="3">
        <v>72.0</v>
      </c>
      <c r="U5" s="3">
        <f t="shared" si="2"/>
        <v>33.6</v>
      </c>
      <c r="V5" s="3"/>
      <c r="W5" s="3">
        <f t="shared" si="3"/>
        <v>33.6270023</v>
      </c>
      <c r="X5" s="3">
        <f t="shared" si="4"/>
        <v>12.13044849</v>
      </c>
      <c r="Y5" s="3">
        <f t="shared" si="5"/>
        <v>12.0748047</v>
      </c>
      <c r="Z5" s="3">
        <f t="shared" ref="Z5:AA5" si="8">_xlfn.NORM.S.DIST(X5)</f>
        <v>1</v>
      </c>
      <c r="AA5" s="3">
        <f t="shared" si="8"/>
        <v>1</v>
      </c>
    </row>
    <row r="6" ht="14.25" customHeight="1">
      <c r="A6" s="3" t="s">
        <v>150</v>
      </c>
      <c r="B6" s="3" t="s">
        <v>151</v>
      </c>
      <c r="C6" s="3" t="s">
        <v>128</v>
      </c>
      <c r="D6" s="3" t="s">
        <v>29</v>
      </c>
      <c r="E6" s="3">
        <v>35.0</v>
      </c>
      <c r="F6" s="3" t="s">
        <v>27</v>
      </c>
      <c r="G6" s="3">
        <v>31.95</v>
      </c>
      <c r="I6" s="3">
        <v>35.15</v>
      </c>
      <c r="K6" s="3">
        <v>0.0</v>
      </c>
      <c r="L6" s="3">
        <v>0.0</v>
      </c>
      <c r="M6" s="3" t="s">
        <v>34</v>
      </c>
      <c r="N6" s="3">
        <v>1.0</v>
      </c>
      <c r="O6" s="3">
        <v>0.0</v>
      </c>
      <c r="P6" s="3">
        <v>-0.1059</v>
      </c>
      <c r="Q6" s="3">
        <v>0.0</v>
      </c>
      <c r="R6" s="3">
        <v>0.1061</v>
      </c>
      <c r="S6" s="3">
        <v>68.510002</v>
      </c>
      <c r="T6" s="3">
        <v>71.0</v>
      </c>
      <c r="U6" s="3">
        <f t="shared" si="2"/>
        <v>33.55</v>
      </c>
      <c r="V6" s="3"/>
      <c r="W6" s="3">
        <f t="shared" si="3"/>
        <v>33.5169041</v>
      </c>
      <c r="X6" s="3">
        <f t="shared" si="4"/>
        <v>11.95744343</v>
      </c>
      <c r="Y6" s="3">
        <f t="shared" si="5"/>
        <v>11.90112581</v>
      </c>
      <c r="Z6" s="3">
        <f t="shared" ref="Z6:AA6" si="9">_xlfn.NORM.S.DIST(X6)</f>
        <v>1</v>
      </c>
      <c r="AA6" s="3">
        <f t="shared" si="9"/>
        <v>1</v>
      </c>
    </row>
    <row r="7" ht="14.25" customHeight="1">
      <c r="A7" s="3" t="s">
        <v>150</v>
      </c>
      <c r="B7" s="3" t="s">
        <v>151</v>
      </c>
      <c r="C7" s="3" t="s">
        <v>128</v>
      </c>
      <c r="D7" s="3" t="s">
        <v>29</v>
      </c>
      <c r="E7" s="3">
        <v>35.0</v>
      </c>
      <c r="F7" s="3" t="s">
        <v>27</v>
      </c>
      <c r="G7" s="3">
        <v>32.3</v>
      </c>
      <c r="I7" s="3">
        <v>35.5</v>
      </c>
      <c r="K7" s="3">
        <v>0.0</v>
      </c>
      <c r="L7" s="3">
        <v>0.0</v>
      </c>
      <c r="M7" s="3" t="s">
        <v>35</v>
      </c>
      <c r="N7" s="3">
        <v>0.9971</v>
      </c>
      <c r="O7" s="3">
        <v>0.0</v>
      </c>
      <c r="P7" s="3">
        <v>0.6097</v>
      </c>
      <c r="Q7" s="3">
        <v>0.0</v>
      </c>
      <c r="R7" s="3">
        <v>0.2021</v>
      </c>
      <c r="S7" s="3">
        <v>68.879997</v>
      </c>
      <c r="T7" s="3">
        <v>70.0</v>
      </c>
      <c r="U7" s="3">
        <f t="shared" si="2"/>
        <v>33.9</v>
      </c>
      <c r="V7" s="3"/>
      <c r="W7" s="3">
        <f t="shared" si="3"/>
        <v>33.88680189</v>
      </c>
      <c r="X7" s="3">
        <f t="shared" si="4"/>
        <v>6.411099718</v>
      </c>
      <c r="Y7" s="3">
        <f t="shared" si="5"/>
        <v>6.304583665</v>
      </c>
      <c r="Z7" s="3">
        <f t="shared" ref="Z7:AA7" si="10">_xlfn.NORM.S.DIST(X7)</f>
        <v>0.9999999999</v>
      </c>
      <c r="AA7" s="3">
        <f t="shared" si="10"/>
        <v>0.9999999999</v>
      </c>
    </row>
    <row r="8" ht="14.25" customHeight="1">
      <c r="A8" s="3" t="s">
        <v>150</v>
      </c>
      <c r="B8" s="3" t="s">
        <v>151</v>
      </c>
      <c r="C8" s="3" t="s">
        <v>128</v>
      </c>
      <c r="D8" s="3" t="s">
        <v>29</v>
      </c>
      <c r="E8" s="3">
        <v>35.0</v>
      </c>
      <c r="F8" s="3" t="s">
        <v>27</v>
      </c>
      <c r="G8" s="3">
        <v>32.2</v>
      </c>
      <c r="I8" s="3">
        <v>35.75</v>
      </c>
      <c r="K8" s="3">
        <v>0.0</v>
      </c>
      <c r="L8" s="3">
        <v>0.0</v>
      </c>
      <c r="M8" s="3" t="s">
        <v>36</v>
      </c>
      <c r="N8" s="3">
        <v>0.9976</v>
      </c>
      <c r="O8" s="3">
        <v>0.0</v>
      </c>
      <c r="P8" s="3">
        <v>0.514</v>
      </c>
      <c r="Q8" s="3">
        <v>0.0</v>
      </c>
      <c r="R8" s="3">
        <v>0.1249</v>
      </c>
      <c r="S8" s="3">
        <v>69.269997</v>
      </c>
      <c r="T8" s="3">
        <v>69.0</v>
      </c>
      <c r="U8" s="3">
        <f t="shared" si="2"/>
        <v>33.975</v>
      </c>
      <c r="V8" s="3"/>
      <c r="W8" s="3">
        <f t="shared" si="3"/>
        <v>34.27670469</v>
      </c>
      <c r="X8" s="3">
        <f t="shared" si="4"/>
        <v>10.48089264</v>
      </c>
      <c r="Y8" s="3">
        <f t="shared" si="5"/>
        <v>10.41553645</v>
      </c>
      <c r="Z8" s="3">
        <f t="shared" ref="Z8:AA8" si="11">_xlfn.NORM.S.DIST(X8)</f>
        <v>1</v>
      </c>
      <c r="AA8" s="3">
        <f t="shared" si="11"/>
        <v>1</v>
      </c>
    </row>
    <row r="9" ht="14.25" customHeight="1">
      <c r="A9" s="3" t="s">
        <v>150</v>
      </c>
      <c r="B9" s="3" t="s">
        <v>151</v>
      </c>
      <c r="C9" s="3" t="s">
        <v>128</v>
      </c>
      <c r="D9" s="3" t="s">
        <v>29</v>
      </c>
      <c r="E9" s="3">
        <v>35.0</v>
      </c>
      <c r="F9" s="3" t="s">
        <v>27</v>
      </c>
      <c r="G9" s="3">
        <v>32.5</v>
      </c>
      <c r="I9" s="3">
        <v>35.8</v>
      </c>
      <c r="K9" s="3">
        <v>0.0</v>
      </c>
      <c r="L9" s="3">
        <v>0.0</v>
      </c>
      <c r="M9" s="3" t="s">
        <v>37</v>
      </c>
      <c r="N9" s="3">
        <v>1.0</v>
      </c>
      <c r="O9" s="3">
        <v>0.0</v>
      </c>
      <c r="P9" s="3">
        <v>-0.1059</v>
      </c>
      <c r="Q9" s="3">
        <v>0.0</v>
      </c>
      <c r="R9" s="3">
        <v>0.0898</v>
      </c>
      <c r="S9" s="3">
        <v>69.220001</v>
      </c>
      <c r="T9" s="3">
        <v>68.0</v>
      </c>
      <c r="U9" s="3">
        <f t="shared" si="2"/>
        <v>34.15</v>
      </c>
      <c r="V9" s="3"/>
      <c r="W9" s="3">
        <f t="shared" si="3"/>
        <v>34.22661149</v>
      </c>
      <c r="X9" s="3">
        <f t="shared" si="4"/>
        <v>14.64634341</v>
      </c>
      <c r="Y9" s="3">
        <f t="shared" si="5"/>
        <v>14.59969568</v>
      </c>
      <c r="Z9" s="3">
        <f t="shared" ref="Z9:AA9" si="12">_xlfn.NORM.S.DIST(X9)</f>
        <v>1</v>
      </c>
      <c r="AA9" s="3">
        <f t="shared" si="12"/>
        <v>1</v>
      </c>
    </row>
    <row r="10" ht="14.25" customHeight="1">
      <c r="A10" s="3" t="s">
        <v>150</v>
      </c>
      <c r="B10" s="3" t="s">
        <v>151</v>
      </c>
      <c r="C10" s="3" t="s">
        <v>128</v>
      </c>
      <c r="D10" s="3" t="s">
        <v>29</v>
      </c>
      <c r="E10" s="3">
        <v>35.0</v>
      </c>
      <c r="F10" s="3" t="s">
        <v>27</v>
      </c>
      <c r="G10" s="3">
        <v>32.95</v>
      </c>
      <c r="I10" s="3">
        <v>36.45</v>
      </c>
      <c r="K10" s="3">
        <v>0.0</v>
      </c>
      <c r="L10" s="3">
        <v>0.0</v>
      </c>
      <c r="M10" s="3" t="s">
        <v>38</v>
      </c>
      <c r="N10" s="3">
        <v>0.9958</v>
      </c>
      <c r="O10" s="3">
        <v>0.0</v>
      </c>
      <c r="P10" s="3">
        <v>0.9594</v>
      </c>
      <c r="Q10" s="3">
        <v>0.0223</v>
      </c>
      <c r="R10" s="3">
        <v>0.3834</v>
      </c>
      <c r="S10" s="3">
        <v>69.629997</v>
      </c>
      <c r="T10" s="3">
        <v>67.0</v>
      </c>
      <c r="U10" s="3">
        <f t="shared" si="2"/>
        <v>34.7</v>
      </c>
      <c r="V10" s="3"/>
      <c r="W10" s="3">
        <f t="shared" si="3"/>
        <v>34.63712463</v>
      </c>
      <c r="X10" s="3">
        <f t="shared" si="4"/>
        <v>3.579175468</v>
      </c>
      <c r="Y10" s="3">
        <f t="shared" si="5"/>
        <v>3.381483402</v>
      </c>
      <c r="Z10" s="3">
        <f t="shared" ref="Z10:AA10" si="13">_xlfn.NORM.S.DIST(X10)</f>
        <v>0.99982766</v>
      </c>
      <c r="AA10" s="3">
        <f t="shared" si="13"/>
        <v>0.9996395221</v>
      </c>
    </row>
    <row r="11" ht="14.25" customHeight="1">
      <c r="A11" s="3" t="s">
        <v>150</v>
      </c>
      <c r="B11" s="3" t="s">
        <v>151</v>
      </c>
      <c r="C11" s="3" t="s">
        <v>128</v>
      </c>
      <c r="D11" s="3" t="s">
        <v>29</v>
      </c>
      <c r="E11" s="3">
        <v>35.0</v>
      </c>
      <c r="F11" s="3" t="s">
        <v>27</v>
      </c>
      <c r="G11" s="3">
        <v>32.65</v>
      </c>
      <c r="I11" s="3">
        <v>36.6</v>
      </c>
      <c r="K11" s="3">
        <v>0.0</v>
      </c>
      <c r="L11" s="3">
        <v>0.0</v>
      </c>
      <c r="M11" s="3" t="s">
        <v>39</v>
      </c>
      <c r="N11" s="3">
        <v>0.995</v>
      </c>
      <c r="O11" s="3">
        <v>2.0E-4</v>
      </c>
      <c r="P11" s="3">
        <v>0.8434</v>
      </c>
      <c r="Q11" s="3">
        <v>0.1247</v>
      </c>
      <c r="R11" s="3">
        <v>0.4575</v>
      </c>
      <c r="S11" s="3">
        <v>69.879997</v>
      </c>
      <c r="T11" s="3">
        <v>66.0</v>
      </c>
      <c r="U11" s="3">
        <f t="shared" si="2"/>
        <v>34.625</v>
      </c>
      <c r="V11" s="3"/>
      <c r="W11" s="3">
        <f t="shared" si="3"/>
        <v>34.89158392</v>
      </c>
      <c r="X11" s="3">
        <f t="shared" si="4"/>
        <v>3.071004904</v>
      </c>
      <c r="Y11" s="3">
        <f t="shared" si="5"/>
        <v>2.836871815</v>
      </c>
      <c r="Z11" s="3">
        <f t="shared" ref="Z11:AA11" si="14">_xlfn.NORM.S.DIST(X11)</f>
        <v>0.9989333018</v>
      </c>
      <c r="AA11" s="3">
        <f t="shared" si="14"/>
        <v>0.9977221051</v>
      </c>
    </row>
    <row r="12" ht="14.25" customHeight="1">
      <c r="A12" s="3" t="s">
        <v>150</v>
      </c>
      <c r="B12" s="3" t="s">
        <v>151</v>
      </c>
      <c r="C12" s="3" t="s">
        <v>128</v>
      </c>
      <c r="D12" s="3" t="s">
        <v>29</v>
      </c>
      <c r="E12" s="3">
        <v>35.0</v>
      </c>
      <c r="F12" s="3" t="s">
        <v>27</v>
      </c>
      <c r="G12" s="3">
        <v>32.3</v>
      </c>
      <c r="I12" s="3">
        <v>35.85</v>
      </c>
      <c r="K12" s="3">
        <v>0.0</v>
      </c>
      <c r="L12" s="3">
        <v>0.0</v>
      </c>
      <c r="M12" s="3" t="s">
        <v>40</v>
      </c>
      <c r="N12" s="3">
        <v>0.9954</v>
      </c>
      <c r="O12" s="3">
        <v>1.0E-4</v>
      </c>
      <c r="P12" s="3">
        <v>0.9044</v>
      </c>
      <c r="Q12" s="3">
        <v>0.0786</v>
      </c>
      <c r="R12" s="3">
        <v>0.4329</v>
      </c>
      <c r="S12" s="3">
        <v>69.339996</v>
      </c>
      <c r="T12" s="3">
        <v>65.0</v>
      </c>
      <c r="U12" s="3">
        <f t="shared" si="2"/>
        <v>34.075</v>
      </c>
      <c r="V12" s="3"/>
      <c r="W12" s="3">
        <f t="shared" si="3"/>
        <v>34.34908722</v>
      </c>
      <c r="X12" s="3">
        <f t="shared" si="4"/>
        <v>3.220353741</v>
      </c>
      <c r="Y12" s="3">
        <f t="shared" si="5"/>
        <v>3.00049487</v>
      </c>
      <c r="Z12" s="3">
        <f t="shared" ref="Z12:AA12" si="15">_xlfn.NORM.S.DIST(X12)</f>
        <v>0.9993598375</v>
      </c>
      <c r="AA12" s="3">
        <f t="shared" si="15"/>
        <v>0.9986522935</v>
      </c>
    </row>
    <row r="13" ht="14.25" customHeight="1">
      <c r="A13" s="3" t="s">
        <v>150</v>
      </c>
      <c r="B13" s="3" t="s">
        <v>151</v>
      </c>
      <c r="C13" s="3" t="s">
        <v>128</v>
      </c>
      <c r="D13" s="3" t="s">
        <v>29</v>
      </c>
      <c r="E13" s="3">
        <v>35.0</v>
      </c>
      <c r="F13" s="3" t="s">
        <v>27</v>
      </c>
      <c r="G13" s="3">
        <v>32.7</v>
      </c>
      <c r="I13" s="3">
        <v>36.55</v>
      </c>
      <c r="K13" s="3">
        <v>0.0</v>
      </c>
      <c r="L13" s="3">
        <v>0.0</v>
      </c>
      <c r="M13" s="3" t="s">
        <v>41</v>
      </c>
      <c r="N13" s="3">
        <v>0.9887</v>
      </c>
      <c r="O13" s="3">
        <v>0.001</v>
      </c>
      <c r="P13" s="3">
        <v>0.1618</v>
      </c>
      <c r="Q13" s="3">
        <v>0.709</v>
      </c>
      <c r="R13" s="3">
        <v>0.5947</v>
      </c>
      <c r="S13" s="3">
        <v>69.669998</v>
      </c>
      <c r="T13" s="3">
        <v>64.0</v>
      </c>
      <c r="U13" s="3">
        <f t="shared" si="2"/>
        <v>34.625</v>
      </c>
      <c r="V13" s="3"/>
      <c r="W13" s="3">
        <f t="shared" si="3"/>
        <v>34.73028528</v>
      </c>
      <c r="X13" s="3">
        <f t="shared" si="4"/>
        <v>2.447474774</v>
      </c>
      <c r="Y13" s="3">
        <f t="shared" si="5"/>
        <v>2.147774144</v>
      </c>
      <c r="Z13" s="3">
        <f t="shared" ref="Z13:AA13" si="16">_xlfn.NORM.S.DIST(X13)</f>
        <v>0.9928069402</v>
      </c>
      <c r="AA13" s="3">
        <f t="shared" si="16"/>
        <v>0.984134149</v>
      </c>
    </row>
    <row r="14" ht="14.25" customHeight="1">
      <c r="A14" s="3" t="s">
        <v>150</v>
      </c>
      <c r="B14" s="3" t="s">
        <v>151</v>
      </c>
      <c r="C14" s="3" t="s">
        <v>128</v>
      </c>
      <c r="D14" s="3" t="s">
        <v>29</v>
      </c>
      <c r="E14" s="3">
        <v>35.0</v>
      </c>
      <c r="F14" s="3" t="s">
        <v>27</v>
      </c>
      <c r="G14" s="3">
        <v>32.5</v>
      </c>
      <c r="I14" s="3">
        <v>36.35</v>
      </c>
      <c r="K14" s="3">
        <v>0.0</v>
      </c>
      <c r="L14" s="3">
        <v>0.0</v>
      </c>
      <c r="M14" s="3" t="s">
        <v>42</v>
      </c>
      <c r="N14" s="3">
        <v>0.9961</v>
      </c>
      <c r="O14" s="3">
        <v>0.0</v>
      </c>
      <c r="P14" s="3">
        <v>0.9809</v>
      </c>
      <c r="Q14" s="3">
        <v>0.0</v>
      </c>
      <c r="R14" s="3">
        <v>0.2597</v>
      </c>
      <c r="S14" s="3">
        <v>69.940002</v>
      </c>
      <c r="T14" s="3">
        <v>63.0</v>
      </c>
      <c r="U14" s="3">
        <f t="shared" si="2"/>
        <v>34.425</v>
      </c>
      <c r="V14" s="3"/>
      <c r="W14" s="3">
        <f t="shared" si="3"/>
        <v>34.94612652</v>
      </c>
      <c r="X14" s="3">
        <f t="shared" si="4"/>
        <v>5.397729765</v>
      </c>
      <c r="Y14" s="3">
        <f t="shared" si="5"/>
        <v>5.267879765</v>
      </c>
      <c r="Z14" s="3">
        <f t="shared" ref="Z14:AA14" si="17">_xlfn.NORM.S.DIST(X14)</f>
        <v>0.9999999663</v>
      </c>
      <c r="AA14" s="3">
        <f t="shared" si="17"/>
        <v>0.999999931</v>
      </c>
    </row>
    <row r="15" ht="14.25" customHeight="1">
      <c r="A15" s="3" t="s">
        <v>150</v>
      </c>
      <c r="B15" s="3" t="s">
        <v>151</v>
      </c>
      <c r="C15" s="3" t="s">
        <v>128</v>
      </c>
      <c r="D15" s="3" t="s">
        <v>29</v>
      </c>
      <c r="E15" s="3">
        <v>35.0</v>
      </c>
      <c r="F15" s="3" t="s">
        <v>27</v>
      </c>
      <c r="G15" s="3">
        <v>33.25</v>
      </c>
      <c r="I15" s="3">
        <v>36.5</v>
      </c>
      <c r="K15" s="3">
        <v>0.0</v>
      </c>
      <c r="L15" s="3">
        <v>0.0</v>
      </c>
      <c r="M15" s="3" t="s">
        <v>43</v>
      </c>
      <c r="N15" s="3">
        <v>0.997</v>
      </c>
      <c r="O15" s="3">
        <v>0.0</v>
      </c>
      <c r="P15" s="3">
        <v>0.7675</v>
      </c>
      <c r="Q15" s="3">
        <v>0.0</v>
      </c>
      <c r="R15" s="3">
        <v>0.2166</v>
      </c>
      <c r="S15" s="3">
        <v>69.949997</v>
      </c>
      <c r="T15" s="3">
        <v>62.0</v>
      </c>
      <c r="U15" s="3">
        <f t="shared" si="2"/>
        <v>34.875</v>
      </c>
      <c r="V15" s="3"/>
      <c r="W15" s="3">
        <f t="shared" si="3"/>
        <v>34.95602426</v>
      </c>
      <c r="X15" s="3">
        <f t="shared" si="4"/>
        <v>6.500329777</v>
      </c>
      <c r="Y15" s="3">
        <f t="shared" si="5"/>
        <v>6.392892739</v>
      </c>
      <c r="Z15" s="3">
        <f t="shared" ref="Z15:AA15" si="18">_xlfn.NORM.S.DIST(X15)</f>
        <v>1</v>
      </c>
      <c r="AA15" s="3">
        <f t="shared" si="18"/>
        <v>0.9999999999</v>
      </c>
    </row>
    <row r="16" ht="14.25" customHeight="1">
      <c r="A16" s="3" t="s">
        <v>150</v>
      </c>
      <c r="B16" s="3" t="s">
        <v>151</v>
      </c>
      <c r="C16" s="3" t="s">
        <v>128</v>
      </c>
      <c r="D16" s="3" t="s">
        <v>29</v>
      </c>
      <c r="E16" s="3">
        <v>35.0</v>
      </c>
      <c r="F16" s="3" t="s">
        <v>27</v>
      </c>
      <c r="G16" s="3">
        <v>33.3</v>
      </c>
      <c r="I16" s="3">
        <v>37.2</v>
      </c>
      <c r="K16" s="3">
        <v>0.0</v>
      </c>
      <c r="L16" s="3">
        <v>0.0</v>
      </c>
      <c r="M16" s="3" t="s">
        <v>44</v>
      </c>
      <c r="N16" s="3">
        <v>0.9972</v>
      </c>
      <c r="O16" s="3">
        <v>0.0</v>
      </c>
      <c r="P16" s="3">
        <v>0.7209</v>
      </c>
      <c r="Q16" s="3">
        <v>0.0</v>
      </c>
      <c r="R16" s="3">
        <v>0.2843</v>
      </c>
      <c r="S16" s="3">
        <v>70.690002</v>
      </c>
      <c r="T16" s="3">
        <v>61.0</v>
      </c>
      <c r="U16" s="3">
        <f t="shared" si="2"/>
        <v>35.25</v>
      </c>
      <c r="V16" s="3"/>
      <c r="W16" s="3">
        <f t="shared" si="3"/>
        <v>35.69593237</v>
      </c>
      <c r="X16" s="3">
        <f t="shared" si="4"/>
        <v>5.096734889</v>
      </c>
      <c r="Y16" s="3">
        <f t="shared" si="5"/>
        <v>4.956859436</v>
      </c>
      <c r="Z16" s="3">
        <f t="shared" ref="Z16:AA16" si="19">_xlfn.NORM.S.DIST(X16)</f>
        <v>0.9999998272</v>
      </c>
      <c r="AA16" s="3">
        <f t="shared" si="19"/>
        <v>0.9999996418</v>
      </c>
    </row>
    <row r="17" ht="14.25" customHeight="1">
      <c r="A17" s="3" t="s">
        <v>150</v>
      </c>
      <c r="B17" s="3" t="s">
        <v>151</v>
      </c>
      <c r="C17" s="3" t="s">
        <v>128</v>
      </c>
      <c r="D17" s="3" t="s">
        <v>29</v>
      </c>
      <c r="E17" s="3">
        <v>35.0</v>
      </c>
      <c r="F17" s="3" t="s">
        <v>27</v>
      </c>
      <c r="G17" s="3">
        <v>33.25</v>
      </c>
      <c r="I17" s="3">
        <v>37.15</v>
      </c>
      <c r="K17" s="3">
        <v>0.0</v>
      </c>
      <c r="L17" s="3">
        <v>0.0</v>
      </c>
      <c r="M17" s="3" t="s">
        <v>45</v>
      </c>
      <c r="N17" s="3">
        <v>0.9975</v>
      </c>
      <c r="O17" s="3">
        <v>0.0</v>
      </c>
      <c r="P17" s="3">
        <v>0.6574</v>
      </c>
      <c r="Q17" s="3">
        <v>0.0</v>
      </c>
      <c r="R17" s="3">
        <v>0.2286</v>
      </c>
      <c r="S17" s="3">
        <v>70.419998</v>
      </c>
      <c r="T17" s="3">
        <v>60.0</v>
      </c>
      <c r="U17" s="3">
        <f t="shared" si="2"/>
        <v>35.2</v>
      </c>
      <c r="V17" s="3"/>
      <c r="W17" s="3">
        <f t="shared" si="3"/>
        <v>35.42583085</v>
      </c>
      <c r="X17" s="3">
        <f t="shared" si="4"/>
        <v>6.324933285</v>
      </c>
      <c r="Y17" s="3">
        <f t="shared" si="5"/>
        <v>6.213387906</v>
      </c>
      <c r="Z17" s="3">
        <f t="shared" ref="Z17:AA17" si="20">_xlfn.NORM.S.DIST(X17)</f>
        <v>0.9999999999</v>
      </c>
      <c r="AA17" s="3">
        <f t="shared" si="20"/>
        <v>0.9999999997</v>
      </c>
    </row>
    <row r="18" ht="14.25" customHeight="1">
      <c r="A18" s="3" t="s">
        <v>150</v>
      </c>
      <c r="B18" s="3" t="s">
        <v>151</v>
      </c>
      <c r="C18" s="3" t="s">
        <v>128</v>
      </c>
      <c r="D18" s="3" t="s">
        <v>29</v>
      </c>
      <c r="E18" s="3">
        <v>35.0</v>
      </c>
      <c r="F18" s="3" t="s">
        <v>27</v>
      </c>
      <c r="G18" s="3">
        <v>35.7</v>
      </c>
      <c r="I18" s="3">
        <v>40.1</v>
      </c>
      <c r="K18" s="3">
        <v>0.0</v>
      </c>
      <c r="L18" s="3">
        <v>0.0</v>
      </c>
      <c r="M18" s="3" t="s">
        <v>46</v>
      </c>
      <c r="N18" s="3">
        <v>0.9977</v>
      </c>
      <c r="O18" s="3">
        <v>0.0</v>
      </c>
      <c r="P18" s="3">
        <v>0.6153</v>
      </c>
      <c r="Q18" s="3">
        <v>0.0</v>
      </c>
      <c r="R18" s="3">
        <v>0.1809</v>
      </c>
      <c r="S18" s="3">
        <v>73.25</v>
      </c>
      <c r="T18" s="3">
        <v>59.0</v>
      </c>
      <c r="U18" s="3">
        <f t="shared" si="2"/>
        <v>37.9</v>
      </c>
      <c r="V18" s="3"/>
      <c r="W18" s="3">
        <f t="shared" si="3"/>
        <v>38.25573564</v>
      </c>
      <c r="X18" s="3">
        <f t="shared" si="4"/>
        <v>8.482946975</v>
      </c>
      <c r="Y18" s="3">
        <f t="shared" si="5"/>
        <v>8.395415489</v>
      </c>
      <c r="Z18" s="3">
        <f t="shared" ref="Z18:AA18" si="21">_xlfn.NORM.S.DIST(X18)</f>
        <v>1</v>
      </c>
      <c r="AA18" s="3">
        <f t="shared" si="21"/>
        <v>1</v>
      </c>
    </row>
    <row r="19" ht="14.25" customHeight="1">
      <c r="A19" s="3" t="s">
        <v>150</v>
      </c>
      <c r="B19" s="3" t="s">
        <v>151</v>
      </c>
      <c r="C19" s="3" t="s">
        <v>128</v>
      </c>
      <c r="D19" s="3" t="s">
        <v>29</v>
      </c>
      <c r="E19" s="3">
        <v>35.0</v>
      </c>
      <c r="F19" s="3" t="s">
        <v>27</v>
      </c>
      <c r="G19" s="3">
        <v>36.6</v>
      </c>
      <c r="I19" s="3">
        <v>40.55</v>
      </c>
      <c r="K19" s="3">
        <v>0.0</v>
      </c>
      <c r="L19" s="3">
        <v>0.0</v>
      </c>
      <c r="M19" s="3" t="s">
        <v>47</v>
      </c>
      <c r="N19" s="3">
        <v>0.9983</v>
      </c>
      <c r="O19" s="3">
        <v>0.0</v>
      </c>
      <c r="P19" s="3">
        <v>0.4537</v>
      </c>
      <c r="Q19" s="3">
        <v>0.0</v>
      </c>
      <c r="R19" s="3">
        <v>0.2674</v>
      </c>
      <c r="S19" s="3">
        <v>73.769997</v>
      </c>
      <c r="T19" s="3">
        <v>58.0</v>
      </c>
      <c r="U19" s="3">
        <f t="shared" si="2"/>
        <v>38.575</v>
      </c>
      <c r="V19" s="3"/>
      <c r="W19" s="3">
        <f t="shared" si="3"/>
        <v>38.77563544</v>
      </c>
      <c r="X19" s="3">
        <f t="shared" si="4"/>
        <v>5.877498903</v>
      </c>
      <c r="Y19" s="3">
        <f t="shared" si="5"/>
        <v>5.749214125</v>
      </c>
      <c r="Z19" s="3">
        <f t="shared" ref="Z19:AA19" si="22">_xlfn.NORM.S.DIST(X19)</f>
        <v>0.9999999979</v>
      </c>
      <c r="AA19" s="3">
        <f t="shared" si="22"/>
        <v>0.9999999955</v>
      </c>
    </row>
    <row r="20" ht="14.25" customHeight="1">
      <c r="A20" s="3" t="s">
        <v>150</v>
      </c>
      <c r="B20" s="3" t="s">
        <v>151</v>
      </c>
      <c r="C20" s="3" t="s">
        <v>128</v>
      </c>
      <c r="D20" s="3" t="s">
        <v>29</v>
      </c>
      <c r="E20" s="3">
        <v>35.0</v>
      </c>
      <c r="F20" s="3" t="s">
        <v>27</v>
      </c>
      <c r="G20" s="3">
        <v>37.85</v>
      </c>
      <c r="I20" s="3">
        <v>41.95</v>
      </c>
      <c r="K20" s="3">
        <v>0.0</v>
      </c>
      <c r="L20" s="3">
        <v>0.0</v>
      </c>
      <c r="M20" s="3" t="s">
        <v>48</v>
      </c>
      <c r="N20" s="3">
        <v>0.9983</v>
      </c>
      <c r="O20" s="3">
        <v>0.0</v>
      </c>
      <c r="P20" s="3">
        <v>0.4836</v>
      </c>
      <c r="Q20" s="3">
        <v>0.0</v>
      </c>
      <c r="R20" s="3">
        <v>0.2937</v>
      </c>
      <c r="S20" s="3">
        <v>75.0</v>
      </c>
      <c r="T20" s="3">
        <v>57.0</v>
      </c>
      <c r="U20" s="3">
        <f t="shared" si="2"/>
        <v>39.9</v>
      </c>
      <c r="V20" s="3"/>
      <c r="W20" s="3">
        <f t="shared" si="3"/>
        <v>40.00554126</v>
      </c>
      <c r="X20" s="3">
        <f t="shared" si="4"/>
        <v>5.527217348</v>
      </c>
      <c r="Y20" s="3">
        <f t="shared" si="5"/>
        <v>5.387535136</v>
      </c>
      <c r="Z20" s="3">
        <f t="shared" ref="Z20:AA20" si="23">_xlfn.NORM.S.DIST(X20)</f>
        <v>0.9999999837</v>
      </c>
      <c r="AA20" s="3">
        <f t="shared" si="23"/>
        <v>0.9999999643</v>
      </c>
    </row>
    <row r="21" ht="14.25" customHeight="1">
      <c r="A21" s="3" t="s">
        <v>150</v>
      </c>
      <c r="B21" s="3" t="s">
        <v>151</v>
      </c>
      <c r="C21" s="3" t="s">
        <v>128</v>
      </c>
      <c r="D21" s="3" t="s">
        <v>29</v>
      </c>
      <c r="E21" s="3">
        <v>35.0</v>
      </c>
      <c r="F21" s="3" t="s">
        <v>27</v>
      </c>
      <c r="G21" s="3">
        <v>38.25</v>
      </c>
      <c r="I21" s="3">
        <v>42.05</v>
      </c>
      <c r="K21" s="3">
        <v>0.0</v>
      </c>
      <c r="L21" s="3">
        <v>0.0</v>
      </c>
      <c r="M21" s="3" t="s">
        <v>49</v>
      </c>
      <c r="N21" s="3">
        <v>0.9983</v>
      </c>
      <c r="O21" s="3">
        <v>0.0</v>
      </c>
      <c r="P21" s="3">
        <v>0.4637</v>
      </c>
      <c r="Q21" s="3">
        <v>0.0</v>
      </c>
      <c r="R21" s="3">
        <v>0.2916</v>
      </c>
      <c r="S21" s="3">
        <v>75.080002</v>
      </c>
      <c r="T21" s="3">
        <v>56.0</v>
      </c>
      <c r="U21" s="3">
        <f t="shared" si="2"/>
        <v>40.15</v>
      </c>
      <c r="V21" s="3"/>
      <c r="W21" s="3">
        <f t="shared" si="3"/>
        <v>40.08544604</v>
      </c>
      <c r="X21" s="3">
        <f t="shared" si="4"/>
        <v>5.622005033</v>
      </c>
      <c r="Y21" s="3">
        <f t="shared" si="5"/>
        <v>5.484543475</v>
      </c>
      <c r="Z21" s="3">
        <f t="shared" ref="Z21:AA21" si="24">_xlfn.NORM.S.DIST(X21)</f>
        <v>0.9999999906</v>
      </c>
      <c r="AA21" s="3">
        <f t="shared" si="24"/>
        <v>0.9999999793</v>
      </c>
    </row>
    <row r="22" ht="14.25" customHeight="1">
      <c r="A22" s="3" t="s">
        <v>150</v>
      </c>
      <c r="B22" s="3" t="s">
        <v>151</v>
      </c>
      <c r="C22" s="3" t="s">
        <v>128</v>
      </c>
      <c r="D22" s="3" t="s">
        <v>29</v>
      </c>
      <c r="E22" s="3">
        <v>35.0</v>
      </c>
      <c r="F22" s="3" t="s">
        <v>27</v>
      </c>
      <c r="G22" s="3">
        <v>37.8</v>
      </c>
      <c r="I22" s="3">
        <v>41.9</v>
      </c>
      <c r="K22" s="3">
        <v>0.0</v>
      </c>
      <c r="L22" s="3">
        <v>0.0</v>
      </c>
      <c r="M22" s="3" t="s">
        <v>50</v>
      </c>
      <c r="N22" s="3">
        <v>0.9984</v>
      </c>
      <c r="O22" s="3">
        <v>0.0</v>
      </c>
      <c r="P22" s="3">
        <v>0.4414</v>
      </c>
      <c r="Q22" s="3">
        <v>0.0</v>
      </c>
      <c r="R22" s="3">
        <v>0.2675</v>
      </c>
      <c r="S22" s="3">
        <v>75.160004</v>
      </c>
      <c r="T22" s="3">
        <v>55.0</v>
      </c>
      <c r="U22" s="3">
        <f t="shared" si="2"/>
        <v>39.85</v>
      </c>
      <c r="V22" s="3"/>
      <c r="W22" s="3">
        <f t="shared" si="3"/>
        <v>40.16535081</v>
      </c>
      <c r="X22" s="3">
        <f t="shared" si="4"/>
        <v>6.179357272</v>
      </c>
      <c r="Y22" s="3">
        <f t="shared" si="5"/>
        <v>6.054387534</v>
      </c>
      <c r="Z22" s="3">
        <f t="shared" ref="Z22:AA22" si="25">_xlfn.NORM.S.DIST(X22)</f>
        <v>0.9999999997</v>
      </c>
      <c r="AA22" s="3">
        <f t="shared" si="25"/>
        <v>0.9999999993</v>
      </c>
    </row>
    <row r="23" ht="14.25" customHeight="1">
      <c r="A23" s="3" t="s">
        <v>150</v>
      </c>
      <c r="B23" s="3" t="s">
        <v>151</v>
      </c>
      <c r="C23" s="3" t="s">
        <v>129</v>
      </c>
      <c r="D23" s="3" t="s">
        <v>29</v>
      </c>
      <c r="E23" s="3">
        <v>35.0</v>
      </c>
      <c r="F23" s="3" t="s">
        <v>27</v>
      </c>
      <c r="G23" s="3">
        <v>38.5</v>
      </c>
      <c r="I23" s="3">
        <v>42.45</v>
      </c>
      <c r="K23" s="3">
        <v>0.0</v>
      </c>
      <c r="L23" s="3">
        <v>0.0</v>
      </c>
      <c r="M23" s="3" t="s">
        <v>52</v>
      </c>
      <c r="N23" s="3">
        <v>0.9985</v>
      </c>
      <c r="O23" s="3">
        <v>0.0</v>
      </c>
      <c r="P23" s="3">
        <v>0.4488</v>
      </c>
      <c r="Q23" s="3">
        <v>0.0</v>
      </c>
      <c r="R23" s="3">
        <v>0.2278</v>
      </c>
      <c r="S23" s="3">
        <v>75.919998</v>
      </c>
      <c r="T23" s="3">
        <v>54.0</v>
      </c>
      <c r="U23" s="3">
        <f t="shared" si="2"/>
        <v>40.475</v>
      </c>
      <c r="V23" s="3"/>
      <c r="W23" s="3">
        <f t="shared" si="3"/>
        <v>40.92524761</v>
      </c>
      <c r="X23" s="3">
        <f t="shared" si="4"/>
        <v>7.397205186</v>
      </c>
      <c r="Y23" s="3">
        <f t="shared" si="5"/>
        <v>7.291754277</v>
      </c>
      <c r="Z23" s="3">
        <f t="shared" ref="Z23:AA23" si="26">_xlfn.NORM.S.DIST(X23)</f>
        <v>1</v>
      </c>
      <c r="AA23" s="3">
        <f t="shared" si="26"/>
        <v>1</v>
      </c>
    </row>
    <row r="24" ht="14.25" customHeight="1">
      <c r="A24" s="3" t="s">
        <v>150</v>
      </c>
      <c r="B24" s="3" t="s">
        <v>151</v>
      </c>
      <c r="C24" s="3" t="s">
        <v>129</v>
      </c>
      <c r="D24" s="3" t="s">
        <v>29</v>
      </c>
      <c r="E24" s="3">
        <v>35.0</v>
      </c>
      <c r="F24" s="3" t="s">
        <v>27</v>
      </c>
      <c r="G24" s="3">
        <v>38.55</v>
      </c>
      <c r="I24" s="3">
        <v>41.75</v>
      </c>
      <c r="K24" s="3">
        <v>0.0</v>
      </c>
      <c r="L24" s="3">
        <v>0.0</v>
      </c>
      <c r="M24" s="3" t="s">
        <v>53</v>
      </c>
      <c r="N24" s="3">
        <v>0.9985</v>
      </c>
      <c r="O24" s="3">
        <v>0.0</v>
      </c>
      <c r="P24" s="3">
        <v>0.4374</v>
      </c>
      <c r="Q24" s="3">
        <v>0.0</v>
      </c>
      <c r="R24" s="3">
        <v>0.2529</v>
      </c>
      <c r="S24" s="3">
        <v>75.25</v>
      </c>
      <c r="T24" s="3">
        <v>53.0</v>
      </c>
      <c r="U24" s="3">
        <f t="shared" si="2"/>
        <v>40.15</v>
      </c>
      <c r="V24" s="3"/>
      <c r="W24" s="3">
        <f t="shared" si="3"/>
        <v>40.2551524</v>
      </c>
      <c r="X24" s="3">
        <f t="shared" si="4"/>
        <v>6.65920695</v>
      </c>
      <c r="Y24" s="3">
        <f t="shared" si="5"/>
        <v>6.543226045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150</v>
      </c>
      <c r="B25" s="3" t="s">
        <v>151</v>
      </c>
      <c r="C25" s="3" t="s">
        <v>129</v>
      </c>
      <c r="D25" s="3" t="s">
        <v>29</v>
      </c>
      <c r="E25" s="3">
        <v>35.0</v>
      </c>
      <c r="F25" s="3" t="s">
        <v>27</v>
      </c>
      <c r="G25" s="3">
        <v>39.25</v>
      </c>
      <c r="I25" s="3">
        <v>43.05</v>
      </c>
      <c r="K25" s="3">
        <v>0.0</v>
      </c>
      <c r="L25" s="3">
        <v>0.0</v>
      </c>
      <c r="M25" s="3" t="s">
        <v>54</v>
      </c>
      <c r="N25" s="3">
        <v>0.9986</v>
      </c>
      <c r="O25" s="3">
        <v>0.0</v>
      </c>
      <c r="P25" s="3">
        <v>0.4339</v>
      </c>
      <c r="Q25" s="3">
        <v>1.0E-4</v>
      </c>
      <c r="R25" s="3">
        <v>0.3651</v>
      </c>
      <c r="S25" s="3">
        <v>75.699997</v>
      </c>
      <c r="T25" s="3">
        <v>52.0</v>
      </c>
      <c r="U25" s="3">
        <f t="shared" si="2"/>
        <v>41.15</v>
      </c>
      <c r="V25" s="3"/>
      <c r="W25" s="3">
        <f t="shared" si="3"/>
        <v>40.70505496</v>
      </c>
      <c r="X25" s="3">
        <f t="shared" si="4"/>
        <v>4.735191597</v>
      </c>
      <c r="Y25" s="3">
        <f t="shared" si="5"/>
        <v>4.569342453</v>
      </c>
      <c r="Z25" s="3">
        <f t="shared" ref="Z25:AA25" si="28">_xlfn.NORM.S.DIST(X25)</f>
        <v>0.9999989058</v>
      </c>
      <c r="AA25" s="3">
        <f t="shared" si="28"/>
        <v>0.9999975537</v>
      </c>
    </row>
    <row r="26" ht="14.25" customHeight="1">
      <c r="A26" s="3" t="s">
        <v>150</v>
      </c>
      <c r="B26" s="3" t="s">
        <v>151</v>
      </c>
      <c r="C26" s="3" t="s">
        <v>129</v>
      </c>
      <c r="D26" s="3" t="s">
        <v>29</v>
      </c>
      <c r="E26" s="3">
        <v>35.0</v>
      </c>
      <c r="F26" s="3" t="s">
        <v>27</v>
      </c>
      <c r="G26" s="3">
        <v>38.8</v>
      </c>
      <c r="I26" s="3">
        <v>42.35</v>
      </c>
      <c r="K26" s="3">
        <v>0.0</v>
      </c>
      <c r="L26" s="3">
        <v>0.0</v>
      </c>
      <c r="M26" s="3" t="s">
        <v>55</v>
      </c>
      <c r="N26" s="3">
        <v>0.9986</v>
      </c>
      <c r="O26" s="3">
        <v>0.0</v>
      </c>
      <c r="P26" s="3">
        <v>0.4439</v>
      </c>
      <c r="Q26" s="3">
        <v>0.0</v>
      </c>
      <c r="R26" s="3">
        <v>0.2345</v>
      </c>
      <c r="S26" s="3">
        <v>76.150002</v>
      </c>
      <c r="T26" s="3">
        <v>51.0</v>
      </c>
      <c r="U26" s="3">
        <f t="shared" si="2"/>
        <v>40.575</v>
      </c>
      <c r="V26" s="3"/>
      <c r="W26" s="3">
        <f t="shared" si="3"/>
        <v>41.15495998</v>
      </c>
      <c r="X26" s="3">
        <f t="shared" si="4"/>
        <v>7.422823778</v>
      </c>
      <c r="Y26" s="3">
        <f t="shared" si="5"/>
        <v>7.317329801</v>
      </c>
      <c r="Z26" s="3">
        <f t="shared" ref="Z26:AA26" si="29">_xlfn.NORM.S.DIST(X26)</f>
        <v>1</v>
      </c>
      <c r="AA26" s="3">
        <f t="shared" si="29"/>
        <v>1</v>
      </c>
    </row>
    <row r="27" ht="14.25" customHeight="1">
      <c r="A27" s="3" t="s">
        <v>150</v>
      </c>
      <c r="B27" s="3" t="s">
        <v>151</v>
      </c>
      <c r="C27" s="3" t="s">
        <v>129</v>
      </c>
      <c r="D27" s="3" t="s">
        <v>29</v>
      </c>
      <c r="E27" s="3">
        <v>35.0</v>
      </c>
      <c r="F27" s="3" t="s">
        <v>27</v>
      </c>
      <c r="G27" s="3">
        <v>40.8</v>
      </c>
      <c r="I27" s="3">
        <v>41.35</v>
      </c>
      <c r="K27" s="3">
        <v>0.0</v>
      </c>
      <c r="L27" s="3">
        <v>0.0</v>
      </c>
      <c r="M27" s="3" t="s">
        <v>56</v>
      </c>
      <c r="N27" s="3">
        <v>0.9986</v>
      </c>
      <c r="O27" s="3">
        <v>0.0</v>
      </c>
      <c r="P27" s="3">
        <v>0.4332</v>
      </c>
      <c r="Q27" s="3">
        <v>0.0</v>
      </c>
      <c r="R27" s="3">
        <v>0.3143</v>
      </c>
      <c r="S27" s="3">
        <v>76.150002</v>
      </c>
      <c r="T27" s="3">
        <v>50.0</v>
      </c>
      <c r="U27" s="3">
        <f t="shared" si="2"/>
        <v>41.075</v>
      </c>
      <c r="V27" s="3"/>
      <c r="W27" s="3">
        <f t="shared" si="3"/>
        <v>41.15486279</v>
      </c>
      <c r="X27" s="3">
        <f t="shared" si="4"/>
        <v>5.623528779</v>
      </c>
      <c r="Y27" s="3">
        <f t="shared" si="5"/>
        <v>5.483528431</v>
      </c>
      <c r="Z27" s="3">
        <f t="shared" ref="Z27:AA27" si="30">_xlfn.NORM.S.DIST(X27)</f>
        <v>0.9999999906</v>
      </c>
      <c r="AA27" s="3">
        <f t="shared" si="30"/>
        <v>0.9999999792</v>
      </c>
    </row>
    <row r="28" ht="14.25" customHeight="1">
      <c r="A28" s="3" t="s">
        <v>150</v>
      </c>
      <c r="B28" s="3" t="s">
        <v>151</v>
      </c>
      <c r="C28" s="3" t="s">
        <v>129</v>
      </c>
      <c r="D28" s="3" t="s">
        <v>29</v>
      </c>
      <c r="E28" s="3">
        <v>35.0</v>
      </c>
      <c r="F28" s="3" t="s">
        <v>27</v>
      </c>
      <c r="G28" s="3">
        <v>39.15</v>
      </c>
      <c r="I28" s="3">
        <v>41.6</v>
      </c>
      <c r="K28" s="3">
        <v>0.0</v>
      </c>
      <c r="L28" s="3">
        <v>0.0</v>
      </c>
      <c r="M28" s="3" t="s">
        <v>57</v>
      </c>
      <c r="N28" s="3">
        <v>0.9987</v>
      </c>
      <c r="O28" s="3">
        <v>0.0</v>
      </c>
      <c r="P28" s="3">
        <v>0.4264</v>
      </c>
      <c r="Q28" s="3">
        <v>0.0</v>
      </c>
      <c r="R28" s="3">
        <v>0.2887</v>
      </c>
      <c r="S28" s="3">
        <v>75.75</v>
      </c>
      <c r="T28" s="3">
        <v>49.0</v>
      </c>
      <c r="U28" s="3">
        <f t="shared" si="2"/>
        <v>40.375</v>
      </c>
      <c r="V28" s="3"/>
      <c r="W28" s="3">
        <f t="shared" si="3"/>
        <v>40.75476357</v>
      </c>
      <c r="X28" s="3">
        <f t="shared" si="4"/>
        <v>6.129620774</v>
      </c>
      <c r="Y28" s="3">
        <f t="shared" si="5"/>
        <v>6.00231604</v>
      </c>
      <c r="Z28" s="3">
        <f t="shared" ref="Z28:AA28" si="31">_xlfn.NORM.S.DIST(X28)</f>
        <v>0.9999999996</v>
      </c>
      <c r="AA28" s="3">
        <f t="shared" si="31"/>
        <v>0.999999999</v>
      </c>
    </row>
    <row r="29" ht="14.25" customHeight="1">
      <c r="A29" s="3" t="s">
        <v>150</v>
      </c>
      <c r="B29" s="3" t="s">
        <v>151</v>
      </c>
      <c r="C29" s="3" t="s">
        <v>129</v>
      </c>
      <c r="D29" s="3" t="s">
        <v>29</v>
      </c>
      <c r="E29" s="3">
        <v>35.0</v>
      </c>
      <c r="F29" s="3" t="s">
        <v>27</v>
      </c>
      <c r="G29" s="3">
        <v>39.1</v>
      </c>
      <c r="I29" s="3">
        <v>42.5</v>
      </c>
      <c r="K29" s="3">
        <v>0.0</v>
      </c>
      <c r="L29" s="3">
        <v>0.0</v>
      </c>
      <c r="M29" s="3" t="s">
        <v>58</v>
      </c>
      <c r="N29" s="3">
        <v>0.9989</v>
      </c>
      <c r="O29" s="3">
        <v>0.0</v>
      </c>
      <c r="P29" s="3">
        <v>0.3332</v>
      </c>
      <c r="Q29" s="3">
        <v>0.0</v>
      </c>
      <c r="R29" s="3">
        <v>0.3524</v>
      </c>
      <c r="S29" s="3">
        <v>75.809998</v>
      </c>
      <c r="T29" s="3">
        <v>48.0</v>
      </c>
      <c r="U29" s="3">
        <f t="shared" si="2"/>
        <v>40.8</v>
      </c>
      <c r="V29" s="3"/>
      <c r="W29" s="3">
        <f t="shared" si="3"/>
        <v>40.81466472</v>
      </c>
      <c r="X29" s="3">
        <f t="shared" si="4"/>
        <v>5.10300929</v>
      </c>
      <c r="Y29" s="3">
        <f t="shared" si="5"/>
        <v>4.949209321</v>
      </c>
      <c r="Z29" s="3">
        <f t="shared" ref="Z29:AA29" si="32">_xlfn.NORM.S.DIST(X29)</f>
        <v>0.9999998329</v>
      </c>
      <c r="AA29" s="3">
        <f t="shared" si="32"/>
        <v>0.9999996274</v>
      </c>
    </row>
    <row r="30" ht="14.25" customHeight="1">
      <c r="A30" s="3" t="s">
        <v>150</v>
      </c>
      <c r="B30" s="3" t="s">
        <v>151</v>
      </c>
      <c r="C30" s="3" t="s">
        <v>129</v>
      </c>
      <c r="D30" s="3" t="s">
        <v>29</v>
      </c>
      <c r="E30" s="3">
        <v>35.0</v>
      </c>
      <c r="F30" s="3" t="s">
        <v>27</v>
      </c>
      <c r="G30" s="3">
        <v>39.5</v>
      </c>
      <c r="I30" s="3">
        <v>42.6</v>
      </c>
      <c r="K30" s="3">
        <v>0.0</v>
      </c>
      <c r="L30" s="3">
        <v>0.0</v>
      </c>
      <c r="M30" s="3" t="s">
        <v>59</v>
      </c>
      <c r="N30" s="3">
        <v>0.999</v>
      </c>
      <c r="O30" s="3">
        <v>0.0</v>
      </c>
      <c r="P30" s="3">
        <v>0.3295</v>
      </c>
      <c r="Q30" s="3">
        <v>0.0</v>
      </c>
      <c r="R30" s="3">
        <v>0.3222</v>
      </c>
      <c r="S30" s="3">
        <v>75.980003</v>
      </c>
      <c r="T30" s="3">
        <v>47.0</v>
      </c>
      <c r="U30" s="3">
        <f t="shared" si="2"/>
        <v>41.05</v>
      </c>
      <c r="V30" s="3"/>
      <c r="W30" s="3">
        <f t="shared" si="3"/>
        <v>40.98457216</v>
      </c>
      <c r="X30" s="3">
        <f t="shared" si="4"/>
        <v>5.641034395</v>
      </c>
      <c r="Y30" s="3">
        <f t="shared" si="5"/>
        <v>5.501887284</v>
      </c>
      <c r="Z30" s="3">
        <f t="shared" ref="Z30:AA30" si="33">_xlfn.NORM.S.DIST(X30)</f>
        <v>0.9999999915</v>
      </c>
      <c r="AA30" s="3">
        <f t="shared" si="33"/>
        <v>0.9999999812</v>
      </c>
    </row>
    <row r="31" ht="14.25" customHeight="1">
      <c r="A31" s="3" t="s">
        <v>150</v>
      </c>
      <c r="B31" s="3" t="s">
        <v>151</v>
      </c>
      <c r="C31" s="3" t="s">
        <v>129</v>
      </c>
      <c r="D31" s="3" t="s">
        <v>29</v>
      </c>
      <c r="E31" s="3">
        <v>35.0</v>
      </c>
      <c r="F31" s="3" t="s">
        <v>27</v>
      </c>
      <c r="G31" s="3">
        <v>41.1</v>
      </c>
      <c r="I31" s="3">
        <v>41.85</v>
      </c>
      <c r="K31" s="3">
        <v>0.0</v>
      </c>
      <c r="L31" s="3">
        <v>0.0</v>
      </c>
      <c r="M31" s="3" t="s">
        <v>60</v>
      </c>
      <c r="N31" s="3">
        <v>0.9995</v>
      </c>
      <c r="O31" s="3">
        <v>0.0</v>
      </c>
      <c r="P31" s="3">
        <v>0.1157</v>
      </c>
      <c r="Q31" s="3">
        <v>0.0</v>
      </c>
      <c r="R31" s="3">
        <v>0.3091</v>
      </c>
      <c r="S31" s="3">
        <v>76.559998</v>
      </c>
      <c r="T31" s="3">
        <v>46.0</v>
      </c>
      <c r="U31" s="3">
        <f t="shared" si="2"/>
        <v>41.475</v>
      </c>
      <c r="V31" s="3"/>
      <c r="W31" s="3">
        <f t="shared" si="3"/>
        <v>41.56446994</v>
      </c>
      <c r="X31" s="3">
        <f t="shared" si="4"/>
        <v>5.993965067</v>
      </c>
      <c r="Y31" s="3">
        <f t="shared" si="5"/>
        <v>5.861903134</v>
      </c>
      <c r="Z31" s="3">
        <f t="shared" ref="Z31:AA31" si="34">_xlfn.NORM.S.DIST(X31)</f>
        <v>0.999999999</v>
      </c>
      <c r="AA31" s="3">
        <f t="shared" si="34"/>
        <v>0.9999999977</v>
      </c>
    </row>
    <row r="32" ht="14.25" customHeight="1">
      <c r="A32" s="3" t="s">
        <v>150</v>
      </c>
      <c r="B32" s="3" t="s">
        <v>151</v>
      </c>
      <c r="C32" s="3" t="s">
        <v>129</v>
      </c>
      <c r="D32" s="3" t="s">
        <v>29</v>
      </c>
      <c r="E32" s="3">
        <v>35.0</v>
      </c>
      <c r="F32" s="3" t="s">
        <v>27</v>
      </c>
      <c r="G32" s="3">
        <v>40.8</v>
      </c>
      <c r="I32" s="3">
        <v>42.15</v>
      </c>
      <c r="K32" s="3">
        <v>0.0</v>
      </c>
      <c r="L32" s="3">
        <v>0.0</v>
      </c>
      <c r="M32" s="3" t="s">
        <v>61</v>
      </c>
      <c r="N32" s="3">
        <v>1.0</v>
      </c>
      <c r="O32" s="3">
        <v>0.0</v>
      </c>
      <c r="P32" s="3">
        <v>-0.1016</v>
      </c>
      <c r="Q32" s="3">
        <v>0.0</v>
      </c>
      <c r="R32" s="3">
        <v>0.3098</v>
      </c>
      <c r="S32" s="3">
        <v>76.779999</v>
      </c>
      <c r="T32" s="3">
        <v>45.0</v>
      </c>
      <c r="U32" s="3">
        <f t="shared" si="2"/>
        <v>41.475</v>
      </c>
      <c r="V32" s="3"/>
      <c r="W32" s="3">
        <f t="shared" si="3"/>
        <v>41.78437373</v>
      </c>
      <c r="X32" s="3">
        <f t="shared" si="4"/>
        <v>6.067250359</v>
      </c>
      <c r="Y32" s="3">
        <f t="shared" si="5"/>
        <v>5.936335965</v>
      </c>
      <c r="Z32" s="3">
        <f t="shared" ref="Z32:AA32" si="35">_xlfn.NORM.S.DIST(X32)</f>
        <v>0.9999999993</v>
      </c>
      <c r="AA32" s="3">
        <f t="shared" si="35"/>
        <v>0.9999999985</v>
      </c>
    </row>
    <row r="33" ht="14.25" customHeight="1">
      <c r="A33" s="3" t="s">
        <v>150</v>
      </c>
      <c r="B33" s="3" t="s">
        <v>151</v>
      </c>
      <c r="C33" s="3" t="s">
        <v>129</v>
      </c>
      <c r="D33" s="3" t="s">
        <v>29</v>
      </c>
      <c r="E33" s="3">
        <v>35.0</v>
      </c>
      <c r="F33" s="3" t="s">
        <v>27</v>
      </c>
      <c r="G33" s="3">
        <v>40.9</v>
      </c>
      <c r="I33" s="3">
        <v>41.65</v>
      </c>
      <c r="K33" s="3">
        <v>0.0</v>
      </c>
      <c r="L33" s="3">
        <v>0.0</v>
      </c>
      <c r="M33" s="3" t="s">
        <v>62</v>
      </c>
      <c r="N33" s="3">
        <v>0.9995</v>
      </c>
      <c r="O33" s="3">
        <v>0.0</v>
      </c>
      <c r="P33" s="3">
        <v>0.1157</v>
      </c>
      <c r="Q33" s="3">
        <v>0.0</v>
      </c>
      <c r="R33" s="3">
        <v>0.2386</v>
      </c>
      <c r="S33" s="3">
        <v>76.540001</v>
      </c>
      <c r="T33" s="3">
        <v>44.0</v>
      </c>
      <c r="U33" s="3">
        <f t="shared" si="2"/>
        <v>41.275</v>
      </c>
      <c r="V33" s="3"/>
      <c r="W33" s="3">
        <f t="shared" si="3"/>
        <v>41.54427852</v>
      </c>
      <c r="X33" s="3">
        <f t="shared" si="4"/>
        <v>7.899250588</v>
      </c>
      <c r="Y33" s="3">
        <f t="shared" si="5"/>
        <v>7.799550278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150</v>
      </c>
      <c r="B34" s="3" t="s">
        <v>151</v>
      </c>
      <c r="C34" s="3" t="s">
        <v>129</v>
      </c>
      <c r="D34" s="3" t="s">
        <v>29</v>
      </c>
      <c r="E34" s="3">
        <v>35.0</v>
      </c>
      <c r="F34" s="3" t="s">
        <v>27</v>
      </c>
      <c r="G34" s="3">
        <v>40.4</v>
      </c>
      <c r="I34" s="3">
        <v>44.0</v>
      </c>
      <c r="K34" s="3">
        <v>0.0</v>
      </c>
      <c r="L34" s="3">
        <v>0.0</v>
      </c>
      <c r="M34" s="3" t="s">
        <v>63</v>
      </c>
      <c r="N34" s="3">
        <v>0.9991</v>
      </c>
      <c r="O34" s="3">
        <v>0.0</v>
      </c>
      <c r="P34" s="3">
        <v>0.3491</v>
      </c>
      <c r="Q34" s="3">
        <v>0.0</v>
      </c>
      <c r="R34" s="3">
        <v>0.3051</v>
      </c>
      <c r="S34" s="3">
        <v>77.379997</v>
      </c>
      <c r="T34" s="3">
        <v>43.0</v>
      </c>
      <c r="U34" s="3">
        <f t="shared" si="2"/>
        <v>42.2</v>
      </c>
      <c r="V34" s="3"/>
      <c r="W34" s="3">
        <f t="shared" si="3"/>
        <v>42.38417731</v>
      </c>
      <c r="X34" s="3">
        <f t="shared" si="4"/>
        <v>6.359100551</v>
      </c>
      <c r="Y34" s="3">
        <f t="shared" si="5"/>
        <v>6.233069904</v>
      </c>
      <c r="Z34" s="3">
        <f t="shared" ref="Z34:AA34" si="37">_xlfn.NORM.S.DIST(X34)</f>
        <v>0.9999999999</v>
      </c>
      <c r="AA34" s="3">
        <f t="shared" si="37"/>
        <v>0.9999999998</v>
      </c>
    </row>
    <row r="35" ht="14.25" customHeight="1">
      <c r="A35" s="3" t="s">
        <v>150</v>
      </c>
      <c r="B35" s="3" t="s">
        <v>151</v>
      </c>
      <c r="C35" s="3" t="s">
        <v>129</v>
      </c>
      <c r="D35" s="3" t="s">
        <v>29</v>
      </c>
      <c r="E35" s="3">
        <v>35.0</v>
      </c>
      <c r="F35" s="3" t="s">
        <v>27</v>
      </c>
      <c r="G35" s="3">
        <v>40.0</v>
      </c>
      <c r="I35" s="3">
        <v>44.15</v>
      </c>
      <c r="K35" s="3">
        <v>0.0</v>
      </c>
      <c r="L35" s="3">
        <v>0.0</v>
      </c>
      <c r="M35" s="3" t="s">
        <v>64</v>
      </c>
      <c r="N35" s="3">
        <v>0.999</v>
      </c>
      <c r="O35" s="3">
        <v>0.0</v>
      </c>
      <c r="P35" s="3">
        <v>0.3585</v>
      </c>
      <c r="Q35" s="3">
        <v>2.0E-4</v>
      </c>
      <c r="R35" s="3">
        <v>0.4337</v>
      </c>
      <c r="S35" s="3">
        <v>77.080002</v>
      </c>
      <c r="T35" s="3">
        <v>42.0</v>
      </c>
      <c r="U35" s="3">
        <f t="shared" si="2"/>
        <v>42.075</v>
      </c>
      <c r="V35" s="3"/>
      <c r="W35" s="3">
        <f t="shared" si="3"/>
        <v>42.08409284</v>
      </c>
      <c r="X35" s="3">
        <f t="shared" si="4"/>
        <v>4.548172768</v>
      </c>
      <c r="Y35" s="3">
        <f t="shared" si="5"/>
        <v>4.371115484</v>
      </c>
      <c r="Z35" s="3">
        <f t="shared" ref="Z35:AA35" si="38">_xlfn.NORM.S.DIST(X35)</f>
        <v>0.9999972943</v>
      </c>
      <c r="AA35" s="3">
        <f t="shared" si="38"/>
        <v>0.9999938193</v>
      </c>
    </row>
    <row r="36" ht="14.25" customHeight="1">
      <c r="A36" s="3" t="s">
        <v>150</v>
      </c>
      <c r="B36" s="3" t="s">
        <v>151</v>
      </c>
      <c r="C36" s="3" t="s">
        <v>129</v>
      </c>
      <c r="D36" s="3" t="s">
        <v>29</v>
      </c>
      <c r="E36" s="3">
        <v>35.0</v>
      </c>
      <c r="F36" s="3" t="s">
        <v>27</v>
      </c>
      <c r="G36" s="3">
        <v>39.8</v>
      </c>
      <c r="I36" s="3">
        <v>43.35</v>
      </c>
      <c r="K36" s="3">
        <v>0.0</v>
      </c>
      <c r="L36" s="3">
        <v>0.0</v>
      </c>
      <c r="M36" s="3" t="s">
        <v>65</v>
      </c>
      <c r="N36" s="3">
        <v>0.999</v>
      </c>
      <c r="O36" s="3">
        <v>0.0</v>
      </c>
      <c r="P36" s="3">
        <v>0.3801</v>
      </c>
      <c r="Q36" s="3">
        <v>0.0</v>
      </c>
      <c r="R36" s="3">
        <v>0.3512</v>
      </c>
      <c r="S36" s="3">
        <v>77.040001</v>
      </c>
      <c r="T36" s="3">
        <v>41.0</v>
      </c>
      <c r="U36" s="3">
        <f t="shared" si="2"/>
        <v>41.575</v>
      </c>
      <c r="V36" s="3"/>
      <c r="W36" s="3">
        <f t="shared" si="3"/>
        <v>42.0439869</v>
      </c>
      <c r="X36" s="3">
        <f t="shared" si="4"/>
        <v>5.64115706</v>
      </c>
      <c r="Y36" s="3">
        <f t="shared" si="5"/>
        <v>5.49949741</v>
      </c>
      <c r="Z36" s="3">
        <f t="shared" ref="Z36:AA36" si="39">_xlfn.NORM.S.DIST(X36)</f>
        <v>0.9999999916</v>
      </c>
      <c r="AA36" s="3">
        <f t="shared" si="39"/>
        <v>0.999999981</v>
      </c>
    </row>
    <row r="37" ht="14.25" customHeight="1">
      <c r="A37" s="3" t="s">
        <v>150</v>
      </c>
      <c r="B37" s="3" t="s">
        <v>151</v>
      </c>
      <c r="C37" s="3" t="s">
        <v>129</v>
      </c>
      <c r="D37" s="3" t="s">
        <v>29</v>
      </c>
      <c r="E37" s="3">
        <v>35.0</v>
      </c>
      <c r="F37" s="3" t="s">
        <v>27</v>
      </c>
      <c r="G37" s="3">
        <v>41.4</v>
      </c>
      <c r="I37" s="3">
        <v>42.65</v>
      </c>
      <c r="K37" s="3">
        <v>0.0</v>
      </c>
      <c r="L37" s="3">
        <v>0.0</v>
      </c>
      <c r="M37" s="3" t="s">
        <v>66</v>
      </c>
      <c r="N37" s="3">
        <v>0.999</v>
      </c>
      <c r="O37" s="3">
        <v>0.0</v>
      </c>
      <c r="P37" s="3">
        <v>0.3834</v>
      </c>
      <c r="Q37" s="3">
        <v>0.0</v>
      </c>
      <c r="R37" s="3">
        <v>0.3926</v>
      </c>
      <c r="S37" s="3">
        <v>76.989998</v>
      </c>
      <c r="T37" s="3">
        <v>40.0</v>
      </c>
      <c r="U37" s="3">
        <f t="shared" si="2"/>
        <v>42.025</v>
      </c>
      <c r="V37" s="3"/>
      <c r="W37" s="3">
        <f t="shared" si="3"/>
        <v>41.99388702</v>
      </c>
      <c r="X37" s="3">
        <f t="shared" si="4"/>
        <v>5.118872838</v>
      </c>
      <c r="Y37" s="3">
        <f t="shared" si="5"/>
        <v>4.962457254</v>
      </c>
      <c r="Z37" s="3">
        <f t="shared" ref="Z37:AA37" si="40">_xlfn.NORM.S.DIST(X37)</f>
        <v>0.9999998463</v>
      </c>
      <c r="AA37" s="3">
        <f t="shared" si="40"/>
        <v>0.999999652</v>
      </c>
    </row>
    <row r="38" ht="14.25" customHeight="1">
      <c r="A38" s="3" t="s">
        <v>150</v>
      </c>
      <c r="B38" s="3" t="s">
        <v>151</v>
      </c>
      <c r="C38" s="3" t="s">
        <v>129</v>
      </c>
      <c r="D38" s="3" t="s">
        <v>29</v>
      </c>
      <c r="E38" s="3">
        <v>35.0</v>
      </c>
      <c r="F38" s="3" t="s">
        <v>27</v>
      </c>
      <c r="G38" s="3">
        <v>39.55</v>
      </c>
      <c r="I38" s="3">
        <v>41.6</v>
      </c>
      <c r="K38" s="3">
        <v>0.0</v>
      </c>
      <c r="L38" s="3">
        <v>0.0</v>
      </c>
      <c r="M38" s="3" t="s">
        <v>67</v>
      </c>
      <c r="N38" s="3">
        <v>0.999</v>
      </c>
      <c r="O38" s="3">
        <v>0.0</v>
      </c>
      <c r="P38" s="3">
        <v>0.398</v>
      </c>
      <c r="Q38" s="3">
        <v>0.0</v>
      </c>
      <c r="R38" s="3">
        <v>0.3859</v>
      </c>
      <c r="S38" s="3">
        <v>75.919998</v>
      </c>
      <c r="T38" s="3">
        <v>39.0</v>
      </c>
      <c r="U38" s="3">
        <f t="shared" si="2"/>
        <v>40.575</v>
      </c>
      <c r="V38" s="3"/>
      <c r="W38" s="3">
        <f t="shared" si="3"/>
        <v>40.9237897</v>
      </c>
      <c r="X38" s="3">
        <f t="shared" si="4"/>
        <v>5.177209933</v>
      </c>
      <c r="Y38" s="3">
        <f t="shared" si="5"/>
        <v>5.025397685</v>
      </c>
      <c r="Z38" s="3">
        <f t="shared" ref="Z38:AA38" si="41">_xlfn.NORM.S.DIST(X38)</f>
        <v>0.9999998874</v>
      </c>
      <c r="AA38" s="3">
        <f t="shared" si="41"/>
        <v>0.9999997488</v>
      </c>
    </row>
    <row r="39" ht="14.25" customHeight="1">
      <c r="A39" s="3" t="s">
        <v>150</v>
      </c>
      <c r="B39" s="3" t="s">
        <v>151</v>
      </c>
      <c r="C39" s="3" t="s">
        <v>129</v>
      </c>
      <c r="D39" s="3" t="s">
        <v>29</v>
      </c>
      <c r="E39" s="3">
        <v>35.0</v>
      </c>
      <c r="F39" s="3" t="s">
        <v>27</v>
      </c>
      <c r="G39" s="3">
        <v>39.6</v>
      </c>
      <c r="I39" s="3">
        <v>41.6</v>
      </c>
      <c r="K39" s="3">
        <v>0.0</v>
      </c>
      <c r="L39" s="3">
        <v>0.0</v>
      </c>
      <c r="M39" s="3" t="s">
        <v>68</v>
      </c>
      <c r="N39" s="3">
        <v>0.999</v>
      </c>
      <c r="O39" s="3">
        <v>0.0</v>
      </c>
      <c r="P39" s="3">
        <v>0.4167</v>
      </c>
      <c r="Q39" s="3">
        <v>1.0E-4</v>
      </c>
      <c r="R39" s="3">
        <v>0.4292</v>
      </c>
      <c r="S39" s="3">
        <v>76.080002</v>
      </c>
      <c r="T39" s="3">
        <v>38.0</v>
      </c>
      <c r="U39" s="3">
        <f t="shared" si="2"/>
        <v>40.6</v>
      </c>
      <c r="V39" s="3"/>
      <c r="W39" s="3">
        <f t="shared" si="3"/>
        <v>41.08369895</v>
      </c>
      <c r="X39" s="3">
        <f t="shared" si="4"/>
        <v>4.742564712</v>
      </c>
      <c r="Y39" s="3">
        <f t="shared" si="5"/>
        <v>4.57589709</v>
      </c>
      <c r="Z39" s="3">
        <f t="shared" ref="Z39:AA39" si="42">_xlfn.NORM.S.DIST(X39)</f>
        <v>0.9999989449</v>
      </c>
      <c r="AA39" s="3">
        <f t="shared" si="42"/>
        <v>0.9999976291</v>
      </c>
    </row>
    <row r="40" ht="14.25" customHeight="1">
      <c r="A40" s="3" t="s">
        <v>150</v>
      </c>
      <c r="B40" s="3" t="s">
        <v>151</v>
      </c>
      <c r="C40" s="3" t="s">
        <v>129</v>
      </c>
      <c r="D40" s="3" t="s">
        <v>29</v>
      </c>
      <c r="E40" s="3">
        <v>35.0</v>
      </c>
      <c r="F40" s="3" t="s">
        <v>27</v>
      </c>
      <c r="G40" s="3">
        <v>40.05</v>
      </c>
      <c r="I40" s="3">
        <v>42.8</v>
      </c>
      <c r="K40" s="3">
        <v>0.0</v>
      </c>
      <c r="L40" s="3">
        <v>0.0</v>
      </c>
      <c r="M40" s="3" t="s">
        <v>69</v>
      </c>
      <c r="N40" s="3">
        <v>0.999</v>
      </c>
      <c r="O40" s="3">
        <v>0.0</v>
      </c>
      <c r="P40" s="3">
        <v>0.4214</v>
      </c>
      <c r="Q40" s="3">
        <v>2.0E-4</v>
      </c>
      <c r="R40" s="3">
        <v>0.4601</v>
      </c>
      <c r="S40" s="3">
        <v>76.75</v>
      </c>
      <c r="T40" s="3">
        <v>37.0</v>
      </c>
      <c r="U40" s="3">
        <f t="shared" si="2"/>
        <v>41.425</v>
      </c>
      <c r="V40" s="3"/>
      <c r="W40" s="3">
        <f t="shared" si="3"/>
        <v>41.75360493</v>
      </c>
      <c r="X40" s="3">
        <f t="shared" si="4"/>
        <v>4.542530001</v>
      </c>
      <c r="Y40" s="3">
        <f t="shared" si="5"/>
        <v>4.366229793</v>
      </c>
      <c r="Z40" s="3">
        <f t="shared" ref="Z40:AA40" si="43">_xlfn.NORM.S.DIST(X40)</f>
        <v>0.9999972208</v>
      </c>
      <c r="AA40" s="3">
        <f t="shared" si="43"/>
        <v>0.9999936795</v>
      </c>
    </row>
    <row r="41" ht="14.25" customHeight="1">
      <c r="A41" s="3" t="s">
        <v>150</v>
      </c>
      <c r="B41" s="3" t="s">
        <v>151</v>
      </c>
      <c r="C41" s="3" t="s">
        <v>129</v>
      </c>
      <c r="D41" s="3" t="s">
        <v>29</v>
      </c>
      <c r="E41" s="3">
        <v>35.0</v>
      </c>
      <c r="F41" s="3" t="s">
        <v>27</v>
      </c>
      <c r="G41" s="3">
        <v>40.1</v>
      </c>
      <c r="I41" s="3">
        <v>41.7</v>
      </c>
      <c r="K41" s="3">
        <v>0.0</v>
      </c>
      <c r="L41" s="3">
        <v>0.0</v>
      </c>
      <c r="M41" s="3" t="s">
        <v>70</v>
      </c>
      <c r="N41" s="3">
        <v>0.999</v>
      </c>
      <c r="O41" s="3">
        <v>0.0</v>
      </c>
      <c r="P41" s="3">
        <v>0.4252</v>
      </c>
      <c r="Q41" s="3">
        <v>0.0</v>
      </c>
      <c r="R41" s="3">
        <v>0.3825</v>
      </c>
      <c r="S41" s="3">
        <v>76.18</v>
      </c>
      <c r="T41" s="3">
        <v>36.0</v>
      </c>
      <c r="U41" s="3">
        <f t="shared" si="2"/>
        <v>40.9</v>
      </c>
      <c r="V41" s="3"/>
      <c r="W41" s="3">
        <f t="shared" si="3"/>
        <v>41.18349987</v>
      </c>
      <c r="X41" s="3">
        <f t="shared" si="4"/>
        <v>5.45267796</v>
      </c>
      <c r="Y41" s="3">
        <f t="shared" si="5"/>
        <v>5.308106549</v>
      </c>
      <c r="Z41" s="3">
        <f t="shared" ref="Z41:AA41" si="44">_xlfn.NORM.S.DIST(X41)</f>
        <v>0.9999999752</v>
      </c>
      <c r="AA41" s="3">
        <f t="shared" si="44"/>
        <v>0.9999999446</v>
      </c>
    </row>
    <row r="42" ht="14.25" customHeight="1">
      <c r="A42" s="3" t="s">
        <v>150</v>
      </c>
      <c r="B42" s="3" t="s">
        <v>151</v>
      </c>
      <c r="C42" s="3" t="s">
        <v>129</v>
      </c>
      <c r="D42" s="3" t="s">
        <v>29</v>
      </c>
      <c r="E42" s="3">
        <v>35.0</v>
      </c>
      <c r="F42" s="3" t="s">
        <v>27</v>
      </c>
      <c r="G42" s="3">
        <v>39.3</v>
      </c>
      <c r="I42" s="3">
        <v>43.0</v>
      </c>
      <c r="K42" s="3">
        <v>0.0</v>
      </c>
      <c r="L42" s="3">
        <v>0.0</v>
      </c>
      <c r="M42" s="3" t="s">
        <v>71</v>
      </c>
      <c r="N42" s="3">
        <v>0.9991</v>
      </c>
      <c r="O42" s="3">
        <v>0.0</v>
      </c>
      <c r="P42" s="3">
        <v>0.4374</v>
      </c>
      <c r="Q42" s="3">
        <v>0.0</v>
      </c>
      <c r="R42" s="3">
        <v>0.3017</v>
      </c>
      <c r="S42" s="3">
        <v>76.489998</v>
      </c>
      <c r="T42" s="3">
        <v>35.0</v>
      </c>
      <c r="U42" s="3">
        <f t="shared" si="2"/>
        <v>41.15</v>
      </c>
      <c r="V42" s="3"/>
      <c r="W42" s="3">
        <f t="shared" si="3"/>
        <v>41.49340061</v>
      </c>
      <c r="X42" s="3">
        <f t="shared" si="4"/>
        <v>7.010419365</v>
      </c>
      <c r="Y42" s="3">
        <f t="shared" si="5"/>
        <v>6.897982414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150</v>
      </c>
      <c r="B43" s="3" t="s">
        <v>151</v>
      </c>
      <c r="C43" s="3" t="s">
        <v>129</v>
      </c>
      <c r="D43" s="3" t="s">
        <v>29</v>
      </c>
      <c r="E43" s="3">
        <v>35.0</v>
      </c>
      <c r="F43" s="3" t="s">
        <v>27</v>
      </c>
      <c r="G43" s="3">
        <v>40.85</v>
      </c>
      <c r="I43" s="3">
        <v>43.0</v>
      </c>
      <c r="K43" s="3">
        <v>0.0</v>
      </c>
      <c r="L43" s="3">
        <v>0.0</v>
      </c>
      <c r="M43" s="3" t="s">
        <v>72</v>
      </c>
      <c r="N43" s="3">
        <v>0.9991</v>
      </c>
      <c r="O43" s="3">
        <v>0.0</v>
      </c>
      <c r="P43" s="3">
        <v>0.4393</v>
      </c>
      <c r="Q43" s="3">
        <v>0.0</v>
      </c>
      <c r="R43" s="3">
        <v>0.3073</v>
      </c>
      <c r="S43" s="3">
        <v>76.68</v>
      </c>
      <c r="T43" s="3">
        <v>34.0</v>
      </c>
      <c r="U43" s="3">
        <f t="shared" si="2"/>
        <v>41.925</v>
      </c>
      <c r="V43" s="3"/>
      <c r="W43" s="3">
        <f t="shared" si="3"/>
        <v>41.6833054</v>
      </c>
      <c r="X43" s="3">
        <f t="shared" si="4"/>
        <v>7.005541926</v>
      </c>
      <c r="Y43" s="3">
        <f t="shared" si="5"/>
        <v>6.892665891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150</v>
      </c>
      <c r="B44" s="3" t="s">
        <v>151</v>
      </c>
      <c r="C44" s="3" t="s">
        <v>129</v>
      </c>
      <c r="D44" s="3" t="s">
        <v>29</v>
      </c>
      <c r="E44" s="3">
        <v>35.0</v>
      </c>
      <c r="F44" s="3" t="s">
        <v>27</v>
      </c>
      <c r="G44" s="3">
        <v>41.4</v>
      </c>
      <c r="I44" s="3">
        <v>42.45</v>
      </c>
      <c r="K44" s="3">
        <v>0.0</v>
      </c>
      <c r="L44" s="3">
        <v>0.0</v>
      </c>
      <c r="M44" s="3" t="s">
        <v>73</v>
      </c>
      <c r="N44" s="3">
        <v>0.9991</v>
      </c>
      <c r="O44" s="3">
        <v>0.0</v>
      </c>
      <c r="P44" s="3">
        <v>0.4413</v>
      </c>
      <c r="Q44" s="3">
        <v>0.0</v>
      </c>
      <c r="R44" s="3">
        <v>0.303</v>
      </c>
      <c r="S44" s="3">
        <v>77.050003</v>
      </c>
      <c r="T44" s="3">
        <v>33.0</v>
      </c>
      <c r="U44" s="3">
        <f t="shared" si="2"/>
        <v>41.925</v>
      </c>
      <c r="V44" s="3"/>
      <c r="W44" s="3">
        <f t="shared" si="3"/>
        <v>42.05321119</v>
      </c>
      <c r="X44" s="3">
        <f t="shared" si="4"/>
        <v>7.252408143</v>
      </c>
      <c r="Y44" s="3">
        <f t="shared" si="5"/>
        <v>7.142760493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150</v>
      </c>
      <c r="B45" s="3" t="s">
        <v>151</v>
      </c>
      <c r="C45" s="3" t="s">
        <v>129</v>
      </c>
      <c r="D45" s="3" t="s">
        <v>29</v>
      </c>
      <c r="E45" s="3">
        <v>35.0</v>
      </c>
      <c r="F45" s="3" t="s">
        <v>27</v>
      </c>
      <c r="G45" s="3">
        <v>40.4</v>
      </c>
      <c r="I45" s="3">
        <v>43.7</v>
      </c>
      <c r="K45" s="3">
        <v>0.0</v>
      </c>
      <c r="L45" s="3">
        <v>0.0</v>
      </c>
      <c r="M45" s="3" t="s">
        <v>74</v>
      </c>
      <c r="N45" s="3">
        <v>0.9991</v>
      </c>
      <c r="O45" s="3">
        <v>0.0</v>
      </c>
      <c r="P45" s="3">
        <v>0.4444</v>
      </c>
      <c r="Q45" s="3">
        <v>0.0</v>
      </c>
      <c r="R45" s="3">
        <v>0.32</v>
      </c>
      <c r="S45" s="3">
        <v>77.199997</v>
      </c>
      <c r="T45" s="3">
        <v>32.0</v>
      </c>
      <c r="U45" s="3">
        <f t="shared" si="2"/>
        <v>42.05</v>
      </c>
      <c r="V45" s="3"/>
      <c r="W45" s="3">
        <f t="shared" si="3"/>
        <v>42.20310797</v>
      </c>
      <c r="X45" s="3">
        <f t="shared" si="4"/>
        <v>6.994927631</v>
      </c>
      <c r="Y45" s="3">
        <f t="shared" si="5"/>
        <v>6.880896168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150</v>
      </c>
      <c r="B46" s="3" t="s">
        <v>151</v>
      </c>
      <c r="C46" s="3" t="s">
        <v>129</v>
      </c>
      <c r="D46" s="3" t="s">
        <v>29</v>
      </c>
      <c r="E46" s="3">
        <v>35.0</v>
      </c>
      <c r="F46" s="3" t="s">
        <v>27</v>
      </c>
      <c r="G46" s="3">
        <v>40.55</v>
      </c>
      <c r="I46" s="3">
        <v>43.95</v>
      </c>
      <c r="K46" s="3">
        <v>0.0</v>
      </c>
      <c r="L46" s="3">
        <v>0.0</v>
      </c>
      <c r="M46" s="3" t="s">
        <v>75</v>
      </c>
      <c r="N46" s="3">
        <v>0.9996</v>
      </c>
      <c r="O46" s="3">
        <v>0.0</v>
      </c>
      <c r="P46" s="3">
        <v>0.1729</v>
      </c>
      <c r="Q46" s="3">
        <v>0.0</v>
      </c>
      <c r="R46" s="3">
        <v>0.3403</v>
      </c>
      <c r="S46" s="3">
        <v>76.900002</v>
      </c>
      <c r="T46" s="3">
        <v>31.0</v>
      </c>
      <c r="U46" s="3">
        <f t="shared" si="2"/>
        <v>42.25</v>
      </c>
      <c r="V46" s="3"/>
      <c r="W46" s="3">
        <f t="shared" si="3"/>
        <v>41.90301576</v>
      </c>
      <c r="X46" s="3">
        <f t="shared" si="4"/>
        <v>6.655467571</v>
      </c>
      <c r="Y46" s="3">
        <f t="shared" si="5"/>
        <v>6.536112046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150</v>
      </c>
      <c r="B47" s="3" t="s">
        <v>151</v>
      </c>
      <c r="C47" s="3" t="s">
        <v>129</v>
      </c>
      <c r="D47" s="3" t="s">
        <v>29</v>
      </c>
      <c r="E47" s="3">
        <v>35.0</v>
      </c>
      <c r="F47" s="3" t="s">
        <v>27</v>
      </c>
      <c r="G47" s="3">
        <v>40.55</v>
      </c>
      <c r="I47" s="3">
        <v>43.35</v>
      </c>
      <c r="K47" s="3">
        <v>0.0</v>
      </c>
      <c r="L47" s="3">
        <v>0.0</v>
      </c>
      <c r="M47" s="3" t="s">
        <v>76</v>
      </c>
      <c r="N47" s="3">
        <v>0.9992</v>
      </c>
      <c r="O47" s="3">
        <v>0.0</v>
      </c>
      <c r="P47" s="3">
        <v>0.4463</v>
      </c>
      <c r="Q47" s="3">
        <v>0.0</v>
      </c>
      <c r="R47" s="3">
        <v>0.2747</v>
      </c>
      <c r="S47" s="3">
        <v>77.18</v>
      </c>
      <c r="T47" s="3">
        <v>30.0</v>
      </c>
      <c r="U47" s="3">
        <f t="shared" si="2"/>
        <v>41.95</v>
      </c>
      <c r="V47" s="3"/>
      <c r="W47" s="3">
        <f t="shared" si="3"/>
        <v>42.18291655</v>
      </c>
      <c r="X47" s="3">
        <f t="shared" si="4"/>
        <v>8.391676153</v>
      </c>
      <c r="Y47" s="3">
        <f t="shared" si="5"/>
        <v>8.296895648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150</v>
      </c>
      <c r="B48" s="3" t="s">
        <v>151</v>
      </c>
      <c r="C48" s="3" t="s">
        <v>129</v>
      </c>
      <c r="D48" s="3" t="s">
        <v>29</v>
      </c>
      <c r="E48" s="3">
        <v>35.0</v>
      </c>
      <c r="F48" s="3" t="s">
        <v>27</v>
      </c>
      <c r="G48" s="3">
        <v>40.7</v>
      </c>
      <c r="I48" s="3">
        <v>43.9</v>
      </c>
      <c r="K48" s="3">
        <v>0.0</v>
      </c>
      <c r="L48" s="3">
        <v>0.0</v>
      </c>
      <c r="M48" s="3" t="s">
        <v>77</v>
      </c>
      <c r="N48" s="3">
        <v>0.9996</v>
      </c>
      <c r="O48" s="3">
        <v>0.0</v>
      </c>
      <c r="P48" s="3">
        <v>0.191</v>
      </c>
      <c r="Q48" s="3">
        <v>0.0</v>
      </c>
      <c r="R48" s="3">
        <v>0.2587</v>
      </c>
      <c r="S48" s="3">
        <v>77.349998</v>
      </c>
      <c r="T48" s="3">
        <v>29.0</v>
      </c>
      <c r="U48" s="3">
        <f t="shared" si="2"/>
        <v>42.3</v>
      </c>
      <c r="V48" s="3"/>
      <c r="W48" s="3">
        <f t="shared" si="3"/>
        <v>42.35281733</v>
      </c>
      <c r="X48" s="3">
        <f t="shared" si="4"/>
        <v>9.080749798</v>
      </c>
      <c r="Y48" s="3">
        <f t="shared" si="5"/>
        <v>8.992990093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150</v>
      </c>
      <c r="B49" s="3" t="s">
        <v>151</v>
      </c>
      <c r="C49" s="3" t="s">
        <v>129</v>
      </c>
      <c r="D49" s="3" t="s">
        <v>29</v>
      </c>
      <c r="E49" s="3">
        <v>35.0</v>
      </c>
      <c r="F49" s="3" t="s">
        <v>27</v>
      </c>
      <c r="G49" s="3">
        <v>40.55</v>
      </c>
      <c r="I49" s="3">
        <v>43.75</v>
      </c>
      <c r="K49" s="3">
        <v>0.0</v>
      </c>
      <c r="L49" s="3">
        <v>0.0</v>
      </c>
      <c r="M49" s="3" t="s">
        <v>78</v>
      </c>
      <c r="N49" s="3">
        <v>0.9992</v>
      </c>
      <c r="O49" s="3">
        <v>0.0</v>
      </c>
      <c r="P49" s="3">
        <v>0.4791</v>
      </c>
      <c r="Q49" s="3">
        <v>0.0</v>
      </c>
      <c r="R49" s="3">
        <v>0.2903</v>
      </c>
      <c r="S49" s="3">
        <v>77.169998</v>
      </c>
      <c r="T49" s="3">
        <v>28.0</v>
      </c>
      <c r="U49" s="3">
        <f t="shared" si="2"/>
        <v>42.15</v>
      </c>
      <c r="V49" s="3"/>
      <c r="W49" s="3">
        <f t="shared" si="3"/>
        <v>42.17272012</v>
      </c>
      <c r="X49" s="3">
        <f t="shared" si="4"/>
        <v>8.220003769</v>
      </c>
      <c r="Y49" s="3">
        <f t="shared" si="5"/>
        <v>8.123237103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150</v>
      </c>
      <c r="B50" s="3" t="s">
        <v>151</v>
      </c>
      <c r="C50" s="3" t="s">
        <v>129</v>
      </c>
      <c r="D50" s="3" t="s">
        <v>29</v>
      </c>
      <c r="E50" s="3">
        <v>35.0</v>
      </c>
      <c r="F50" s="3" t="s">
        <v>27</v>
      </c>
      <c r="G50" s="3">
        <v>40.4</v>
      </c>
      <c r="I50" s="3">
        <v>43.4</v>
      </c>
      <c r="K50" s="3">
        <v>0.0</v>
      </c>
      <c r="L50" s="3">
        <v>0.0</v>
      </c>
      <c r="M50" s="3" t="s">
        <v>79</v>
      </c>
      <c r="N50" s="3">
        <v>0.9992</v>
      </c>
      <c r="O50" s="3">
        <v>0.0</v>
      </c>
      <c r="P50" s="3">
        <v>0.5059</v>
      </c>
      <c r="Q50" s="3">
        <v>0.0</v>
      </c>
      <c r="R50" s="3">
        <v>0.3028</v>
      </c>
      <c r="S50" s="3">
        <v>76.800003</v>
      </c>
      <c r="T50" s="3">
        <v>27.0</v>
      </c>
      <c r="U50" s="3">
        <f t="shared" si="2"/>
        <v>41.9</v>
      </c>
      <c r="V50" s="3"/>
      <c r="W50" s="3">
        <f t="shared" si="3"/>
        <v>41.8026279</v>
      </c>
      <c r="X50" s="3">
        <f t="shared" si="4"/>
        <v>7.979084208</v>
      </c>
      <c r="Y50" s="3">
        <f t="shared" si="5"/>
        <v>7.879969642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150</v>
      </c>
      <c r="B51" s="3" t="s">
        <v>151</v>
      </c>
      <c r="C51" s="3" t="s">
        <v>129</v>
      </c>
      <c r="D51" s="3" t="s">
        <v>29</v>
      </c>
      <c r="E51" s="3">
        <v>35.0</v>
      </c>
      <c r="F51" s="3" t="s">
        <v>27</v>
      </c>
      <c r="G51" s="3">
        <v>40.8</v>
      </c>
      <c r="I51" s="3">
        <v>43.9</v>
      </c>
      <c r="K51" s="3">
        <v>0.0</v>
      </c>
      <c r="L51" s="3">
        <v>0.0</v>
      </c>
      <c r="M51" s="3" t="s">
        <v>80</v>
      </c>
      <c r="N51" s="3">
        <v>0.9996</v>
      </c>
      <c r="O51" s="3">
        <v>0.0</v>
      </c>
      <c r="P51" s="3">
        <v>0.221</v>
      </c>
      <c r="Q51" s="3">
        <v>0.0</v>
      </c>
      <c r="R51" s="3">
        <v>0.2485</v>
      </c>
      <c r="S51" s="3">
        <v>77.389999</v>
      </c>
      <c r="T51" s="3">
        <v>26.0</v>
      </c>
      <c r="U51" s="3">
        <f t="shared" si="2"/>
        <v>42.35</v>
      </c>
      <c r="V51" s="3"/>
      <c r="W51" s="3">
        <f t="shared" si="3"/>
        <v>42.39252669</v>
      </c>
      <c r="X51" s="3">
        <f t="shared" si="4"/>
        <v>9.982026862</v>
      </c>
      <c r="Y51" s="3">
        <f t="shared" si="5"/>
        <v>9.902206664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150</v>
      </c>
      <c r="B52" s="3" t="s">
        <v>151</v>
      </c>
      <c r="C52" s="3" t="s">
        <v>129</v>
      </c>
      <c r="D52" s="3" t="s">
        <v>29</v>
      </c>
      <c r="E52" s="3">
        <v>35.0</v>
      </c>
      <c r="F52" s="3" t="s">
        <v>27</v>
      </c>
      <c r="G52" s="3">
        <v>40.25</v>
      </c>
      <c r="I52" s="3">
        <v>43.2</v>
      </c>
      <c r="K52" s="3">
        <v>0.0</v>
      </c>
      <c r="L52" s="3">
        <v>0.0</v>
      </c>
      <c r="M52" s="3" t="s">
        <v>81</v>
      </c>
      <c r="N52" s="3">
        <v>0.9992</v>
      </c>
      <c r="O52" s="3">
        <v>0.0</v>
      </c>
      <c r="P52" s="3">
        <v>0.5316</v>
      </c>
      <c r="Q52" s="3">
        <v>0.0</v>
      </c>
      <c r="R52" s="3">
        <v>0.234</v>
      </c>
      <c r="S52" s="3">
        <v>76.339996</v>
      </c>
      <c r="T52" s="3">
        <v>25.0</v>
      </c>
      <c r="U52" s="3">
        <f t="shared" si="2"/>
        <v>41.725</v>
      </c>
      <c r="V52" s="3"/>
      <c r="W52" s="3">
        <f t="shared" si="3"/>
        <v>41.34242647</v>
      </c>
      <c r="X52" s="3">
        <f t="shared" si="4"/>
        <v>10.61874934</v>
      </c>
      <c r="Y52" s="3">
        <f t="shared" si="5"/>
        <v>10.54504626</v>
      </c>
      <c r="Z52" s="3">
        <f t="shared" ref="Z52:AA52" si="55">_xlfn.NORM.S.DIST(X52)</f>
        <v>1</v>
      </c>
      <c r="AA52" s="3">
        <f t="shared" si="55"/>
        <v>1</v>
      </c>
    </row>
    <row r="53" ht="14.25" customHeight="1">
      <c r="A53" s="3" t="s">
        <v>150</v>
      </c>
      <c r="B53" s="3" t="s">
        <v>151</v>
      </c>
      <c r="C53" s="3" t="s">
        <v>129</v>
      </c>
      <c r="D53" s="3" t="s">
        <v>29</v>
      </c>
      <c r="E53" s="3">
        <v>35.0</v>
      </c>
      <c r="F53" s="3" t="s">
        <v>27</v>
      </c>
      <c r="G53" s="3">
        <v>39.6</v>
      </c>
      <c r="I53" s="3">
        <v>42.75</v>
      </c>
      <c r="K53" s="3">
        <v>3.0</v>
      </c>
      <c r="L53" s="3">
        <v>0.0</v>
      </c>
      <c r="M53" s="3" t="s">
        <v>82</v>
      </c>
      <c r="N53" s="3">
        <v>0.9991</v>
      </c>
      <c r="O53" s="3">
        <v>0.0</v>
      </c>
      <c r="P53" s="3">
        <v>0.6412</v>
      </c>
      <c r="Q53" s="3">
        <v>0.0</v>
      </c>
      <c r="R53" s="3">
        <v>0.3182</v>
      </c>
      <c r="S53" s="3">
        <v>76.160004</v>
      </c>
      <c r="T53" s="3">
        <v>24.0</v>
      </c>
      <c r="U53" s="3">
        <f t="shared" si="2"/>
        <v>41.175</v>
      </c>
      <c r="V53" s="3"/>
      <c r="W53" s="3">
        <f t="shared" si="3"/>
        <v>41.16233726</v>
      </c>
      <c r="X53" s="3">
        <f t="shared" si="4"/>
        <v>7.967283873</v>
      </c>
      <c r="Y53" s="3">
        <f t="shared" si="5"/>
        <v>7.869085221</v>
      </c>
      <c r="Z53" s="3">
        <f t="shared" ref="Z53:AA53" si="56">_xlfn.NORM.S.DIST(X53)</f>
        <v>1</v>
      </c>
      <c r="AA53" s="3">
        <f t="shared" si="56"/>
        <v>1</v>
      </c>
    </row>
    <row r="54" ht="14.25" customHeight="1">
      <c r="A54" s="3" t="s">
        <v>150</v>
      </c>
      <c r="B54" s="3" t="s">
        <v>151</v>
      </c>
      <c r="C54" s="3" t="s">
        <v>129</v>
      </c>
      <c r="D54" s="3" t="s">
        <v>29</v>
      </c>
      <c r="E54" s="3">
        <v>35.0</v>
      </c>
      <c r="F54" s="3" t="s">
        <v>27</v>
      </c>
      <c r="G54" s="3">
        <v>40.55</v>
      </c>
      <c r="I54" s="3">
        <v>43.2</v>
      </c>
      <c r="K54" s="3">
        <v>0.0</v>
      </c>
      <c r="L54" s="3">
        <v>3.0</v>
      </c>
      <c r="M54" s="3" t="s">
        <v>83</v>
      </c>
      <c r="N54" s="3">
        <v>0.9991</v>
      </c>
      <c r="O54" s="3">
        <v>0.0</v>
      </c>
      <c r="P54" s="3">
        <v>0.7331</v>
      </c>
      <c r="Q54" s="3">
        <v>0.0</v>
      </c>
      <c r="R54" s="3">
        <v>0.4327</v>
      </c>
      <c r="S54" s="3">
        <v>77.110001</v>
      </c>
      <c r="T54" s="3">
        <v>23.0</v>
      </c>
      <c r="U54" s="3">
        <f t="shared" si="2"/>
        <v>41.875</v>
      </c>
      <c r="V54" s="3"/>
      <c r="W54" s="3">
        <f t="shared" si="3"/>
        <v>42.11223704</v>
      </c>
      <c r="X54" s="3">
        <f t="shared" si="4"/>
        <v>6.10830304</v>
      </c>
      <c r="Y54" s="3">
        <f t="shared" si="5"/>
        <v>5.977580481</v>
      </c>
      <c r="Z54" s="3">
        <f t="shared" ref="Z54:AA54" si="57">_xlfn.NORM.S.DIST(X54)</f>
        <v>0.9999999995</v>
      </c>
      <c r="AA54" s="3">
        <f t="shared" si="57"/>
        <v>0.9999999989</v>
      </c>
    </row>
    <row r="55" ht="14.25" customHeight="1">
      <c r="A55" s="3" t="s">
        <v>150</v>
      </c>
      <c r="B55" s="3" t="s">
        <v>151</v>
      </c>
      <c r="C55" s="3" t="s">
        <v>129</v>
      </c>
      <c r="D55" s="3" t="s">
        <v>29</v>
      </c>
      <c r="E55" s="3">
        <v>35.0</v>
      </c>
      <c r="F55" s="3" t="s">
        <v>27</v>
      </c>
      <c r="G55" s="3">
        <v>41.0</v>
      </c>
      <c r="I55" s="3">
        <v>44.2</v>
      </c>
      <c r="K55" s="3">
        <v>0.0</v>
      </c>
      <c r="L55" s="3">
        <v>3.0</v>
      </c>
      <c r="M55" s="3" t="s">
        <v>84</v>
      </c>
      <c r="N55" s="3">
        <v>0.9991</v>
      </c>
      <c r="O55" s="3">
        <v>0.0</v>
      </c>
      <c r="P55" s="3">
        <v>0.7473</v>
      </c>
      <c r="Q55" s="3">
        <v>0.0</v>
      </c>
      <c r="R55" s="3">
        <v>0.3558</v>
      </c>
      <c r="S55" s="3">
        <v>77.580002</v>
      </c>
      <c r="T55" s="3">
        <v>22.0</v>
      </c>
      <c r="U55" s="3">
        <f t="shared" si="2"/>
        <v>42.6</v>
      </c>
      <c r="V55" s="3"/>
      <c r="W55" s="3">
        <f t="shared" si="3"/>
        <v>42.58214082</v>
      </c>
      <c r="X55" s="3">
        <f t="shared" si="4"/>
        <v>7.624526415</v>
      </c>
      <c r="Y55" s="3">
        <f t="shared" si="5"/>
        <v>7.519398751</v>
      </c>
      <c r="Z55" s="3">
        <f t="shared" ref="Z55:AA55" si="58">_xlfn.NORM.S.DIST(X55)</f>
        <v>1</v>
      </c>
      <c r="AA55" s="3">
        <f t="shared" si="58"/>
        <v>1</v>
      </c>
    </row>
    <row r="56" ht="14.25" customHeight="1">
      <c r="A56" s="3" t="s">
        <v>150</v>
      </c>
      <c r="B56" s="3" t="s">
        <v>151</v>
      </c>
      <c r="C56" s="3" t="s">
        <v>129</v>
      </c>
      <c r="D56" s="3" t="s">
        <v>29</v>
      </c>
      <c r="E56" s="3">
        <v>35.0</v>
      </c>
      <c r="F56" s="3" t="s">
        <v>27</v>
      </c>
      <c r="G56" s="3">
        <v>40.9</v>
      </c>
      <c r="I56" s="3">
        <v>43.75</v>
      </c>
      <c r="K56" s="3">
        <v>0.0</v>
      </c>
      <c r="L56" s="3">
        <v>3.0</v>
      </c>
      <c r="M56" s="3" t="s">
        <v>85</v>
      </c>
      <c r="N56" s="3">
        <v>0.9991</v>
      </c>
      <c r="O56" s="3">
        <v>0.0</v>
      </c>
      <c r="P56" s="3">
        <v>0.7433</v>
      </c>
      <c r="Q56" s="3">
        <v>0.0</v>
      </c>
      <c r="R56" s="3">
        <v>0.3677</v>
      </c>
      <c r="S56" s="3">
        <v>77.209999</v>
      </c>
      <c r="T56" s="3">
        <v>21.0</v>
      </c>
      <c r="U56" s="3">
        <f t="shared" si="2"/>
        <v>42.325</v>
      </c>
      <c r="V56" s="3"/>
      <c r="W56" s="3">
        <f t="shared" si="3"/>
        <v>42.21204061</v>
      </c>
      <c r="X56" s="3">
        <f t="shared" si="4"/>
        <v>7.507337632</v>
      </c>
      <c r="Y56" s="3">
        <f t="shared" si="5"/>
        <v>7.401191785</v>
      </c>
      <c r="Z56" s="3">
        <f t="shared" ref="Z56:AA56" si="59">_xlfn.NORM.S.DIST(X56)</f>
        <v>1</v>
      </c>
      <c r="AA56" s="3">
        <f t="shared" si="59"/>
        <v>1</v>
      </c>
    </row>
    <row r="57" ht="14.25" customHeight="1">
      <c r="A57" s="3" t="s">
        <v>150</v>
      </c>
      <c r="B57" s="3" t="s">
        <v>151</v>
      </c>
      <c r="C57" s="3" t="s">
        <v>129</v>
      </c>
      <c r="D57" s="3" t="s">
        <v>29</v>
      </c>
      <c r="E57" s="3">
        <v>35.0</v>
      </c>
      <c r="F57" s="3" t="s">
        <v>27</v>
      </c>
      <c r="G57" s="3">
        <v>40.65</v>
      </c>
      <c r="I57" s="3">
        <v>43.7</v>
      </c>
      <c r="K57" s="3">
        <v>0.0</v>
      </c>
      <c r="L57" s="3">
        <v>3.0</v>
      </c>
      <c r="M57" s="3" t="s">
        <v>86</v>
      </c>
      <c r="N57" s="3">
        <v>0.9991</v>
      </c>
      <c r="O57" s="3">
        <v>0.0</v>
      </c>
      <c r="P57" s="3">
        <v>0.753</v>
      </c>
      <c r="Q57" s="3">
        <v>0.0</v>
      </c>
      <c r="R57" s="3">
        <v>0.2753</v>
      </c>
      <c r="S57" s="3">
        <v>77.269997</v>
      </c>
      <c r="T57" s="3">
        <v>20.0</v>
      </c>
      <c r="U57" s="3">
        <f t="shared" si="2"/>
        <v>42.175</v>
      </c>
      <c r="V57" s="3"/>
      <c r="W57" s="3">
        <f t="shared" si="3"/>
        <v>42.27194139</v>
      </c>
      <c r="X57" s="3">
        <f t="shared" si="4"/>
        <v>10.25079484</v>
      </c>
      <c r="Y57" s="3">
        <f t="shared" si="5"/>
        <v>10.17323785</v>
      </c>
      <c r="Z57" s="3">
        <f t="shared" ref="Z57:AA57" si="60">_xlfn.NORM.S.DIST(X57)</f>
        <v>1</v>
      </c>
      <c r="AA57" s="3">
        <f t="shared" si="60"/>
        <v>1</v>
      </c>
    </row>
    <row r="58" ht="14.25" customHeight="1">
      <c r="A58" s="3" t="s">
        <v>150</v>
      </c>
      <c r="B58" s="3" t="s">
        <v>151</v>
      </c>
      <c r="C58" s="3" t="s">
        <v>129</v>
      </c>
      <c r="D58" s="3" t="s">
        <v>29</v>
      </c>
      <c r="E58" s="3">
        <v>35.0</v>
      </c>
      <c r="F58" s="3" t="s">
        <v>27</v>
      </c>
      <c r="G58" s="3">
        <v>39.85</v>
      </c>
      <c r="I58" s="3">
        <v>43.25</v>
      </c>
      <c r="K58" s="3">
        <v>0.0</v>
      </c>
      <c r="L58" s="3">
        <v>3.0</v>
      </c>
      <c r="M58" s="3" t="s">
        <v>87</v>
      </c>
      <c r="N58" s="3">
        <v>0.9992</v>
      </c>
      <c r="O58" s="3">
        <v>0.0</v>
      </c>
      <c r="P58" s="3">
        <v>0.8218</v>
      </c>
      <c r="Q58" s="3">
        <v>0.0</v>
      </c>
      <c r="R58" s="3">
        <v>0.3623</v>
      </c>
      <c r="S58" s="3">
        <v>76.68</v>
      </c>
      <c r="T58" s="3">
        <v>19.0</v>
      </c>
      <c r="U58" s="3">
        <f t="shared" si="2"/>
        <v>41.55</v>
      </c>
      <c r="V58" s="3"/>
      <c r="W58" s="3">
        <f t="shared" si="3"/>
        <v>41.68184717</v>
      </c>
      <c r="X58" s="3">
        <f t="shared" si="4"/>
        <v>7.934031575</v>
      </c>
      <c r="Y58" s="3">
        <f t="shared" si="5"/>
        <v>7.834549494</v>
      </c>
      <c r="Z58" s="3">
        <f t="shared" ref="Z58:AA58" si="61">_xlfn.NORM.S.DIST(X58)</f>
        <v>1</v>
      </c>
      <c r="AA58" s="3">
        <f t="shared" si="61"/>
        <v>1</v>
      </c>
    </row>
    <row r="59" ht="14.25" customHeight="1">
      <c r="A59" s="3" t="s">
        <v>150</v>
      </c>
      <c r="B59" s="3" t="s">
        <v>151</v>
      </c>
      <c r="C59" s="3" t="s">
        <v>129</v>
      </c>
      <c r="D59" s="3" t="s">
        <v>29</v>
      </c>
      <c r="E59" s="3">
        <v>35.0</v>
      </c>
      <c r="F59" s="3" t="s">
        <v>27</v>
      </c>
      <c r="G59" s="3">
        <v>40.5</v>
      </c>
      <c r="I59" s="3">
        <v>43.9</v>
      </c>
      <c r="K59" s="3">
        <v>0.0</v>
      </c>
      <c r="L59" s="3">
        <v>3.0</v>
      </c>
      <c r="M59" s="3" t="s">
        <v>88</v>
      </c>
      <c r="N59" s="3">
        <v>0.9992</v>
      </c>
      <c r="O59" s="3">
        <v>0.0</v>
      </c>
      <c r="P59" s="3">
        <v>0.8318</v>
      </c>
      <c r="Q59" s="3">
        <v>0.0</v>
      </c>
      <c r="R59" s="3">
        <v>0.2435</v>
      </c>
      <c r="S59" s="3">
        <v>77.400002</v>
      </c>
      <c r="T59" s="3">
        <v>18.0</v>
      </c>
      <c r="U59" s="3">
        <f t="shared" si="2"/>
        <v>42.2</v>
      </c>
      <c r="V59" s="3"/>
      <c r="W59" s="3">
        <f t="shared" si="3"/>
        <v>42.40175196</v>
      </c>
      <c r="X59" s="3">
        <f t="shared" si="4"/>
        <v>12.22847891</v>
      </c>
      <c r="Y59" s="3">
        <f t="shared" si="5"/>
        <v>12.1634008</v>
      </c>
      <c r="Z59" s="3">
        <f t="shared" ref="Z59:AA59" si="62">_xlfn.NORM.S.DIST(X59)</f>
        <v>1</v>
      </c>
      <c r="AA59" s="3">
        <f t="shared" si="62"/>
        <v>1</v>
      </c>
    </row>
    <row r="60" ht="14.25" customHeight="1">
      <c r="A60" s="3" t="s">
        <v>150</v>
      </c>
      <c r="B60" s="3" t="s">
        <v>151</v>
      </c>
      <c r="C60" s="3" t="s">
        <v>129</v>
      </c>
      <c r="D60" s="3" t="s">
        <v>29</v>
      </c>
      <c r="E60" s="3">
        <v>35.0</v>
      </c>
      <c r="F60" s="3" t="s">
        <v>27</v>
      </c>
      <c r="G60" s="3">
        <v>40.1</v>
      </c>
      <c r="I60" s="3">
        <v>43.2</v>
      </c>
      <c r="K60" s="3">
        <v>0.0</v>
      </c>
      <c r="L60" s="3">
        <v>3.0</v>
      </c>
      <c r="M60" s="3" t="s">
        <v>89</v>
      </c>
      <c r="N60" s="3">
        <v>0.9992</v>
      </c>
      <c r="O60" s="3">
        <v>0.0</v>
      </c>
      <c r="P60" s="3">
        <v>0.8289</v>
      </c>
      <c r="Q60" s="3">
        <v>0.0</v>
      </c>
      <c r="R60" s="3">
        <v>0.303</v>
      </c>
      <c r="S60" s="3">
        <v>77.059998</v>
      </c>
      <c r="T60" s="3">
        <v>17.0</v>
      </c>
      <c r="U60" s="3">
        <f t="shared" si="2"/>
        <v>41.65</v>
      </c>
      <c r="V60" s="3"/>
      <c r="W60" s="3">
        <f t="shared" si="3"/>
        <v>42.06165074</v>
      </c>
      <c r="X60" s="3">
        <f t="shared" si="4"/>
        <v>10.06854695</v>
      </c>
      <c r="Y60" s="3">
        <f t="shared" si="5"/>
        <v>9.989848381</v>
      </c>
      <c r="Z60" s="3">
        <f t="shared" ref="Z60:AA60" si="63">_xlfn.NORM.S.DIST(X60)</f>
        <v>1</v>
      </c>
      <c r="AA60" s="3">
        <f t="shared" si="63"/>
        <v>1</v>
      </c>
    </row>
    <row r="61" ht="14.25" customHeight="1">
      <c r="A61" s="3" t="s">
        <v>150</v>
      </c>
      <c r="B61" s="3" t="s">
        <v>151</v>
      </c>
      <c r="C61" s="3" t="s">
        <v>129</v>
      </c>
      <c r="D61" s="3" t="s">
        <v>29</v>
      </c>
      <c r="E61" s="3">
        <v>35.0</v>
      </c>
      <c r="F61" s="3" t="s">
        <v>27</v>
      </c>
      <c r="G61" s="3">
        <v>40.35</v>
      </c>
      <c r="I61" s="3">
        <v>43.6</v>
      </c>
      <c r="K61" s="3">
        <v>0.0</v>
      </c>
      <c r="L61" s="3">
        <v>3.0</v>
      </c>
      <c r="M61" s="3" t="s">
        <v>90</v>
      </c>
      <c r="N61" s="3">
        <v>0.9992</v>
      </c>
      <c r="O61" s="3">
        <v>0.0</v>
      </c>
      <c r="P61" s="3">
        <v>0.8976</v>
      </c>
      <c r="Q61" s="3">
        <v>0.0</v>
      </c>
      <c r="R61" s="3">
        <v>0.1809</v>
      </c>
      <c r="S61" s="3">
        <v>77.059998</v>
      </c>
      <c r="T61" s="3">
        <v>16.0</v>
      </c>
      <c r="U61" s="3">
        <f t="shared" si="2"/>
        <v>41.975</v>
      </c>
      <c r="V61" s="3"/>
      <c r="W61" s="3">
        <f t="shared" si="3"/>
        <v>42.06155352</v>
      </c>
      <c r="X61" s="3">
        <f t="shared" si="4"/>
        <v>17.33821776</v>
      </c>
      <c r="Y61" s="3">
        <f t="shared" si="5"/>
        <v>17.29263525</v>
      </c>
      <c r="Z61" s="3">
        <f t="shared" ref="Z61:AA61" si="64">_xlfn.NORM.S.DIST(X61)</f>
        <v>1</v>
      </c>
      <c r="AA61" s="3">
        <f t="shared" si="64"/>
        <v>1</v>
      </c>
    </row>
    <row r="62" ht="14.25" customHeight="1">
      <c r="A62" s="3" t="s">
        <v>150</v>
      </c>
      <c r="B62" s="3" t="s">
        <v>151</v>
      </c>
      <c r="C62" s="3" t="s">
        <v>129</v>
      </c>
      <c r="D62" s="3" t="s">
        <v>29</v>
      </c>
      <c r="E62" s="3">
        <v>35.0</v>
      </c>
      <c r="F62" s="3" t="s">
        <v>27</v>
      </c>
      <c r="G62" s="3">
        <v>40.45</v>
      </c>
      <c r="I62" s="3">
        <v>44.15</v>
      </c>
      <c r="K62" s="3">
        <v>0.0</v>
      </c>
      <c r="L62" s="3">
        <v>3.0</v>
      </c>
      <c r="M62" s="3" t="s">
        <v>91</v>
      </c>
      <c r="N62" s="3">
        <v>0.9994</v>
      </c>
      <c r="O62" s="3">
        <v>0.0</v>
      </c>
      <c r="P62" s="3">
        <v>0.9076</v>
      </c>
      <c r="Q62" s="3">
        <v>0.0</v>
      </c>
      <c r="R62" s="3">
        <v>0.2725</v>
      </c>
      <c r="S62" s="3">
        <v>77.699997</v>
      </c>
      <c r="T62" s="3">
        <v>15.0</v>
      </c>
      <c r="U62" s="3">
        <f t="shared" si="2"/>
        <v>42.3</v>
      </c>
      <c r="V62" s="3"/>
      <c r="W62" s="3">
        <f t="shared" si="3"/>
        <v>42.7014553</v>
      </c>
      <c r="X62" s="3">
        <f t="shared" si="4"/>
        <v>12.02948898</v>
      </c>
      <c r="Y62" s="3">
        <f t="shared" si="5"/>
        <v>11.96300579</v>
      </c>
      <c r="Z62" s="3">
        <f t="shared" ref="Z62:AA62" si="65">_xlfn.NORM.S.DIST(X62)</f>
        <v>1</v>
      </c>
      <c r="AA62" s="3">
        <f t="shared" si="65"/>
        <v>1</v>
      </c>
    </row>
    <row r="63" ht="14.25" customHeight="1">
      <c r="A63" s="3" t="s">
        <v>150</v>
      </c>
      <c r="B63" s="3" t="s">
        <v>151</v>
      </c>
      <c r="C63" s="3" t="s">
        <v>129</v>
      </c>
      <c r="D63" s="3" t="s">
        <v>29</v>
      </c>
      <c r="E63" s="3">
        <v>35.0</v>
      </c>
      <c r="F63" s="3" t="s">
        <v>27</v>
      </c>
      <c r="G63" s="3">
        <v>41.85</v>
      </c>
      <c r="I63" s="3">
        <v>45.4</v>
      </c>
      <c r="K63" s="3">
        <v>0.0</v>
      </c>
      <c r="L63" s="3">
        <v>3.0</v>
      </c>
      <c r="M63" s="3" t="s">
        <v>92</v>
      </c>
      <c r="N63" s="3">
        <v>0.9996</v>
      </c>
      <c r="O63" s="3">
        <v>0.0</v>
      </c>
      <c r="P63" s="3">
        <v>0.5523</v>
      </c>
      <c r="Q63" s="3">
        <v>0.0</v>
      </c>
      <c r="R63" s="3">
        <v>0.224</v>
      </c>
      <c r="S63" s="3">
        <v>78.959999</v>
      </c>
      <c r="T63" s="3">
        <v>14.0</v>
      </c>
      <c r="U63" s="3">
        <f t="shared" si="2"/>
        <v>43.625</v>
      </c>
      <c r="V63" s="3"/>
      <c r="W63" s="3">
        <f t="shared" si="3"/>
        <v>43.96136008</v>
      </c>
      <c r="X63" s="3">
        <f t="shared" si="4"/>
        <v>15.43688579</v>
      </c>
      <c r="Y63" s="3">
        <f t="shared" si="5"/>
        <v>15.38408848</v>
      </c>
      <c r="Z63" s="3">
        <f t="shared" ref="Z63:AA63" si="66">_xlfn.NORM.S.DIST(X63)</f>
        <v>1</v>
      </c>
      <c r="AA63" s="3">
        <f t="shared" si="66"/>
        <v>1</v>
      </c>
    </row>
    <row r="64" ht="14.25" customHeight="1">
      <c r="A64" s="3" t="s">
        <v>150</v>
      </c>
      <c r="B64" s="3" t="s">
        <v>151</v>
      </c>
      <c r="C64" s="3" t="s">
        <v>129</v>
      </c>
      <c r="D64" s="3" t="s">
        <v>29</v>
      </c>
      <c r="E64" s="3">
        <v>35.0</v>
      </c>
      <c r="F64" s="3" t="s">
        <v>27</v>
      </c>
      <c r="G64" s="3">
        <v>41.45</v>
      </c>
      <c r="I64" s="3">
        <v>44.9</v>
      </c>
      <c r="K64" s="3">
        <v>0.0</v>
      </c>
      <c r="L64" s="3">
        <v>3.0</v>
      </c>
      <c r="M64" s="3" t="s">
        <v>93</v>
      </c>
      <c r="N64" s="3">
        <v>0.9993</v>
      </c>
      <c r="O64" s="3">
        <v>0.0</v>
      </c>
      <c r="P64" s="3">
        <v>1.1874</v>
      </c>
      <c r="Q64" s="3">
        <v>0.0</v>
      </c>
      <c r="R64" s="3">
        <v>0.3688</v>
      </c>
      <c r="S64" s="3">
        <v>78.120003</v>
      </c>
      <c r="T64" s="3">
        <v>13.0</v>
      </c>
      <c r="U64" s="3">
        <f t="shared" si="2"/>
        <v>43.175</v>
      </c>
      <c r="V64" s="3"/>
      <c r="W64" s="3">
        <f t="shared" si="3"/>
        <v>43.12126687</v>
      </c>
      <c r="X64" s="3">
        <f t="shared" si="4"/>
        <v>9.627445679</v>
      </c>
      <c r="Y64" s="3">
        <f t="shared" si="5"/>
        <v>9.543680732</v>
      </c>
      <c r="Z64" s="3">
        <f t="shared" ref="Z64:AA64" si="67">_xlfn.NORM.S.DIST(X64)</f>
        <v>1</v>
      </c>
      <c r="AA64" s="3">
        <f t="shared" si="67"/>
        <v>1</v>
      </c>
    </row>
    <row r="65" ht="14.25" customHeight="1">
      <c r="A65" s="3" t="s">
        <v>150</v>
      </c>
      <c r="B65" s="3" t="s">
        <v>151</v>
      </c>
      <c r="C65" s="3" t="s">
        <v>129</v>
      </c>
      <c r="D65" s="3" t="s">
        <v>29</v>
      </c>
      <c r="E65" s="3">
        <v>35.0</v>
      </c>
      <c r="F65" s="3" t="s">
        <v>27</v>
      </c>
      <c r="G65" s="3">
        <v>41.9</v>
      </c>
      <c r="I65" s="3">
        <v>45.05</v>
      </c>
      <c r="K65" s="3">
        <v>0.0</v>
      </c>
      <c r="L65" s="3">
        <v>3.0</v>
      </c>
      <c r="M65" s="3" t="s">
        <v>94</v>
      </c>
      <c r="N65" s="3">
        <v>0.9997</v>
      </c>
      <c r="O65" s="3">
        <v>0.0</v>
      </c>
      <c r="P65" s="3">
        <v>0.5488</v>
      </c>
      <c r="Q65" s="3">
        <v>0.0</v>
      </c>
      <c r="R65" s="3">
        <v>0.3123</v>
      </c>
      <c r="S65" s="3">
        <v>78.540001</v>
      </c>
      <c r="T65" s="3">
        <v>12.0</v>
      </c>
      <c r="U65" s="3">
        <f t="shared" si="2"/>
        <v>43.475</v>
      </c>
      <c r="V65" s="3"/>
      <c r="W65" s="3">
        <f t="shared" si="3"/>
        <v>43.54116765</v>
      </c>
      <c r="X65" s="3">
        <f t="shared" si="4"/>
        <v>11.89467474</v>
      </c>
      <c r="Y65" s="3">
        <f t="shared" si="5"/>
        <v>11.82652529</v>
      </c>
      <c r="Z65" s="3">
        <f t="shared" ref="Z65:AA65" si="68">_xlfn.NORM.S.DIST(X65)</f>
        <v>1</v>
      </c>
      <c r="AA65" s="3">
        <f t="shared" si="68"/>
        <v>1</v>
      </c>
    </row>
    <row r="66" ht="14.25" customHeight="1">
      <c r="A66" s="3" t="s">
        <v>150</v>
      </c>
      <c r="B66" s="3" t="s">
        <v>151</v>
      </c>
      <c r="C66" s="3" t="s">
        <v>129</v>
      </c>
      <c r="D66" s="3" t="s">
        <v>29</v>
      </c>
      <c r="E66" s="3">
        <v>35.0</v>
      </c>
      <c r="F66" s="3" t="s">
        <v>27</v>
      </c>
      <c r="G66" s="3">
        <v>41.3</v>
      </c>
      <c r="I66" s="3">
        <v>44.85</v>
      </c>
      <c r="K66" s="3">
        <v>0.0</v>
      </c>
      <c r="L66" s="3">
        <v>3.0</v>
      </c>
      <c r="M66" s="3" t="s">
        <v>95</v>
      </c>
      <c r="N66" s="3">
        <v>1.0</v>
      </c>
      <c r="O66" s="3">
        <v>0.0</v>
      </c>
      <c r="P66" s="3">
        <v>-0.0972</v>
      </c>
      <c r="Q66" s="3">
        <v>0.0</v>
      </c>
      <c r="R66" s="3">
        <v>0.227</v>
      </c>
      <c r="S66" s="3">
        <v>78.230003</v>
      </c>
      <c r="T66" s="3">
        <v>11.0</v>
      </c>
      <c r="U66" s="3">
        <f t="shared" si="2"/>
        <v>43.075</v>
      </c>
      <c r="V66" s="3"/>
      <c r="W66" s="3">
        <f t="shared" si="3"/>
        <v>43.23107243</v>
      </c>
      <c r="X66" s="3">
        <f t="shared" si="4"/>
        <v>16.98330671</v>
      </c>
      <c r="Y66" s="3">
        <f t="shared" si="5"/>
        <v>16.93588011</v>
      </c>
      <c r="Z66" s="3">
        <f t="shared" ref="Z66:AA66" si="69">_xlfn.NORM.S.DIST(X66)</f>
        <v>1</v>
      </c>
      <c r="AA66" s="3">
        <f t="shared" si="69"/>
        <v>1</v>
      </c>
    </row>
    <row r="67" ht="14.25" customHeight="1">
      <c r="A67" s="3" t="s">
        <v>150</v>
      </c>
      <c r="B67" s="3" t="s">
        <v>151</v>
      </c>
      <c r="C67" s="3" t="s">
        <v>129</v>
      </c>
      <c r="D67" s="3" t="s">
        <v>29</v>
      </c>
      <c r="E67" s="3">
        <v>35.0</v>
      </c>
      <c r="F67" s="3" t="s">
        <v>27</v>
      </c>
      <c r="G67" s="3">
        <v>41.4</v>
      </c>
      <c r="I67" s="3">
        <v>45.3</v>
      </c>
      <c r="K67" s="3">
        <v>0.0</v>
      </c>
      <c r="L67" s="3">
        <v>3.0</v>
      </c>
      <c r="M67" s="3" t="s">
        <v>96</v>
      </c>
      <c r="N67" s="3">
        <v>1.0</v>
      </c>
      <c r="O67" s="3">
        <v>0.0</v>
      </c>
      <c r="P67" s="3">
        <v>-0.0972</v>
      </c>
      <c r="Q67" s="3">
        <v>0.0</v>
      </c>
      <c r="R67" s="3">
        <v>0.2577</v>
      </c>
      <c r="S67" s="3">
        <v>78.790001</v>
      </c>
      <c r="T67" s="3">
        <v>10.0</v>
      </c>
      <c r="U67" s="3">
        <f t="shared" si="2"/>
        <v>43.35</v>
      </c>
      <c r="V67" s="3"/>
      <c r="W67" s="3">
        <f t="shared" si="3"/>
        <v>43.79097321</v>
      </c>
      <c r="X67" s="3">
        <f t="shared" si="4"/>
        <v>15.83290874</v>
      </c>
      <c r="Y67" s="3">
        <f t="shared" si="5"/>
        <v>15.78157367</v>
      </c>
      <c r="Z67" s="3">
        <f t="shared" ref="Z67:AA67" si="70">_xlfn.NORM.S.DIST(X67)</f>
        <v>1</v>
      </c>
      <c r="AA67" s="3">
        <f t="shared" si="70"/>
        <v>1</v>
      </c>
    </row>
    <row r="68" ht="14.25" customHeight="1">
      <c r="A68" s="3" t="s">
        <v>150</v>
      </c>
      <c r="B68" s="3" t="s">
        <v>151</v>
      </c>
      <c r="C68" s="3" t="s">
        <v>129</v>
      </c>
      <c r="D68" s="3" t="s">
        <v>29</v>
      </c>
      <c r="E68" s="3">
        <v>35.0</v>
      </c>
      <c r="F68" s="3" t="s">
        <v>27</v>
      </c>
      <c r="G68" s="3">
        <v>41.65</v>
      </c>
      <c r="I68" s="3">
        <v>45.1</v>
      </c>
      <c r="K68" s="3">
        <v>0.0</v>
      </c>
      <c r="L68" s="3">
        <v>3.0</v>
      </c>
      <c r="M68" s="3" t="s">
        <v>97</v>
      </c>
      <c r="N68" s="3">
        <v>1.0</v>
      </c>
      <c r="O68" s="3">
        <v>0.0</v>
      </c>
      <c r="P68" s="3">
        <v>-0.0972</v>
      </c>
      <c r="Q68" s="3">
        <v>0.0</v>
      </c>
      <c r="R68" s="3">
        <v>0.186</v>
      </c>
      <c r="S68" s="3">
        <v>78.260002</v>
      </c>
      <c r="T68" s="3">
        <v>9.0</v>
      </c>
      <c r="U68" s="3">
        <f t="shared" si="2"/>
        <v>43.375</v>
      </c>
      <c r="V68" s="3"/>
      <c r="W68" s="3">
        <f t="shared" si="3"/>
        <v>43.26087699</v>
      </c>
      <c r="X68" s="3">
        <f t="shared" si="4"/>
        <v>22.91082278</v>
      </c>
      <c r="Y68" s="3">
        <f t="shared" si="5"/>
        <v>22.87567209</v>
      </c>
      <c r="Z68" s="3">
        <f t="shared" ref="Z68:AA68" si="71">_xlfn.NORM.S.DIST(X68)</f>
        <v>1</v>
      </c>
      <c r="AA68" s="3">
        <f t="shared" si="71"/>
        <v>1</v>
      </c>
    </row>
    <row r="69" ht="14.25" customHeight="1">
      <c r="A69" s="3" t="s">
        <v>150</v>
      </c>
      <c r="B69" s="3" t="s">
        <v>151</v>
      </c>
      <c r="C69" s="3" t="s">
        <v>129</v>
      </c>
      <c r="D69" s="3" t="s">
        <v>29</v>
      </c>
      <c r="E69" s="3">
        <v>35.0</v>
      </c>
      <c r="F69" s="3" t="s">
        <v>27</v>
      </c>
      <c r="G69" s="3">
        <v>41.95</v>
      </c>
      <c r="I69" s="3">
        <v>46.4</v>
      </c>
      <c r="K69" s="3">
        <v>0.0</v>
      </c>
      <c r="L69" s="3">
        <v>3.0</v>
      </c>
      <c r="M69" s="3" t="s">
        <v>98</v>
      </c>
      <c r="N69" s="3">
        <v>1.0</v>
      </c>
      <c r="O69" s="3">
        <v>0.0</v>
      </c>
      <c r="P69" s="3">
        <v>-0.0972</v>
      </c>
      <c r="Q69" s="3">
        <v>0.0</v>
      </c>
      <c r="R69" s="3">
        <v>0.2058</v>
      </c>
      <c r="S69" s="3">
        <v>79.239998</v>
      </c>
      <c r="T69" s="3">
        <v>8.0</v>
      </c>
      <c r="U69" s="3">
        <f t="shared" si="2"/>
        <v>44.175</v>
      </c>
      <c r="V69" s="3"/>
      <c r="W69" s="3">
        <f t="shared" si="3"/>
        <v>44.24077577</v>
      </c>
      <c r="X69" s="3">
        <f t="shared" si="4"/>
        <v>22.30343163</v>
      </c>
      <c r="Y69" s="3">
        <f t="shared" si="5"/>
        <v>22.26676339</v>
      </c>
      <c r="Z69" s="3">
        <f t="shared" ref="Z69:AA69" si="72">_xlfn.NORM.S.DIST(X69)</f>
        <v>1</v>
      </c>
      <c r="AA69" s="3">
        <f t="shared" si="72"/>
        <v>1</v>
      </c>
    </row>
    <row r="70" ht="14.25" customHeight="1">
      <c r="A70" s="3" t="s">
        <v>150</v>
      </c>
      <c r="B70" s="3" t="s">
        <v>151</v>
      </c>
      <c r="C70" s="3" t="s">
        <v>129</v>
      </c>
      <c r="D70" s="3" t="s">
        <v>29</v>
      </c>
      <c r="E70" s="3">
        <v>35.0</v>
      </c>
      <c r="F70" s="3" t="s">
        <v>27</v>
      </c>
      <c r="G70" s="3">
        <v>43.15</v>
      </c>
      <c r="I70" s="3">
        <v>46.6</v>
      </c>
      <c r="K70" s="3">
        <v>0.0</v>
      </c>
      <c r="L70" s="3">
        <v>3.0</v>
      </c>
      <c r="M70" s="3" t="s">
        <v>99</v>
      </c>
      <c r="N70" s="3">
        <v>1.0</v>
      </c>
      <c r="O70" s="3">
        <v>0.0</v>
      </c>
      <c r="P70" s="3">
        <v>-0.0972</v>
      </c>
      <c r="Q70" s="3">
        <v>0.0</v>
      </c>
      <c r="R70" s="3">
        <v>0.2611</v>
      </c>
      <c r="S70" s="3">
        <v>79.669998</v>
      </c>
      <c r="T70" s="3">
        <v>7.0</v>
      </c>
      <c r="U70" s="3">
        <f t="shared" si="2"/>
        <v>44.875</v>
      </c>
      <c r="V70" s="3"/>
      <c r="W70" s="3">
        <f t="shared" si="3"/>
        <v>44.67067855</v>
      </c>
      <c r="X70" s="3">
        <f t="shared" si="4"/>
        <v>18.92404392</v>
      </c>
      <c r="Y70" s="3">
        <f t="shared" si="5"/>
        <v>18.88052726</v>
      </c>
      <c r="Z70" s="3">
        <f t="shared" ref="Z70:AA70" si="73">_xlfn.NORM.S.DIST(X70)</f>
        <v>1</v>
      </c>
      <c r="AA70" s="3">
        <f t="shared" si="73"/>
        <v>1</v>
      </c>
    </row>
    <row r="71" ht="14.25" customHeight="1">
      <c r="A71" s="3" t="s">
        <v>150</v>
      </c>
      <c r="B71" s="3" t="s">
        <v>151</v>
      </c>
      <c r="C71" s="3" t="s">
        <v>129</v>
      </c>
      <c r="D71" s="3" t="s">
        <v>29</v>
      </c>
      <c r="E71" s="3">
        <v>35.0</v>
      </c>
      <c r="F71" s="3" t="s">
        <v>27</v>
      </c>
      <c r="G71" s="3">
        <v>42.9</v>
      </c>
      <c r="I71" s="3">
        <v>47.25</v>
      </c>
      <c r="K71" s="3">
        <v>0.0</v>
      </c>
      <c r="L71" s="3">
        <v>3.0</v>
      </c>
      <c r="M71" s="3" t="s">
        <v>100</v>
      </c>
      <c r="N71" s="3">
        <v>1.0</v>
      </c>
      <c r="O71" s="3">
        <v>0.0</v>
      </c>
      <c r="P71" s="3">
        <v>-0.0972</v>
      </c>
      <c r="Q71" s="3">
        <v>0.0</v>
      </c>
      <c r="R71" s="3">
        <v>0.3212</v>
      </c>
      <c r="S71" s="3">
        <v>80.080002</v>
      </c>
      <c r="T71" s="3">
        <v>6.0</v>
      </c>
      <c r="U71" s="3">
        <f t="shared" si="2"/>
        <v>45.075</v>
      </c>
      <c r="V71" s="3"/>
      <c r="W71" s="3">
        <f t="shared" si="3"/>
        <v>45.08058533</v>
      </c>
      <c r="X71" s="3">
        <f t="shared" si="4"/>
        <v>16.72489055</v>
      </c>
      <c r="Y71" s="3">
        <f t="shared" si="5"/>
        <v>16.67532832</v>
      </c>
      <c r="Z71" s="3">
        <f t="shared" ref="Z71:AA71" si="74">_xlfn.NORM.S.DIST(X71)</f>
        <v>1</v>
      </c>
      <c r="AA71" s="3">
        <f t="shared" si="74"/>
        <v>1</v>
      </c>
    </row>
    <row r="72" ht="14.25" customHeight="1">
      <c r="A72" s="3" t="s">
        <v>150</v>
      </c>
      <c r="B72" s="3" t="s">
        <v>151</v>
      </c>
      <c r="C72" s="3" t="s">
        <v>129</v>
      </c>
      <c r="D72" s="3" t="s">
        <v>29</v>
      </c>
      <c r="E72" s="3">
        <v>35.0</v>
      </c>
      <c r="F72" s="3" t="s">
        <v>27</v>
      </c>
      <c r="G72" s="3">
        <v>42.85</v>
      </c>
      <c r="I72" s="3">
        <v>47.05</v>
      </c>
      <c r="K72" s="3">
        <v>0.0</v>
      </c>
      <c r="L72" s="3">
        <v>3.0</v>
      </c>
      <c r="M72" s="3" t="s">
        <v>101</v>
      </c>
      <c r="N72" s="3">
        <v>1.0</v>
      </c>
      <c r="O72" s="3">
        <v>0.0</v>
      </c>
      <c r="P72" s="3">
        <v>-0.0972</v>
      </c>
      <c r="Q72" s="3">
        <v>0.0</v>
      </c>
      <c r="R72" s="3">
        <v>0.2676</v>
      </c>
      <c r="S72" s="3">
        <v>79.650002</v>
      </c>
      <c r="T72" s="3">
        <v>5.0</v>
      </c>
      <c r="U72" s="3">
        <f t="shared" si="2"/>
        <v>44.95</v>
      </c>
      <c r="V72" s="3"/>
      <c r="W72" s="3">
        <f t="shared" si="3"/>
        <v>44.65048811</v>
      </c>
      <c r="X72" s="3">
        <f t="shared" si="4"/>
        <v>21.83426881</v>
      </c>
      <c r="Y72" s="3">
        <f t="shared" si="5"/>
        <v>21.79657493</v>
      </c>
      <c r="Z72" s="3">
        <f t="shared" ref="Z72:AA72" si="75">_xlfn.NORM.S.DIST(X72)</f>
        <v>1</v>
      </c>
      <c r="AA72" s="3">
        <f t="shared" si="75"/>
        <v>1</v>
      </c>
    </row>
    <row r="73" ht="14.25" customHeight="1">
      <c r="A73" s="3" t="s">
        <v>150</v>
      </c>
      <c r="B73" s="3" t="s">
        <v>151</v>
      </c>
      <c r="C73" s="3" t="s">
        <v>129</v>
      </c>
      <c r="D73" s="3" t="s">
        <v>29</v>
      </c>
      <c r="E73" s="3">
        <v>35.0</v>
      </c>
      <c r="F73" s="3" t="s">
        <v>27</v>
      </c>
      <c r="G73" s="3">
        <v>43.2</v>
      </c>
      <c r="I73" s="3">
        <v>46.85</v>
      </c>
      <c r="K73" s="3">
        <v>0.0</v>
      </c>
      <c r="L73" s="3">
        <v>3.0</v>
      </c>
      <c r="M73" s="3" t="s">
        <v>102</v>
      </c>
      <c r="N73" s="3">
        <v>1.0</v>
      </c>
      <c r="O73" s="3">
        <v>0.0</v>
      </c>
      <c r="P73" s="3">
        <v>-0.0972</v>
      </c>
      <c r="Q73" s="3">
        <v>0.0</v>
      </c>
      <c r="R73" s="3">
        <v>0.2332</v>
      </c>
      <c r="S73" s="3">
        <v>80.099998</v>
      </c>
      <c r="T73" s="3">
        <v>4.0</v>
      </c>
      <c r="U73" s="3">
        <f t="shared" si="2"/>
        <v>45.025</v>
      </c>
      <c r="V73" s="3"/>
      <c r="W73" s="3">
        <f t="shared" si="3"/>
        <v>45.10038689</v>
      </c>
      <c r="X73" s="3">
        <f t="shared" si="4"/>
        <v>28.19462642</v>
      </c>
      <c r="Y73" s="3">
        <f t="shared" si="5"/>
        <v>28.16524598</v>
      </c>
      <c r="Z73" s="3">
        <f t="shared" ref="Z73:AA73" si="76">_xlfn.NORM.S.DIST(X73)</f>
        <v>1</v>
      </c>
      <c r="AA73" s="3">
        <f t="shared" si="76"/>
        <v>1</v>
      </c>
    </row>
    <row r="74" ht="14.25" customHeight="1">
      <c r="A74" s="3" t="s">
        <v>150</v>
      </c>
      <c r="B74" s="3" t="s">
        <v>151</v>
      </c>
      <c r="C74" s="3" t="s">
        <v>129</v>
      </c>
      <c r="D74" s="3" t="s">
        <v>29</v>
      </c>
      <c r="E74" s="3">
        <v>35.0</v>
      </c>
      <c r="F74" s="3" t="s">
        <v>27</v>
      </c>
      <c r="G74" s="3">
        <v>41.9</v>
      </c>
      <c r="I74" s="3">
        <v>45.85</v>
      </c>
      <c r="K74" s="3">
        <v>0.0</v>
      </c>
      <c r="L74" s="3">
        <v>3.0</v>
      </c>
      <c r="M74" s="3" t="s">
        <v>103</v>
      </c>
      <c r="N74" s="3">
        <v>1.0</v>
      </c>
      <c r="O74" s="3">
        <v>0.0</v>
      </c>
      <c r="P74" s="3">
        <v>-0.0972</v>
      </c>
      <c r="Q74" s="3">
        <v>0.0</v>
      </c>
      <c r="R74" s="3">
        <v>0.6509</v>
      </c>
      <c r="S74" s="3">
        <v>79.059998</v>
      </c>
      <c r="T74" s="3">
        <v>3.0</v>
      </c>
      <c r="U74" s="3">
        <f t="shared" si="2"/>
        <v>43.875</v>
      </c>
      <c r="V74" s="3"/>
      <c r="W74" s="3">
        <f t="shared" si="3"/>
        <v>44.06028967</v>
      </c>
      <c r="X74" s="3">
        <f t="shared" si="4"/>
        <v>11.5094413</v>
      </c>
      <c r="Y74" s="3">
        <f t="shared" si="5"/>
        <v>11.43842229</v>
      </c>
      <c r="Z74" s="3">
        <f t="shared" ref="Z74:AA74" si="77">_xlfn.NORM.S.DIST(X74)</f>
        <v>1</v>
      </c>
      <c r="AA74" s="3">
        <f t="shared" si="77"/>
        <v>1</v>
      </c>
    </row>
    <row r="75" ht="14.25" customHeight="1">
      <c r="A75" s="3" t="s">
        <v>150</v>
      </c>
      <c r="B75" s="3" t="s">
        <v>151</v>
      </c>
      <c r="C75" s="3" t="s">
        <v>129</v>
      </c>
      <c r="D75" s="3" t="s">
        <v>29</v>
      </c>
      <c r="E75" s="3">
        <v>35.0</v>
      </c>
      <c r="F75" s="3" t="s">
        <v>27</v>
      </c>
      <c r="G75" s="3">
        <v>42.7</v>
      </c>
      <c r="I75" s="3">
        <v>46.95</v>
      </c>
      <c r="K75" s="3">
        <v>0.0</v>
      </c>
      <c r="L75" s="3">
        <v>3.0</v>
      </c>
      <c r="M75" s="3" t="s">
        <v>104</v>
      </c>
      <c r="N75" s="3">
        <v>1.0</v>
      </c>
      <c r="O75" s="3">
        <v>0.0</v>
      </c>
      <c r="P75" s="3">
        <v>-0.0972</v>
      </c>
      <c r="Q75" s="3">
        <v>0.0</v>
      </c>
      <c r="R75" s="3">
        <v>0.728</v>
      </c>
      <c r="S75" s="3">
        <v>79.870003</v>
      </c>
      <c r="T75" s="3">
        <v>2.0</v>
      </c>
      <c r="U75" s="3">
        <f t="shared" si="2"/>
        <v>44.825</v>
      </c>
      <c r="V75" s="3"/>
      <c r="W75" s="3">
        <f t="shared" si="3"/>
        <v>44.87019744</v>
      </c>
      <c r="X75" s="3">
        <f t="shared" si="4"/>
        <v>12.75392678</v>
      </c>
      <c r="Y75" s="3">
        <f t="shared" si="5"/>
        <v>12.68907139</v>
      </c>
      <c r="Z75" s="3">
        <f t="shared" ref="Z75:AA75" si="78">_xlfn.NORM.S.DIST(X75)</f>
        <v>1</v>
      </c>
      <c r="AA75" s="3">
        <f t="shared" si="78"/>
        <v>1</v>
      </c>
    </row>
    <row r="76" ht="14.25" customHeight="1">
      <c r="A76" s="3" t="s">
        <v>150</v>
      </c>
      <c r="B76" s="3" t="s">
        <v>151</v>
      </c>
      <c r="C76" s="3" t="s">
        <v>129</v>
      </c>
      <c r="D76" s="3" t="s">
        <v>29</v>
      </c>
      <c r="E76" s="3">
        <v>35.0</v>
      </c>
      <c r="F76" s="3" t="s">
        <v>27</v>
      </c>
      <c r="G76" s="3">
        <v>44.2</v>
      </c>
      <c r="I76" s="3">
        <v>48.5</v>
      </c>
      <c r="K76" s="3">
        <v>0.0</v>
      </c>
      <c r="L76" s="3">
        <v>3.0</v>
      </c>
      <c r="M76" s="3" t="s">
        <v>105</v>
      </c>
      <c r="N76" s="3">
        <v>1.0</v>
      </c>
      <c r="O76" s="3">
        <v>0.0</v>
      </c>
      <c r="P76" s="3">
        <v>-0.0972</v>
      </c>
      <c r="Q76" s="3">
        <v>0.0</v>
      </c>
      <c r="R76" s="3">
        <v>1.8045</v>
      </c>
      <c r="S76" s="3">
        <v>81.43</v>
      </c>
      <c r="T76" s="3">
        <v>1.0</v>
      </c>
      <c r="U76" s="3">
        <f t="shared" si="2"/>
        <v>46.35</v>
      </c>
      <c r="V76" s="3"/>
      <c r="W76" s="3">
        <f t="shared" si="3"/>
        <v>46.43009722</v>
      </c>
      <c r="X76" s="3">
        <f t="shared" si="4"/>
        <v>7.485160144</v>
      </c>
      <c r="Y76" s="3">
        <f t="shared" si="5"/>
        <v>7.371487329</v>
      </c>
      <c r="Z76" s="3">
        <f t="shared" ref="Z76:AA76" si="79">_xlfn.NORM.S.DIST(X76)</f>
        <v>1</v>
      </c>
      <c r="AA76" s="3">
        <f t="shared" si="79"/>
        <v>1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152</v>
      </c>
      <c r="B2" s="3" t="s">
        <v>153</v>
      </c>
      <c r="C2" s="3" t="s">
        <v>128</v>
      </c>
      <c r="D2" s="3" t="s">
        <v>29</v>
      </c>
      <c r="E2" s="3">
        <v>16.0</v>
      </c>
      <c r="F2" s="3" t="s">
        <v>27</v>
      </c>
      <c r="G2" s="3">
        <v>17.25</v>
      </c>
      <c r="I2" s="3">
        <v>20.4</v>
      </c>
      <c r="K2" s="3">
        <v>0.0</v>
      </c>
      <c r="L2" s="3">
        <v>0.0</v>
      </c>
      <c r="M2" s="3" t="s">
        <v>30</v>
      </c>
      <c r="N2" s="3">
        <v>0.9943</v>
      </c>
      <c r="O2" s="3">
        <v>1.0E-4</v>
      </c>
      <c r="P2" s="3">
        <v>0.5898</v>
      </c>
      <c r="Q2" s="3">
        <v>0.0153</v>
      </c>
      <c r="R2" s="3">
        <v>0.4219</v>
      </c>
      <c r="S2" s="3">
        <v>35.049999</v>
      </c>
      <c r="T2" s="3">
        <v>75.0</v>
      </c>
      <c r="U2" s="3">
        <f t="shared" ref="U2:U76" si="2">(I2+G2)*0.5</f>
        <v>18.825</v>
      </c>
      <c r="V2" s="3"/>
      <c r="W2" s="3">
        <f t="shared" ref="W2:W76" si="3">( S2*Z2 ) - ( E2 * EXP(-0.0007*T2/$AC$2) * AA2)</f>
        <v>19.05378719</v>
      </c>
      <c r="X2" s="3">
        <f t="shared" ref="X2:X76" si="4">((LN(S2/E2) + (0.0007 + (R2^2)/2) * T2/$AC$2)) / (R2 * SQRT(T2/$AC$2))</f>
        <v>3.523046974</v>
      </c>
      <c r="Y2" s="3">
        <f t="shared" ref="Y2:Y76" si="5">X2-(R2*SQRT(T2/$AC$2))</f>
        <v>3.292881655</v>
      </c>
      <c r="Z2" s="3">
        <f t="shared" ref="Z2:AA2" si="1">_xlfn.NORM.S.DIST(X2)</f>
        <v>0.9997866921</v>
      </c>
      <c r="AA2" s="3">
        <f t="shared" si="1"/>
        <v>0.999504169</v>
      </c>
      <c r="AC2" s="6">
        <v>252.0</v>
      </c>
    </row>
    <row r="3" ht="14.25" customHeight="1">
      <c r="A3" s="3" t="s">
        <v>152</v>
      </c>
      <c r="B3" s="3" t="s">
        <v>153</v>
      </c>
      <c r="C3" s="3" t="s">
        <v>128</v>
      </c>
      <c r="D3" s="3" t="s">
        <v>29</v>
      </c>
      <c r="E3" s="3">
        <v>16.0</v>
      </c>
      <c r="F3" s="3" t="s">
        <v>27</v>
      </c>
      <c r="G3" s="3">
        <v>17.3</v>
      </c>
      <c r="I3" s="3">
        <v>20.45</v>
      </c>
      <c r="K3" s="3">
        <v>0.0</v>
      </c>
      <c r="L3" s="3">
        <v>0.0</v>
      </c>
      <c r="M3" s="3" t="s">
        <v>31</v>
      </c>
      <c r="N3" s="3">
        <v>0.9935</v>
      </c>
      <c r="O3" s="3">
        <v>1.0E-4</v>
      </c>
      <c r="P3" s="3">
        <v>0.6758</v>
      </c>
      <c r="Q3" s="3">
        <v>0.0185</v>
      </c>
      <c r="R3" s="3">
        <v>0.4265</v>
      </c>
      <c r="S3" s="3">
        <v>34.759998</v>
      </c>
      <c r="T3" s="3">
        <v>74.0</v>
      </c>
      <c r="U3" s="3">
        <f t="shared" si="2"/>
        <v>18.875</v>
      </c>
      <c r="V3" s="3"/>
      <c r="W3" s="3">
        <f t="shared" si="3"/>
        <v>18.76383901</v>
      </c>
      <c r="X3" s="3">
        <f t="shared" si="4"/>
        <v>3.473508628</v>
      </c>
      <c r="Y3" s="3">
        <f t="shared" si="5"/>
        <v>3.242390173</v>
      </c>
      <c r="Z3" s="3">
        <f t="shared" ref="Z3:AA3" si="6">_xlfn.NORM.S.DIST(X3)</f>
        <v>0.9997431496</v>
      </c>
      <c r="AA3" s="3">
        <f t="shared" si="6"/>
        <v>0.9994073419</v>
      </c>
    </row>
    <row r="4" ht="14.25" customHeight="1">
      <c r="A4" s="3" t="s">
        <v>152</v>
      </c>
      <c r="B4" s="3" t="s">
        <v>153</v>
      </c>
      <c r="C4" s="3" t="s">
        <v>128</v>
      </c>
      <c r="D4" s="3" t="s">
        <v>29</v>
      </c>
      <c r="E4" s="3">
        <v>16.0</v>
      </c>
      <c r="F4" s="3" t="s">
        <v>27</v>
      </c>
      <c r="G4" s="3">
        <v>16.95</v>
      </c>
      <c r="I4" s="3">
        <v>20.5</v>
      </c>
      <c r="K4" s="3">
        <v>0.0</v>
      </c>
      <c r="L4" s="3">
        <v>0.0</v>
      </c>
      <c r="M4" s="3" t="s">
        <v>32</v>
      </c>
      <c r="N4" s="3">
        <v>0.9936</v>
      </c>
      <c r="O4" s="3">
        <v>4.0E-4</v>
      </c>
      <c r="P4" s="3">
        <v>0.559</v>
      </c>
      <c r="Q4" s="3">
        <v>0.0607</v>
      </c>
      <c r="R4" s="3">
        <v>0.4865</v>
      </c>
      <c r="S4" s="3">
        <v>34.939999</v>
      </c>
      <c r="T4" s="3">
        <v>73.0</v>
      </c>
      <c r="U4" s="3">
        <f t="shared" si="2"/>
        <v>18.725</v>
      </c>
      <c r="V4" s="3"/>
      <c r="W4" s="3">
        <f t="shared" si="3"/>
        <v>18.94573091</v>
      </c>
      <c r="X4" s="3">
        <f t="shared" si="4"/>
        <v>3.114545693</v>
      </c>
      <c r="Y4" s="3">
        <f t="shared" si="5"/>
        <v>2.852700863</v>
      </c>
      <c r="Z4" s="3">
        <f t="shared" ref="Z4:AA4" si="7">_xlfn.NORM.S.DIST(X4)</f>
        <v>0.9990788579</v>
      </c>
      <c r="AA4" s="3">
        <f t="shared" si="7"/>
        <v>0.9978325297</v>
      </c>
    </row>
    <row r="5" ht="14.25" customHeight="1">
      <c r="A5" s="3" t="s">
        <v>152</v>
      </c>
      <c r="B5" s="3" t="s">
        <v>153</v>
      </c>
      <c r="C5" s="3" t="s">
        <v>128</v>
      </c>
      <c r="D5" s="3" t="s">
        <v>29</v>
      </c>
      <c r="E5" s="3">
        <v>16.0</v>
      </c>
      <c r="F5" s="3" t="s">
        <v>27</v>
      </c>
      <c r="G5" s="3">
        <v>17.2</v>
      </c>
      <c r="I5" s="3">
        <v>19.85</v>
      </c>
      <c r="K5" s="3">
        <v>0.0</v>
      </c>
      <c r="L5" s="3">
        <v>0.0</v>
      </c>
      <c r="M5" s="3" t="s">
        <v>33</v>
      </c>
      <c r="N5" s="3">
        <v>0.9937</v>
      </c>
      <c r="O5" s="3">
        <v>1.0E-4</v>
      </c>
      <c r="P5" s="3">
        <v>0.7017</v>
      </c>
      <c r="Q5" s="3">
        <v>0.013</v>
      </c>
      <c r="R5" s="3">
        <v>0.4225</v>
      </c>
      <c r="S5" s="3">
        <v>34.77</v>
      </c>
      <c r="T5" s="3">
        <v>72.0</v>
      </c>
      <c r="U5" s="3">
        <f t="shared" si="2"/>
        <v>18.525</v>
      </c>
      <c r="V5" s="3"/>
      <c r="W5" s="3">
        <f t="shared" si="3"/>
        <v>18.77359573</v>
      </c>
      <c r="X5" s="3">
        <f t="shared" si="4"/>
        <v>3.550665113</v>
      </c>
      <c r="Y5" s="3">
        <f t="shared" si="5"/>
        <v>3.324829363</v>
      </c>
      <c r="Z5" s="3">
        <f t="shared" ref="Z5:AA5" si="8">_xlfn.NORM.S.DIST(X5)</f>
        <v>0.9998078705</v>
      </c>
      <c r="AA5" s="3">
        <f t="shared" si="8"/>
        <v>0.9995576367</v>
      </c>
    </row>
    <row r="6" ht="14.25" customHeight="1">
      <c r="A6" s="3" t="s">
        <v>152</v>
      </c>
      <c r="B6" s="3" t="s">
        <v>153</v>
      </c>
      <c r="C6" s="3" t="s">
        <v>128</v>
      </c>
      <c r="D6" s="3" t="s">
        <v>29</v>
      </c>
      <c r="E6" s="3">
        <v>16.0</v>
      </c>
      <c r="F6" s="3" t="s">
        <v>27</v>
      </c>
      <c r="G6" s="3">
        <v>17.15</v>
      </c>
      <c r="I6" s="3">
        <v>18.85</v>
      </c>
      <c r="K6" s="3">
        <v>0.0</v>
      </c>
      <c r="L6" s="3">
        <v>0.0</v>
      </c>
      <c r="M6" s="3" t="s">
        <v>34</v>
      </c>
      <c r="N6" s="3">
        <v>0.9936</v>
      </c>
      <c r="O6" s="3">
        <v>1.0E-4</v>
      </c>
      <c r="P6" s="3">
        <v>0.7065</v>
      </c>
      <c r="Q6" s="3">
        <v>0.0155</v>
      </c>
      <c r="R6" s="3">
        <v>0.4302</v>
      </c>
      <c r="S6" s="3">
        <v>34.709999</v>
      </c>
      <c r="T6" s="3">
        <v>71.0</v>
      </c>
      <c r="U6" s="3">
        <f t="shared" si="2"/>
        <v>18</v>
      </c>
      <c r="V6" s="3"/>
      <c r="W6" s="3">
        <f t="shared" si="3"/>
        <v>18.71363187</v>
      </c>
      <c r="X6" s="3">
        <f t="shared" si="4"/>
        <v>3.506508004</v>
      </c>
      <c r="Y6" s="3">
        <f t="shared" si="5"/>
        <v>3.278158901</v>
      </c>
      <c r="Z6" s="3">
        <f t="shared" ref="Z6:AA6" si="9">_xlfn.NORM.S.DIST(X6)</f>
        <v>0.9997729861</v>
      </c>
      <c r="AA6" s="3">
        <f t="shared" si="9"/>
        <v>0.9994775672</v>
      </c>
    </row>
    <row r="7" ht="14.25" customHeight="1">
      <c r="A7" s="3" t="s">
        <v>152</v>
      </c>
      <c r="B7" s="3" t="s">
        <v>153</v>
      </c>
      <c r="C7" s="3" t="s">
        <v>128</v>
      </c>
      <c r="D7" s="3" t="s">
        <v>29</v>
      </c>
      <c r="E7" s="3">
        <v>16.0</v>
      </c>
      <c r="F7" s="3" t="s">
        <v>27</v>
      </c>
      <c r="G7" s="3">
        <v>17.15</v>
      </c>
      <c r="I7" s="3">
        <v>20.3</v>
      </c>
      <c r="K7" s="3">
        <v>0.0</v>
      </c>
      <c r="L7" s="3">
        <v>0.0</v>
      </c>
      <c r="M7" s="3" t="s">
        <v>35</v>
      </c>
      <c r="N7" s="3">
        <v>0.9937</v>
      </c>
      <c r="O7" s="3">
        <v>1.0E-4</v>
      </c>
      <c r="P7" s="3">
        <v>0.7272</v>
      </c>
      <c r="Q7" s="3">
        <v>0.0079</v>
      </c>
      <c r="R7" s="3">
        <v>0.4093</v>
      </c>
      <c r="S7" s="3">
        <v>34.709999</v>
      </c>
      <c r="T7" s="3">
        <v>70.0</v>
      </c>
      <c r="U7" s="3">
        <f t="shared" si="2"/>
        <v>18.725</v>
      </c>
      <c r="V7" s="3"/>
      <c r="W7" s="3">
        <f t="shared" si="3"/>
        <v>18.71331502</v>
      </c>
      <c r="X7" s="3">
        <f t="shared" si="4"/>
        <v>3.698780546</v>
      </c>
      <c r="Y7" s="3">
        <f t="shared" si="5"/>
        <v>3.483060505</v>
      </c>
      <c r="Z7" s="3">
        <f t="shared" ref="Z7:AA7" si="10">_xlfn.NORM.S.DIST(X7)</f>
        <v>0.9998916811</v>
      </c>
      <c r="AA7" s="3">
        <f t="shared" si="10"/>
        <v>0.9997521418</v>
      </c>
    </row>
    <row r="8" ht="14.25" customHeight="1">
      <c r="A8" s="3" t="s">
        <v>152</v>
      </c>
      <c r="B8" s="3" t="s">
        <v>153</v>
      </c>
      <c r="C8" s="3" t="s">
        <v>128</v>
      </c>
      <c r="D8" s="3" t="s">
        <v>29</v>
      </c>
      <c r="E8" s="3">
        <v>16.0</v>
      </c>
      <c r="F8" s="3" t="s">
        <v>27</v>
      </c>
      <c r="G8" s="3">
        <v>17.3</v>
      </c>
      <c r="I8" s="3">
        <v>20.85</v>
      </c>
      <c r="K8" s="3">
        <v>0.0</v>
      </c>
      <c r="L8" s="3">
        <v>0.0</v>
      </c>
      <c r="M8" s="3" t="s">
        <v>36</v>
      </c>
      <c r="N8" s="3">
        <v>0.9939</v>
      </c>
      <c r="O8" s="3">
        <v>0.0</v>
      </c>
      <c r="P8" s="3">
        <v>0.7488</v>
      </c>
      <c r="Q8" s="3">
        <v>0.0</v>
      </c>
      <c r="R8" s="3">
        <v>0.1765</v>
      </c>
      <c r="S8" s="3">
        <v>35.400002</v>
      </c>
      <c r="T8" s="3">
        <v>69.0</v>
      </c>
      <c r="U8" s="3">
        <f t="shared" si="2"/>
        <v>19.075</v>
      </c>
      <c r="V8" s="3"/>
      <c r="W8" s="3">
        <f t="shared" si="3"/>
        <v>19.40306837</v>
      </c>
      <c r="X8" s="3">
        <f t="shared" si="4"/>
        <v>8.646678039</v>
      </c>
      <c r="Y8" s="3">
        <f t="shared" si="5"/>
        <v>8.554321216</v>
      </c>
      <c r="Z8" s="3">
        <f t="shared" ref="Z8:AA8" si="11">_xlfn.NORM.S.DIST(X8)</f>
        <v>1</v>
      </c>
      <c r="AA8" s="3">
        <f t="shared" si="11"/>
        <v>1</v>
      </c>
    </row>
    <row r="9" ht="14.25" customHeight="1">
      <c r="A9" s="3" t="s">
        <v>152</v>
      </c>
      <c r="B9" s="3" t="s">
        <v>153</v>
      </c>
      <c r="C9" s="3" t="s">
        <v>128</v>
      </c>
      <c r="D9" s="3" t="s">
        <v>29</v>
      </c>
      <c r="E9" s="3">
        <v>16.0</v>
      </c>
      <c r="F9" s="3" t="s">
        <v>27</v>
      </c>
      <c r="G9" s="3">
        <v>17.45</v>
      </c>
      <c r="I9" s="3">
        <v>20.7</v>
      </c>
      <c r="K9" s="3">
        <v>0.0</v>
      </c>
      <c r="L9" s="3">
        <v>0.0</v>
      </c>
      <c r="M9" s="3" t="s">
        <v>37</v>
      </c>
      <c r="N9" s="3">
        <v>0.9938</v>
      </c>
      <c r="O9" s="3">
        <v>0.0</v>
      </c>
      <c r="P9" s="3">
        <v>0.7568</v>
      </c>
      <c r="Q9" s="3">
        <v>0.0</v>
      </c>
      <c r="R9" s="3">
        <v>0.1734</v>
      </c>
      <c r="S9" s="3">
        <v>35.099998</v>
      </c>
      <c r="T9" s="3">
        <v>68.0</v>
      </c>
      <c r="U9" s="3">
        <f t="shared" si="2"/>
        <v>19.075</v>
      </c>
      <c r="V9" s="3"/>
      <c r="W9" s="3">
        <f t="shared" si="3"/>
        <v>19.10301994</v>
      </c>
      <c r="X9" s="3">
        <f t="shared" si="4"/>
        <v>8.768912329</v>
      </c>
      <c r="Y9" s="3">
        <f t="shared" si="5"/>
        <v>8.678837535</v>
      </c>
      <c r="Z9" s="3">
        <f t="shared" ref="Z9:AA9" si="12">_xlfn.NORM.S.DIST(X9)</f>
        <v>1</v>
      </c>
      <c r="AA9" s="3">
        <f t="shared" si="12"/>
        <v>1</v>
      </c>
    </row>
    <row r="10" ht="14.25" customHeight="1">
      <c r="A10" s="3" t="s">
        <v>152</v>
      </c>
      <c r="B10" s="3" t="s">
        <v>153</v>
      </c>
      <c r="C10" s="3" t="s">
        <v>128</v>
      </c>
      <c r="D10" s="3" t="s">
        <v>29</v>
      </c>
      <c r="E10" s="3">
        <v>16.0</v>
      </c>
      <c r="F10" s="3" t="s">
        <v>27</v>
      </c>
      <c r="G10" s="3">
        <v>17.45</v>
      </c>
      <c r="I10" s="3">
        <v>20.3</v>
      </c>
      <c r="K10" s="3">
        <v>0.0</v>
      </c>
      <c r="L10" s="3">
        <v>0.0</v>
      </c>
      <c r="M10" s="3" t="s">
        <v>38</v>
      </c>
      <c r="N10" s="3">
        <v>0.9908</v>
      </c>
      <c r="O10" s="3">
        <v>9.0E-4</v>
      </c>
      <c r="P10" s="3">
        <v>0.5568</v>
      </c>
      <c r="Q10" s="3">
        <v>0.1727</v>
      </c>
      <c r="R10" s="3">
        <v>0.586</v>
      </c>
      <c r="S10" s="3">
        <v>34.77</v>
      </c>
      <c r="T10" s="3">
        <v>67.0</v>
      </c>
      <c r="U10" s="3">
        <f t="shared" si="2"/>
        <v>18.875</v>
      </c>
      <c r="V10" s="3"/>
      <c r="W10" s="3">
        <f t="shared" si="3"/>
        <v>18.78436465</v>
      </c>
      <c r="X10" s="3">
        <f t="shared" si="4"/>
        <v>2.720434243</v>
      </c>
      <c r="Y10" s="3">
        <f t="shared" si="5"/>
        <v>2.418275791</v>
      </c>
      <c r="Z10" s="3">
        <f t="shared" ref="Z10:AA10" si="13">_xlfn.NORM.S.DIST(X10)</f>
        <v>0.9967401881</v>
      </c>
      <c r="AA10" s="3">
        <f t="shared" si="13"/>
        <v>0.9922028737</v>
      </c>
    </row>
    <row r="11" ht="14.25" customHeight="1">
      <c r="A11" s="3" t="s">
        <v>152</v>
      </c>
      <c r="B11" s="3" t="s">
        <v>153</v>
      </c>
      <c r="C11" s="3" t="s">
        <v>128</v>
      </c>
      <c r="D11" s="3" t="s">
        <v>29</v>
      </c>
      <c r="E11" s="3">
        <v>16.0</v>
      </c>
      <c r="F11" s="3" t="s">
        <v>27</v>
      </c>
      <c r="G11" s="3">
        <v>18.25</v>
      </c>
      <c r="I11" s="3">
        <v>20.15</v>
      </c>
      <c r="K11" s="3">
        <v>0.0</v>
      </c>
      <c r="L11" s="3">
        <v>0.0</v>
      </c>
      <c r="M11" s="3" t="s">
        <v>39</v>
      </c>
      <c r="N11" s="3">
        <v>0.959</v>
      </c>
      <c r="O11" s="3">
        <v>0.0044</v>
      </c>
      <c r="P11" s="3">
        <v>-1.8888</v>
      </c>
      <c r="Q11" s="3">
        <v>1.3789</v>
      </c>
      <c r="R11" s="3">
        <v>0.9855</v>
      </c>
      <c r="S11" s="3">
        <v>35.110001</v>
      </c>
      <c r="T11" s="3">
        <v>66.0</v>
      </c>
      <c r="U11" s="3">
        <f t="shared" si="2"/>
        <v>19.2</v>
      </c>
      <c r="V11" s="3"/>
      <c r="W11" s="3">
        <f t="shared" si="3"/>
        <v>19.411972</v>
      </c>
      <c r="X11" s="3">
        <f t="shared" si="4"/>
        <v>1.810787555</v>
      </c>
      <c r="Y11" s="3">
        <f t="shared" si="5"/>
        <v>1.306441851</v>
      </c>
      <c r="Z11" s="3">
        <f t="shared" ref="Z11:AA11" si="14">_xlfn.NORM.S.DIST(X11)</f>
        <v>0.9649131282</v>
      </c>
      <c r="AA11" s="3">
        <f t="shared" si="14"/>
        <v>0.9042988292</v>
      </c>
    </row>
    <row r="12" ht="14.25" customHeight="1">
      <c r="A12" s="3" t="s">
        <v>152</v>
      </c>
      <c r="B12" s="3" t="s">
        <v>153</v>
      </c>
      <c r="C12" s="3" t="s">
        <v>128</v>
      </c>
      <c r="D12" s="3" t="s">
        <v>29</v>
      </c>
      <c r="E12" s="3">
        <v>16.0</v>
      </c>
      <c r="F12" s="3" t="s">
        <v>27</v>
      </c>
      <c r="G12" s="3">
        <v>17.55</v>
      </c>
      <c r="I12" s="3">
        <v>20.2</v>
      </c>
      <c r="K12" s="3">
        <v>0.0</v>
      </c>
      <c r="L12" s="3">
        <v>0.0</v>
      </c>
      <c r="M12" s="3" t="s">
        <v>40</v>
      </c>
      <c r="N12" s="3">
        <v>0.997</v>
      </c>
      <c r="O12" s="3">
        <v>0.0</v>
      </c>
      <c r="P12" s="3">
        <v>0.3589</v>
      </c>
      <c r="Q12" s="3">
        <v>0.0</v>
      </c>
      <c r="R12" s="3">
        <v>0.302</v>
      </c>
      <c r="S12" s="3">
        <v>35.09</v>
      </c>
      <c r="T12" s="3">
        <v>65.0</v>
      </c>
      <c r="U12" s="3">
        <f t="shared" si="2"/>
        <v>18.875</v>
      </c>
      <c r="V12" s="3"/>
      <c r="W12" s="3">
        <f t="shared" si="3"/>
        <v>19.09288873</v>
      </c>
      <c r="X12" s="3">
        <f t="shared" si="4"/>
        <v>5.19807227</v>
      </c>
      <c r="Y12" s="3">
        <f t="shared" si="5"/>
        <v>5.044694171</v>
      </c>
      <c r="Z12" s="3">
        <f t="shared" ref="Z12:AA12" si="15">_xlfn.NORM.S.DIST(X12)</f>
        <v>0.9999998993</v>
      </c>
      <c r="AA12" s="3">
        <f t="shared" si="15"/>
        <v>0.9999997729</v>
      </c>
    </row>
    <row r="13" ht="14.25" customHeight="1">
      <c r="A13" s="3" t="s">
        <v>152</v>
      </c>
      <c r="B13" s="3" t="s">
        <v>153</v>
      </c>
      <c r="C13" s="3" t="s">
        <v>128</v>
      </c>
      <c r="D13" s="3" t="s">
        <v>29</v>
      </c>
      <c r="E13" s="3">
        <v>16.0</v>
      </c>
      <c r="F13" s="3" t="s">
        <v>27</v>
      </c>
      <c r="G13" s="3">
        <v>17.35</v>
      </c>
      <c r="I13" s="3">
        <v>20.1</v>
      </c>
      <c r="K13" s="3">
        <v>0.0</v>
      </c>
      <c r="L13" s="3">
        <v>0.0</v>
      </c>
      <c r="M13" s="3" t="s">
        <v>41</v>
      </c>
      <c r="N13" s="3">
        <v>1.0</v>
      </c>
      <c r="O13" s="3">
        <v>0.0</v>
      </c>
      <c r="P13" s="3">
        <v>-0.0484</v>
      </c>
      <c r="Q13" s="3">
        <v>0.0</v>
      </c>
      <c r="R13" s="3">
        <v>0.1804</v>
      </c>
      <c r="S13" s="3">
        <v>35.029999</v>
      </c>
      <c r="T13" s="3">
        <v>64.0</v>
      </c>
      <c r="U13" s="3">
        <f t="shared" si="2"/>
        <v>18.725</v>
      </c>
      <c r="V13" s="3"/>
      <c r="W13" s="3">
        <f t="shared" si="3"/>
        <v>19.03284319</v>
      </c>
      <c r="X13" s="3">
        <f t="shared" si="4"/>
        <v>8.66681314</v>
      </c>
      <c r="Y13" s="3">
        <f t="shared" si="5"/>
        <v>8.575900085</v>
      </c>
      <c r="Z13" s="3">
        <f t="shared" ref="Z13:AA13" si="16">_xlfn.NORM.S.DIST(X13)</f>
        <v>1</v>
      </c>
      <c r="AA13" s="3">
        <f t="shared" si="16"/>
        <v>1</v>
      </c>
    </row>
    <row r="14" ht="14.25" customHeight="1">
      <c r="A14" s="3" t="s">
        <v>152</v>
      </c>
      <c r="B14" s="3" t="s">
        <v>153</v>
      </c>
      <c r="C14" s="3" t="s">
        <v>128</v>
      </c>
      <c r="D14" s="3" t="s">
        <v>29</v>
      </c>
      <c r="E14" s="3">
        <v>16.0</v>
      </c>
      <c r="F14" s="3" t="s">
        <v>27</v>
      </c>
      <c r="G14" s="3">
        <v>17.05</v>
      </c>
      <c r="I14" s="3">
        <v>20.35</v>
      </c>
      <c r="K14" s="3">
        <v>0.0</v>
      </c>
      <c r="L14" s="3">
        <v>0.0</v>
      </c>
      <c r="M14" s="3" t="s">
        <v>42</v>
      </c>
      <c r="N14" s="3">
        <v>0.9975</v>
      </c>
      <c r="O14" s="3">
        <v>0.0</v>
      </c>
      <c r="P14" s="3">
        <v>0.2964</v>
      </c>
      <c r="Q14" s="3">
        <v>0.0</v>
      </c>
      <c r="R14" s="3">
        <v>0.2122</v>
      </c>
      <c r="S14" s="3">
        <v>34.93</v>
      </c>
      <c r="T14" s="3">
        <v>63.0</v>
      </c>
      <c r="U14" s="3">
        <f t="shared" si="2"/>
        <v>18.7</v>
      </c>
      <c r="V14" s="3"/>
      <c r="W14" s="3">
        <f t="shared" si="3"/>
        <v>18.93279976</v>
      </c>
      <c r="X14" s="3">
        <f t="shared" si="4"/>
        <v>7.413392475</v>
      </c>
      <c r="Y14" s="3">
        <f t="shared" si="5"/>
        <v>7.307292475</v>
      </c>
      <c r="Z14" s="3">
        <f t="shared" ref="Z14:AA14" si="17">_xlfn.NORM.S.DIST(X14)</f>
        <v>1</v>
      </c>
      <c r="AA14" s="3">
        <f t="shared" si="17"/>
        <v>1</v>
      </c>
    </row>
    <row r="15" ht="14.25" customHeight="1">
      <c r="A15" s="3" t="s">
        <v>152</v>
      </c>
      <c r="B15" s="3" t="s">
        <v>153</v>
      </c>
      <c r="C15" s="3" t="s">
        <v>128</v>
      </c>
      <c r="D15" s="3" t="s">
        <v>29</v>
      </c>
      <c r="E15" s="3">
        <v>16.0</v>
      </c>
      <c r="F15" s="3" t="s">
        <v>27</v>
      </c>
      <c r="G15" s="3">
        <v>17.45</v>
      </c>
      <c r="I15" s="3">
        <v>20.55</v>
      </c>
      <c r="K15" s="3">
        <v>0.0</v>
      </c>
      <c r="L15" s="3">
        <v>0.0</v>
      </c>
      <c r="M15" s="3" t="s">
        <v>43</v>
      </c>
      <c r="N15" s="3">
        <v>0.9957</v>
      </c>
      <c r="O15" s="3">
        <v>0.0</v>
      </c>
      <c r="P15" s="3">
        <v>0.5758</v>
      </c>
      <c r="Q15" s="3">
        <v>0.0</v>
      </c>
      <c r="R15" s="3">
        <v>0.3282</v>
      </c>
      <c r="S15" s="3">
        <v>35.040001</v>
      </c>
      <c r="T15" s="3">
        <v>62.0</v>
      </c>
      <c r="U15" s="3">
        <f t="shared" si="2"/>
        <v>19</v>
      </c>
      <c r="V15" s="3"/>
      <c r="W15" s="3">
        <f t="shared" si="3"/>
        <v>19.04275686</v>
      </c>
      <c r="X15" s="3">
        <f t="shared" si="4"/>
        <v>4.897798869</v>
      </c>
      <c r="Y15" s="3">
        <f t="shared" si="5"/>
        <v>4.73500646</v>
      </c>
      <c r="Z15" s="3">
        <f t="shared" ref="Z15:AA15" si="18">_xlfn.NORM.S.DIST(X15)</f>
        <v>0.9999995154</v>
      </c>
      <c r="AA15" s="3">
        <f t="shared" si="18"/>
        <v>0.9999989048</v>
      </c>
    </row>
    <row r="16" ht="14.25" customHeight="1">
      <c r="A16" s="3" t="s">
        <v>152</v>
      </c>
      <c r="B16" s="3" t="s">
        <v>153</v>
      </c>
      <c r="C16" s="3" t="s">
        <v>128</v>
      </c>
      <c r="D16" s="3" t="s">
        <v>29</v>
      </c>
      <c r="E16" s="3">
        <v>16.0</v>
      </c>
      <c r="F16" s="3" t="s">
        <v>27</v>
      </c>
      <c r="G16" s="3">
        <v>16.95</v>
      </c>
      <c r="I16" s="3">
        <v>21.05</v>
      </c>
      <c r="K16" s="3">
        <v>0.0</v>
      </c>
      <c r="L16" s="3">
        <v>0.0</v>
      </c>
      <c r="M16" s="3" t="s">
        <v>44</v>
      </c>
      <c r="N16" s="3">
        <v>0.9958</v>
      </c>
      <c r="O16" s="3">
        <v>0.0</v>
      </c>
      <c r="P16" s="3">
        <v>0.5754</v>
      </c>
      <c r="Q16" s="3">
        <v>0.0</v>
      </c>
      <c r="R16" s="3">
        <v>0.1492</v>
      </c>
      <c r="S16" s="3">
        <v>34.950001</v>
      </c>
      <c r="T16" s="3">
        <v>61.0</v>
      </c>
      <c r="U16" s="3">
        <f t="shared" si="2"/>
        <v>19</v>
      </c>
      <c r="V16" s="3"/>
      <c r="W16" s="3">
        <f t="shared" si="3"/>
        <v>18.95271188</v>
      </c>
      <c r="X16" s="3">
        <f t="shared" si="4"/>
        <v>10.68291438</v>
      </c>
      <c r="Y16" s="3">
        <f t="shared" si="5"/>
        <v>10.60950806</v>
      </c>
      <c r="Z16" s="3">
        <f t="shared" ref="Z16:AA16" si="19">_xlfn.NORM.S.DIST(X16)</f>
        <v>1</v>
      </c>
      <c r="AA16" s="3">
        <f t="shared" si="19"/>
        <v>1</v>
      </c>
    </row>
    <row r="17" ht="14.25" customHeight="1">
      <c r="A17" s="3" t="s">
        <v>152</v>
      </c>
      <c r="B17" s="3" t="s">
        <v>153</v>
      </c>
      <c r="C17" s="3" t="s">
        <v>128</v>
      </c>
      <c r="D17" s="3" t="s">
        <v>29</v>
      </c>
      <c r="E17" s="3">
        <v>16.0</v>
      </c>
      <c r="F17" s="3" t="s">
        <v>27</v>
      </c>
      <c r="G17" s="3">
        <v>17.65</v>
      </c>
      <c r="I17" s="3">
        <v>20.8</v>
      </c>
      <c r="K17" s="3">
        <v>0.0</v>
      </c>
      <c r="L17" s="3">
        <v>0.0</v>
      </c>
      <c r="M17" s="3" t="s">
        <v>45</v>
      </c>
      <c r="N17" s="3">
        <v>0.9958</v>
      </c>
      <c r="O17" s="3">
        <v>0.0</v>
      </c>
      <c r="P17" s="3">
        <v>0.5792</v>
      </c>
      <c r="Q17" s="3">
        <v>0.0</v>
      </c>
      <c r="R17" s="3">
        <v>0.2574</v>
      </c>
      <c r="S17" s="3">
        <v>35.16</v>
      </c>
      <c r="T17" s="3">
        <v>60.0</v>
      </c>
      <c r="U17" s="3">
        <f t="shared" si="2"/>
        <v>19.225</v>
      </c>
      <c r="V17" s="3"/>
      <c r="W17" s="3">
        <f t="shared" si="3"/>
        <v>19.16266644</v>
      </c>
      <c r="X17" s="3">
        <f t="shared" si="4"/>
        <v>6.332683159</v>
      </c>
      <c r="Y17" s="3">
        <f t="shared" si="5"/>
        <v>6.20708482</v>
      </c>
      <c r="Z17" s="3">
        <f t="shared" ref="Z17:AA17" si="20">_xlfn.NORM.S.DIST(X17)</f>
        <v>0.9999999999</v>
      </c>
      <c r="AA17" s="3">
        <f t="shared" si="20"/>
        <v>0.9999999997</v>
      </c>
    </row>
    <row r="18" ht="14.25" customHeight="1">
      <c r="A18" s="3" t="s">
        <v>152</v>
      </c>
      <c r="B18" s="3" t="s">
        <v>153</v>
      </c>
      <c r="C18" s="3" t="s">
        <v>128</v>
      </c>
      <c r="D18" s="3" t="s">
        <v>29</v>
      </c>
      <c r="E18" s="3">
        <v>16.0</v>
      </c>
      <c r="F18" s="3" t="s">
        <v>27</v>
      </c>
      <c r="G18" s="3">
        <v>17.5</v>
      </c>
      <c r="I18" s="3">
        <v>20.8</v>
      </c>
      <c r="K18" s="3">
        <v>0.0</v>
      </c>
      <c r="L18" s="3">
        <v>0.0</v>
      </c>
      <c r="M18" s="3" t="s">
        <v>46</v>
      </c>
      <c r="N18" s="3">
        <v>0.9959</v>
      </c>
      <c r="O18" s="3">
        <v>0.0</v>
      </c>
      <c r="P18" s="3">
        <v>0.5777</v>
      </c>
      <c r="Q18" s="3">
        <v>0.0</v>
      </c>
      <c r="R18" s="3">
        <v>0.2382</v>
      </c>
      <c r="S18" s="3">
        <v>35.139999</v>
      </c>
      <c r="T18" s="3">
        <v>59.0</v>
      </c>
      <c r="U18" s="3">
        <f t="shared" si="2"/>
        <v>19.15</v>
      </c>
      <c r="V18" s="3"/>
      <c r="W18" s="3">
        <f t="shared" si="3"/>
        <v>19.14262101</v>
      </c>
      <c r="X18" s="3">
        <f t="shared" si="4"/>
        <v>6.885108784</v>
      </c>
      <c r="Y18" s="3">
        <f t="shared" si="5"/>
        <v>6.769851736</v>
      </c>
      <c r="Z18" s="3">
        <f t="shared" ref="Z18:AA18" si="21">_xlfn.NORM.S.DIST(X18)</f>
        <v>1</v>
      </c>
      <c r="AA18" s="3">
        <f t="shared" si="21"/>
        <v>1</v>
      </c>
    </row>
    <row r="19" ht="14.25" customHeight="1">
      <c r="A19" s="3" t="s">
        <v>152</v>
      </c>
      <c r="B19" s="3" t="s">
        <v>153</v>
      </c>
      <c r="C19" s="3" t="s">
        <v>128</v>
      </c>
      <c r="D19" s="3" t="s">
        <v>29</v>
      </c>
      <c r="E19" s="3">
        <v>16.0</v>
      </c>
      <c r="F19" s="3" t="s">
        <v>27</v>
      </c>
      <c r="G19" s="3">
        <v>17.6</v>
      </c>
      <c r="I19" s="3">
        <v>20.75</v>
      </c>
      <c r="K19" s="3">
        <v>0.0</v>
      </c>
      <c r="L19" s="3">
        <v>0.0</v>
      </c>
      <c r="M19" s="3" t="s">
        <v>47</v>
      </c>
      <c r="N19" s="3">
        <v>0.9964</v>
      </c>
      <c r="O19" s="3">
        <v>0.0</v>
      </c>
      <c r="P19" s="3">
        <v>0.5151</v>
      </c>
      <c r="Q19" s="3">
        <v>0.0</v>
      </c>
      <c r="R19" s="3">
        <v>0.2506</v>
      </c>
      <c r="S19" s="3">
        <v>35.110001</v>
      </c>
      <c r="T19" s="3">
        <v>58.0</v>
      </c>
      <c r="U19" s="3">
        <f t="shared" si="2"/>
        <v>19.175</v>
      </c>
      <c r="V19" s="3"/>
      <c r="W19" s="3">
        <f t="shared" si="3"/>
        <v>19.11257857</v>
      </c>
      <c r="X19" s="3">
        <f t="shared" si="4"/>
        <v>6.598339944</v>
      </c>
      <c r="Y19" s="3">
        <f t="shared" si="5"/>
        <v>6.478114942</v>
      </c>
      <c r="Z19" s="3">
        <f t="shared" ref="Z19:AA19" si="22">_xlfn.NORM.S.DIST(X19)</f>
        <v>1</v>
      </c>
      <c r="AA19" s="3">
        <f t="shared" si="22"/>
        <v>1</v>
      </c>
    </row>
    <row r="20" ht="14.25" customHeight="1">
      <c r="A20" s="3" t="s">
        <v>152</v>
      </c>
      <c r="B20" s="3" t="s">
        <v>153</v>
      </c>
      <c r="C20" s="3" t="s">
        <v>128</v>
      </c>
      <c r="D20" s="3" t="s">
        <v>29</v>
      </c>
      <c r="E20" s="3">
        <v>16.0</v>
      </c>
      <c r="F20" s="3" t="s">
        <v>27</v>
      </c>
      <c r="G20" s="3">
        <v>17.55</v>
      </c>
      <c r="I20" s="3">
        <v>20.75</v>
      </c>
      <c r="K20" s="3">
        <v>0.0</v>
      </c>
      <c r="L20" s="3">
        <v>0.0</v>
      </c>
      <c r="M20" s="3" t="s">
        <v>48</v>
      </c>
      <c r="N20" s="3">
        <v>0.9965</v>
      </c>
      <c r="O20" s="3">
        <v>0.0</v>
      </c>
      <c r="P20" s="3">
        <v>0.5077</v>
      </c>
      <c r="Q20" s="3">
        <v>0.0</v>
      </c>
      <c r="R20" s="3">
        <v>0.1505</v>
      </c>
      <c r="S20" s="3">
        <v>35.27</v>
      </c>
      <c r="T20" s="3">
        <v>57.0</v>
      </c>
      <c r="U20" s="3">
        <f t="shared" si="2"/>
        <v>19.15</v>
      </c>
      <c r="V20" s="3"/>
      <c r="W20" s="3">
        <f t="shared" si="3"/>
        <v>19.27253313</v>
      </c>
      <c r="X20" s="3">
        <f t="shared" si="4"/>
        <v>11.08126477</v>
      </c>
      <c r="Y20" s="3">
        <f t="shared" si="5"/>
        <v>11.00968774</v>
      </c>
      <c r="Z20" s="3">
        <f t="shared" ref="Z20:AA20" si="23">_xlfn.NORM.S.DIST(X20)</f>
        <v>1</v>
      </c>
      <c r="AA20" s="3">
        <f t="shared" si="23"/>
        <v>1</v>
      </c>
    </row>
    <row r="21" ht="14.25" customHeight="1">
      <c r="A21" s="3" t="s">
        <v>152</v>
      </c>
      <c r="B21" s="3" t="s">
        <v>153</v>
      </c>
      <c r="C21" s="3" t="s">
        <v>128</v>
      </c>
      <c r="D21" s="3" t="s">
        <v>29</v>
      </c>
      <c r="E21" s="3">
        <v>16.0</v>
      </c>
      <c r="F21" s="3" t="s">
        <v>27</v>
      </c>
      <c r="G21" s="3">
        <v>17.25</v>
      </c>
      <c r="I21" s="3">
        <v>20.55</v>
      </c>
      <c r="K21" s="3">
        <v>0.0</v>
      </c>
      <c r="L21" s="3">
        <v>0.0</v>
      </c>
      <c r="M21" s="3" t="s">
        <v>49</v>
      </c>
      <c r="N21" s="3">
        <v>0.9967</v>
      </c>
      <c r="O21" s="3">
        <v>0.0</v>
      </c>
      <c r="P21" s="3">
        <v>0.4807</v>
      </c>
      <c r="Q21" s="3">
        <v>0.0</v>
      </c>
      <c r="R21" s="3">
        <v>0.1592</v>
      </c>
      <c r="S21" s="3">
        <v>34.970001</v>
      </c>
      <c r="T21" s="3">
        <v>56.0</v>
      </c>
      <c r="U21" s="3">
        <f t="shared" si="2"/>
        <v>18.9</v>
      </c>
      <c r="V21" s="3"/>
      <c r="W21" s="3">
        <f t="shared" si="3"/>
        <v>18.9724897</v>
      </c>
      <c r="X21" s="3">
        <f t="shared" si="4"/>
        <v>10.45834227</v>
      </c>
      <c r="Y21" s="3">
        <f t="shared" si="5"/>
        <v>10.38329467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152</v>
      </c>
      <c r="B22" s="3" t="s">
        <v>153</v>
      </c>
      <c r="C22" s="3" t="s">
        <v>128</v>
      </c>
      <c r="D22" s="3" t="s">
        <v>29</v>
      </c>
      <c r="E22" s="3">
        <v>16.0</v>
      </c>
      <c r="F22" s="3" t="s">
        <v>27</v>
      </c>
      <c r="G22" s="3">
        <v>17.4</v>
      </c>
      <c r="I22" s="3">
        <v>20.55</v>
      </c>
      <c r="K22" s="3">
        <v>0.0</v>
      </c>
      <c r="L22" s="3">
        <v>0.0</v>
      </c>
      <c r="M22" s="3" t="s">
        <v>50</v>
      </c>
      <c r="N22" s="3">
        <v>0.997</v>
      </c>
      <c r="O22" s="3">
        <v>0.0</v>
      </c>
      <c r="P22" s="3">
        <v>0.4454</v>
      </c>
      <c r="Q22" s="3">
        <v>0.0</v>
      </c>
      <c r="R22" s="3">
        <v>0.1586</v>
      </c>
      <c r="S22" s="3">
        <v>34.830002</v>
      </c>
      <c r="T22" s="3">
        <v>55.0</v>
      </c>
      <c r="U22" s="3">
        <f t="shared" si="2"/>
        <v>18.975</v>
      </c>
      <c r="V22" s="3"/>
      <c r="W22" s="3">
        <f t="shared" si="3"/>
        <v>18.83244626</v>
      </c>
      <c r="X22" s="3">
        <f t="shared" si="4"/>
        <v>10.53777615</v>
      </c>
      <c r="Y22" s="3">
        <f t="shared" si="5"/>
        <v>10.46368195</v>
      </c>
      <c r="Z22" s="3">
        <f t="shared" ref="Z22:AA22" si="25">_xlfn.NORM.S.DIST(X22)</f>
        <v>1</v>
      </c>
      <c r="AA22" s="3">
        <f t="shared" si="25"/>
        <v>1</v>
      </c>
    </row>
    <row r="23" ht="14.25" customHeight="1">
      <c r="A23" s="3" t="s">
        <v>152</v>
      </c>
      <c r="B23" s="3" t="s">
        <v>153</v>
      </c>
      <c r="C23" s="3" t="s">
        <v>129</v>
      </c>
      <c r="D23" s="3" t="s">
        <v>29</v>
      </c>
      <c r="E23" s="3">
        <v>16.0</v>
      </c>
      <c r="F23" s="3" t="s">
        <v>27</v>
      </c>
      <c r="G23" s="3">
        <v>17.3</v>
      </c>
      <c r="I23" s="3">
        <v>20.95</v>
      </c>
      <c r="K23" s="3">
        <v>0.0</v>
      </c>
      <c r="L23" s="3">
        <v>0.0</v>
      </c>
      <c r="M23" s="3" t="s">
        <v>52</v>
      </c>
      <c r="N23" s="3">
        <v>0.9971</v>
      </c>
      <c r="O23" s="3">
        <v>0.0</v>
      </c>
      <c r="P23" s="3">
        <v>0.4407</v>
      </c>
      <c r="Q23" s="3">
        <v>0.0</v>
      </c>
      <c r="R23" s="3">
        <v>0.1578</v>
      </c>
      <c r="S23" s="3">
        <v>35.130001</v>
      </c>
      <c r="T23" s="3">
        <v>54.0</v>
      </c>
      <c r="U23" s="3">
        <f t="shared" si="2"/>
        <v>19.125</v>
      </c>
      <c r="V23" s="3"/>
      <c r="W23" s="3">
        <f t="shared" si="3"/>
        <v>19.13240082</v>
      </c>
      <c r="X23" s="3">
        <f t="shared" si="4"/>
        <v>10.80513225</v>
      </c>
      <c r="Y23" s="3">
        <f t="shared" si="5"/>
        <v>10.73208504</v>
      </c>
      <c r="Z23" s="3">
        <f t="shared" ref="Z23:AA23" si="26">_xlfn.NORM.S.DIST(X23)</f>
        <v>1</v>
      </c>
      <c r="AA23" s="3">
        <f t="shared" si="26"/>
        <v>1</v>
      </c>
    </row>
    <row r="24" ht="14.25" customHeight="1">
      <c r="A24" s="3" t="s">
        <v>152</v>
      </c>
      <c r="B24" s="3" t="s">
        <v>153</v>
      </c>
      <c r="C24" s="3" t="s">
        <v>129</v>
      </c>
      <c r="D24" s="3" t="s">
        <v>29</v>
      </c>
      <c r="E24" s="3">
        <v>16.0</v>
      </c>
      <c r="F24" s="3" t="s">
        <v>27</v>
      </c>
      <c r="G24" s="3">
        <v>17.2</v>
      </c>
      <c r="I24" s="3">
        <v>20.3</v>
      </c>
      <c r="K24" s="3">
        <v>0.0</v>
      </c>
      <c r="L24" s="3">
        <v>0.0</v>
      </c>
      <c r="M24" s="3" t="s">
        <v>53</v>
      </c>
      <c r="N24" s="3">
        <v>0.9978</v>
      </c>
      <c r="O24" s="3">
        <v>0.0</v>
      </c>
      <c r="P24" s="3">
        <v>0.3227</v>
      </c>
      <c r="Q24" s="3">
        <v>0.0</v>
      </c>
      <c r="R24" s="3">
        <v>0.1678</v>
      </c>
      <c r="S24" s="3">
        <v>34.759998</v>
      </c>
      <c r="T24" s="3">
        <v>53.0</v>
      </c>
      <c r="U24" s="3">
        <f t="shared" si="2"/>
        <v>18.75</v>
      </c>
      <c r="V24" s="3"/>
      <c r="W24" s="3">
        <f t="shared" si="3"/>
        <v>18.76235338</v>
      </c>
      <c r="X24" s="3">
        <f t="shared" si="4"/>
        <v>10.12279428</v>
      </c>
      <c r="Y24" s="3">
        <f t="shared" si="5"/>
        <v>10.04584056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152</v>
      </c>
      <c r="B25" s="3" t="s">
        <v>153</v>
      </c>
      <c r="C25" s="3" t="s">
        <v>129</v>
      </c>
      <c r="D25" s="3" t="s">
        <v>29</v>
      </c>
      <c r="E25" s="3">
        <v>16.0</v>
      </c>
      <c r="F25" s="3" t="s">
        <v>27</v>
      </c>
      <c r="G25" s="3">
        <v>17.4</v>
      </c>
      <c r="I25" s="3">
        <v>20.55</v>
      </c>
      <c r="K25" s="3">
        <v>0.0</v>
      </c>
      <c r="L25" s="3">
        <v>0.0</v>
      </c>
      <c r="M25" s="3" t="s">
        <v>54</v>
      </c>
      <c r="N25" s="3">
        <v>0.9977</v>
      </c>
      <c r="O25" s="3">
        <v>0.0</v>
      </c>
      <c r="P25" s="3">
        <v>0.3544</v>
      </c>
      <c r="Q25" s="3">
        <v>0.0</v>
      </c>
      <c r="R25" s="3">
        <v>0.1595</v>
      </c>
      <c r="S25" s="3">
        <v>34.849998</v>
      </c>
      <c r="T25" s="3">
        <v>52.0</v>
      </c>
      <c r="U25" s="3">
        <f t="shared" si="2"/>
        <v>18.975</v>
      </c>
      <c r="V25" s="3"/>
      <c r="W25" s="3">
        <f t="shared" si="3"/>
        <v>18.85230894</v>
      </c>
      <c r="X25" s="3">
        <f t="shared" si="4"/>
        <v>10.78248392</v>
      </c>
      <c r="Y25" s="3">
        <f t="shared" si="5"/>
        <v>10.71002996</v>
      </c>
      <c r="Z25" s="3">
        <f t="shared" ref="Z25:AA25" si="28">_xlfn.NORM.S.DIST(X25)</f>
        <v>1</v>
      </c>
      <c r="AA25" s="3">
        <f t="shared" si="28"/>
        <v>1</v>
      </c>
    </row>
    <row r="26" ht="14.25" customHeight="1">
      <c r="A26" s="3" t="s">
        <v>152</v>
      </c>
      <c r="B26" s="3" t="s">
        <v>153</v>
      </c>
      <c r="C26" s="3" t="s">
        <v>129</v>
      </c>
      <c r="D26" s="3" t="s">
        <v>29</v>
      </c>
      <c r="E26" s="3">
        <v>16.0</v>
      </c>
      <c r="F26" s="3" t="s">
        <v>27</v>
      </c>
      <c r="G26" s="3">
        <v>17.15</v>
      </c>
      <c r="I26" s="3">
        <v>20.4</v>
      </c>
      <c r="K26" s="3">
        <v>0.0</v>
      </c>
      <c r="L26" s="3">
        <v>0.0</v>
      </c>
      <c r="M26" s="3" t="s">
        <v>55</v>
      </c>
      <c r="N26" s="3">
        <v>0.9979</v>
      </c>
      <c r="O26" s="3">
        <v>0.0</v>
      </c>
      <c r="P26" s="3">
        <v>0.3251</v>
      </c>
      <c r="Q26" s="3">
        <v>0.0</v>
      </c>
      <c r="R26" s="3">
        <v>0.1441</v>
      </c>
      <c r="S26" s="3">
        <v>34.970001</v>
      </c>
      <c r="T26" s="3">
        <v>51.0</v>
      </c>
      <c r="U26" s="3">
        <f t="shared" si="2"/>
        <v>18.775</v>
      </c>
      <c r="V26" s="3"/>
      <c r="W26" s="3">
        <f t="shared" si="3"/>
        <v>18.97226751</v>
      </c>
      <c r="X26" s="3">
        <f t="shared" si="4"/>
        <v>12.09615733</v>
      </c>
      <c r="Y26" s="3">
        <f t="shared" si="5"/>
        <v>12.03133139</v>
      </c>
      <c r="Z26" s="3">
        <f t="shared" ref="Z26:AA26" si="29">_xlfn.NORM.S.DIST(X26)</f>
        <v>1</v>
      </c>
      <c r="AA26" s="3">
        <f t="shared" si="29"/>
        <v>1</v>
      </c>
    </row>
    <row r="27" ht="14.25" customHeight="1">
      <c r="A27" s="3" t="s">
        <v>152</v>
      </c>
      <c r="B27" s="3" t="s">
        <v>153</v>
      </c>
      <c r="C27" s="3" t="s">
        <v>129</v>
      </c>
      <c r="D27" s="3" t="s">
        <v>29</v>
      </c>
      <c r="E27" s="3">
        <v>16.0</v>
      </c>
      <c r="F27" s="3" t="s">
        <v>27</v>
      </c>
      <c r="G27" s="3">
        <v>17.1</v>
      </c>
      <c r="I27" s="3">
        <v>19.7</v>
      </c>
      <c r="K27" s="3">
        <v>0.0</v>
      </c>
      <c r="L27" s="3">
        <v>0.0</v>
      </c>
      <c r="M27" s="3" t="s">
        <v>56</v>
      </c>
      <c r="N27" s="3">
        <v>0.9984</v>
      </c>
      <c r="O27" s="3">
        <v>0.0</v>
      </c>
      <c r="P27" s="3">
        <v>0.2291</v>
      </c>
      <c r="Q27" s="3">
        <v>0.0</v>
      </c>
      <c r="R27" s="3">
        <v>0.3607</v>
      </c>
      <c r="S27" s="3">
        <v>34.66</v>
      </c>
      <c r="T27" s="3">
        <v>50.0</v>
      </c>
      <c r="U27" s="3">
        <f t="shared" si="2"/>
        <v>18.4</v>
      </c>
      <c r="V27" s="3"/>
      <c r="W27" s="3">
        <f t="shared" si="3"/>
        <v>18.66222261</v>
      </c>
      <c r="X27" s="3">
        <f t="shared" si="4"/>
        <v>4.89233047</v>
      </c>
      <c r="Y27" s="3">
        <f t="shared" si="5"/>
        <v>4.73166192</v>
      </c>
      <c r="Z27" s="3">
        <f t="shared" ref="Z27:AA27" si="30">_xlfn.NORM.S.DIST(X27)</f>
        <v>0.9999995018</v>
      </c>
      <c r="AA27" s="3">
        <f t="shared" si="30"/>
        <v>0.9999988866</v>
      </c>
    </row>
    <row r="28" ht="14.25" customHeight="1">
      <c r="A28" s="3" t="s">
        <v>152</v>
      </c>
      <c r="B28" s="3" t="s">
        <v>153</v>
      </c>
      <c r="C28" s="3" t="s">
        <v>129</v>
      </c>
      <c r="D28" s="3" t="s">
        <v>29</v>
      </c>
      <c r="E28" s="3">
        <v>16.0</v>
      </c>
      <c r="F28" s="3" t="s">
        <v>27</v>
      </c>
      <c r="G28" s="3">
        <v>17.25</v>
      </c>
      <c r="I28" s="3">
        <v>20.35</v>
      </c>
      <c r="K28" s="3">
        <v>0.0</v>
      </c>
      <c r="L28" s="3">
        <v>0.0</v>
      </c>
      <c r="M28" s="3" t="s">
        <v>57</v>
      </c>
      <c r="N28" s="3">
        <v>0.9988</v>
      </c>
      <c r="O28" s="3">
        <v>0.0</v>
      </c>
      <c r="P28" s="3">
        <v>0.1681</v>
      </c>
      <c r="Q28" s="3">
        <v>1.0E-4</v>
      </c>
      <c r="R28" s="3">
        <v>0.3882</v>
      </c>
      <c r="S28" s="3">
        <v>34.880001</v>
      </c>
      <c r="T28" s="3">
        <v>49.0</v>
      </c>
      <c r="U28" s="3">
        <f t="shared" si="2"/>
        <v>18.8</v>
      </c>
      <c r="V28" s="3"/>
      <c r="W28" s="3">
        <f t="shared" si="3"/>
        <v>18.88218078</v>
      </c>
      <c r="X28" s="3">
        <f t="shared" si="4"/>
        <v>4.639045578</v>
      </c>
      <c r="Y28" s="3">
        <f t="shared" si="5"/>
        <v>4.467865468</v>
      </c>
      <c r="Z28" s="3">
        <f t="shared" ref="Z28:AA28" si="31">_xlfn.NORM.S.DIST(X28)</f>
        <v>0.9999982499</v>
      </c>
      <c r="AA28" s="3">
        <f t="shared" si="31"/>
        <v>0.9999960498</v>
      </c>
    </row>
    <row r="29" ht="14.25" customHeight="1">
      <c r="A29" s="3" t="s">
        <v>152</v>
      </c>
      <c r="B29" s="3" t="s">
        <v>153</v>
      </c>
      <c r="C29" s="3" t="s">
        <v>129</v>
      </c>
      <c r="D29" s="3" t="s">
        <v>29</v>
      </c>
      <c r="E29" s="3">
        <v>16.0</v>
      </c>
      <c r="F29" s="3" t="s">
        <v>27</v>
      </c>
      <c r="G29" s="3">
        <v>17.5</v>
      </c>
      <c r="I29" s="3">
        <v>20.85</v>
      </c>
      <c r="K29" s="3">
        <v>0.0</v>
      </c>
      <c r="L29" s="3">
        <v>0.0</v>
      </c>
      <c r="M29" s="3" t="s">
        <v>58</v>
      </c>
      <c r="N29" s="3">
        <v>0.9995</v>
      </c>
      <c r="O29" s="3">
        <v>0.0</v>
      </c>
      <c r="P29" s="3">
        <v>0.0567</v>
      </c>
      <c r="Q29" s="3">
        <v>0.0</v>
      </c>
      <c r="R29" s="3">
        <v>0.2695</v>
      </c>
      <c r="S29" s="3">
        <v>35.259998</v>
      </c>
      <c r="T29" s="3">
        <v>48.0</v>
      </c>
      <c r="U29" s="3">
        <f t="shared" si="2"/>
        <v>19.175</v>
      </c>
      <c r="V29" s="3"/>
      <c r="W29" s="3">
        <f t="shared" si="3"/>
        <v>19.26213119</v>
      </c>
      <c r="X29" s="3">
        <f t="shared" si="4"/>
        <v>6.777883646</v>
      </c>
      <c r="Y29" s="3">
        <f t="shared" si="5"/>
        <v>6.660264203</v>
      </c>
      <c r="Z29" s="3">
        <f t="shared" ref="Z29:AA29" si="32">_xlfn.NORM.S.DIST(X29)</f>
        <v>1</v>
      </c>
      <c r="AA29" s="3">
        <f t="shared" si="32"/>
        <v>1</v>
      </c>
    </row>
    <row r="30" ht="14.25" customHeight="1">
      <c r="A30" s="3" t="s">
        <v>152</v>
      </c>
      <c r="B30" s="3" t="s">
        <v>153</v>
      </c>
      <c r="C30" s="3" t="s">
        <v>129</v>
      </c>
      <c r="D30" s="3" t="s">
        <v>29</v>
      </c>
      <c r="E30" s="3">
        <v>16.0</v>
      </c>
      <c r="F30" s="3" t="s">
        <v>27</v>
      </c>
      <c r="G30" s="3">
        <v>17.85</v>
      </c>
      <c r="I30" s="3">
        <v>21.0</v>
      </c>
      <c r="K30" s="3">
        <v>0.0</v>
      </c>
      <c r="L30" s="3">
        <v>0.0</v>
      </c>
      <c r="M30" s="3" t="s">
        <v>59</v>
      </c>
      <c r="N30" s="3">
        <v>0.9995</v>
      </c>
      <c r="O30" s="3">
        <v>0.0</v>
      </c>
      <c r="P30" s="3">
        <v>0.0582</v>
      </c>
      <c r="Q30" s="3">
        <v>0.0</v>
      </c>
      <c r="R30" s="3">
        <v>0.2688</v>
      </c>
      <c r="S30" s="3">
        <v>35.509998</v>
      </c>
      <c r="T30" s="3">
        <v>47.0</v>
      </c>
      <c r="U30" s="3">
        <f t="shared" si="2"/>
        <v>19.425</v>
      </c>
      <c r="V30" s="3"/>
      <c r="W30" s="3">
        <f t="shared" si="3"/>
        <v>19.51208675</v>
      </c>
      <c r="X30" s="3">
        <f t="shared" si="4"/>
        <v>6.926740572</v>
      </c>
      <c r="Y30" s="3">
        <f t="shared" si="5"/>
        <v>6.810655087</v>
      </c>
      <c r="Z30" s="3">
        <f t="shared" ref="Z30:AA30" si="33">_xlfn.NORM.S.DIST(X30)</f>
        <v>1</v>
      </c>
      <c r="AA30" s="3">
        <f t="shared" si="33"/>
        <v>1</v>
      </c>
    </row>
    <row r="31" ht="14.25" customHeight="1">
      <c r="A31" s="3" t="s">
        <v>152</v>
      </c>
      <c r="B31" s="3" t="s">
        <v>153</v>
      </c>
      <c r="C31" s="3" t="s">
        <v>129</v>
      </c>
      <c r="D31" s="3" t="s">
        <v>29</v>
      </c>
      <c r="E31" s="3">
        <v>16.0</v>
      </c>
      <c r="F31" s="3" t="s">
        <v>27</v>
      </c>
      <c r="G31" s="3">
        <v>17.5</v>
      </c>
      <c r="I31" s="3">
        <v>20.05</v>
      </c>
      <c r="K31" s="3">
        <v>0.0</v>
      </c>
      <c r="L31" s="3">
        <v>0.0</v>
      </c>
      <c r="M31" s="3" t="s">
        <v>60</v>
      </c>
      <c r="N31" s="3">
        <v>0.9995</v>
      </c>
      <c r="O31" s="3">
        <v>0.0</v>
      </c>
      <c r="P31" s="3">
        <v>0.0563</v>
      </c>
      <c r="Q31" s="3">
        <v>0.0</v>
      </c>
      <c r="R31" s="3">
        <v>0.2466</v>
      </c>
      <c r="S31" s="3">
        <v>35.130001</v>
      </c>
      <c r="T31" s="3">
        <v>46.0</v>
      </c>
      <c r="U31" s="3">
        <f t="shared" si="2"/>
        <v>18.775</v>
      </c>
      <c r="V31" s="3"/>
      <c r="W31" s="3">
        <f t="shared" si="3"/>
        <v>19.13204531</v>
      </c>
      <c r="X31" s="3">
        <f t="shared" si="4"/>
        <v>7.518528743</v>
      </c>
      <c r="Y31" s="3">
        <f t="shared" si="5"/>
        <v>7.413169724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152</v>
      </c>
      <c r="B32" s="3" t="s">
        <v>153</v>
      </c>
      <c r="C32" s="3" t="s">
        <v>129</v>
      </c>
      <c r="D32" s="3" t="s">
        <v>29</v>
      </c>
      <c r="E32" s="3">
        <v>16.0</v>
      </c>
      <c r="F32" s="3" t="s">
        <v>27</v>
      </c>
      <c r="G32" s="3">
        <v>17.45</v>
      </c>
      <c r="I32" s="3">
        <v>20.6</v>
      </c>
      <c r="K32" s="3">
        <v>0.0</v>
      </c>
      <c r="L32" s="3">
        <v>0.0</v>
      </c>
      <c r="M32" s="3" t="s">
        <v>61</v>
      </c>
      <c r="N32" s="3">
        <v>0.9995</v>
      </c>
      <c r="O32" s="3">
        <v>0.0</v>
      </c>
      <c r="P32" s="3">
        <v>0.0573</v>
      </c>
      <c r="Q32" s="3">
        <v>0.0</v>
      </c>
      <c r="R32" s="3">
        <v>0.2738</v>
      </c>
      <c r="S32" s="3">
        <v>35.209999</v>
      </c>
      <c r="T32" s="3">
        <v>45.0</v>
      </c>
      <c r="U32" s="3">
        <f t="shared" si="2"/>
        <v>19.025</v>
      </c>
      <c r="V32" s="3"/>
      <c r="W32" s="3">
        <f t="shared" si="3"/>
        <v>19.21199888</v>
      </c>
      <c r="X32" s="3">
        <f t="shared" si="4"/>
        <v>6.875961046</v>
      </c>
      <c r="Y32" s="3">
        <f t="shared" si="5"/>
        <v>6.760259428</v>
      </c>
      <c r="Z32" s="3">
        <f t="shared" ref="Z32:AA32" si="35">_xlfn.NORM.S.DIST(X32)</f>
        <v>1</v>
      </c>
      <c r="AA32" s="3">
        <f t="shared" si="35"/>
        <v>1</v>
      </c>
    </row>
    <row r="33" ht="14.25" customHeight="1">
      <c r="A33" s="3" t="s">
        <v>152</v>
      </c>
      <c r="B33" s="3" t="s">
        <v>153</v>
      </c>
      <c r="C33" s="3" t="s">
        <v>129</v>
      </c>
      <c r="D33" s="3" t="s">
        <v>29</v>
      </c>
      <c r="E33" s="3">
        <v>16.0</v>
      </c>
      <c r="F33" s="3" t="s">
        <v>27</v>
      </c>
      <c r="G33" s="3">
        <v>17.5</v>
      </c>
      <c r="I33" s="3">
        <v>20.7</v>
      </c>
      <c r="K33" s="3">
        <v>0.0</v>
      </c>
      <c r="L33" s="3">
        <v>0.0</v>
      </c>
      <c r="M33" s="3" t="s">
        <v>62</v>
      </c>
      <c r="N33" s="3">
        <v>0.9995</v>
      </c>
      <c r="O33" s="3">
        <v>0.0</v>
      </c>
      <c r="P33" s="3">
        <v>0.0564</v>
      </c>
      <c r="Q33" s="3">
        <v>0.0</v>
      </c>
      <c r="R33" s="3">
        <v>0.245</v>
      </c>
      <c r="S33" s="3">
        <v>35.16</v>
      </c>
      <c r="T33" s="3">
        <v>44.0</v>
      </c>
      <c r="U33" s="3">
        <f t="shared" si="2"/>
        <v>19.1</v>
      </c>
      <c r="V33" s="3"/>
      <c r="W33" s="3">
        <f t="shared" si="3"/>
        <v>19.16195544</v>
      </c>
      <c r="X33" s="3">
        <f t="shared" si="4"/>
        <v>7.742965252</v>
      </c>
      <c r="Y33" s="3">
        <f t="shared" si="5"/>
        <v>7.640590667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152</v>
      </c>
      <c r="B34" s="3" t="s">
        <v>153</v>
      </c>
      <c r="C34" s="3" t="s">
        <v>129</v>
      </c>
      <c r="D34" s="3" t="s">
        <v>29</v>
      </c>
      <c r="E34" s="3">
        <v>16.0</v>
      </c>
      <c r="F34" s="3" t="s">
        <v>27</v>
      </c>
      <c r="G34" s="3">
        <v>17.6</v>
      </c>
      <c r="I34" s="3">
        <v>20.75</v>
      </c>
      <c r="K34" s="3">
        <v>0.0</v>
      </c>
      <c r="L34" s="3">
        <v>0.0</v>
      </c>
      <c r="M34" s="3" t="s">
        <v>63</v>
      </c>
      <c r="N34" s="3">
        <v>1.0</v>
      </c>
      <c r="O34" s="3">
        <v>0.0</v>
      </c>
      <c r="P34" s="3">
        <v>-0.0465</v>
      </c>
      <c r="Q34" s="3">
        <v>0.0</v>
      </c>
      <c r="R34" s="3">
        <v>0.2126</v>
      </c>
      <c r="S34" s="3">
        <v>35.139999</v>
      </c>
      <c r="T34" s="3">
        <v>43.0</v>
      </c>
      <c r="U34" s="3">
        <f t="shared" si="2"/>
        <v>19.175</v>
      </c>
      <c r="V34" s="3"/>
      <c r="W34" s="3">
        <f t="shared" si="3"/>
        <v>19.14191</v>
      </c>
      <c r="X34" s="3">
        <f t="shared" si="4"/>
        <v>9.003873023</v>
      </c>
      <c r="Y34" s="3">
        <f t="shared" si="5"/>
        <v>8.916052258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152</v>
      </c>
      <c r="B35" s="3" t="s">
        <v>153</v>
      </c>
      <c r="C35" s="3" t="s">
        <v>129</v>
      </c>
      <c r="D35" s="3" t="s">
        <v>29</v>
      </c>
      <c r="E35" s="3">
        <v>16.0</v>
      </c>
      <c r="F35" s="3" t="s">
        <v>27</v>
      </c>
      <c r="G35" s="3">
        <v>17.5</v>
      </c>
      <c r="I35" s="3">
        <v>19.5</v>
      </c>
      <c r="K35" s="3">
        <v>0.0</v>
      </c>
      <c r="L35" s="3">
        <v>0.0</v>
      </c>
      <c r="M35" s="3" t="s">
        <v>64</v>
      </c>
      <c r="N35" s="3">
        <v>1.0</v>
      </c>
      <c r="O35" s="3">
        <v>0.0</v>
      </c>
      <c r="P35" s="3">
        <v>-0.0465</v>
      </c>
      <c r="Q35" s="3">
        <v>0.0</v>
      </c>
      <c r="R35" s="3">
        <v>0.2489</v>
      </c>
      <c r="S35" s="3">
        <v>35.099998</v>
      </c>
      <c r="T35" s="3">
        <v>42.0</v>
      </c>
      <c r="U35" s="3">
        <f t="shared" si="2"/>
        <v>18.5</v>
      </c>
      <c r="V35" s="3"/>
      <c r="W35" s="3">
        <f t="shared" si="3"/>
        <v>19.10186456</v>
      </c>
      <c r="X35" s="3">
        <f t="shared" si="4"/>
        <v>7.783370461</v>
      </c>
      <c r="Y35" s="3">
        <f t="shared" si="5"/>
        <v>7.681757462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152</v>
      </c>
      <c r="B36" s="3" t="s">
        <v>153</v>
      </c>
      <c r="C36" s="3" t="s">
        <v>129</v>
      </c>
      <c r="D36" s="3" t="s">
        <v>29</v>
      </c>
      <c r="E36" s="3">
        <v>16.0</v>
      </c>
      <c r="F36" s="3" t="s">
        <v>27</v>
      </c>
      <c r="G36" s="3">
        <v>17.55</v>
      </c>
      <c r="I36" s="3">
        <v>21.1</v>
      </c>
      <c r="K36" s="3">
        <v>0.0</v>
      </c>
      <c r="L36" s="3">
        <v>0.0</v>
      </c>
      <c r="M36" s="3" t="s">
        <v>65</v>
      </c>
      <c r="N36" s="3">
        <v>1.0</v>
      </c>
      <c r="O36" s="3">
        <v>0.0</v>
      </c>
      <c r="P36" s="3">
        <v>-0.0465</v>
      </c>
      <c r="Q36" s="3">
        <v>0.0</v>
      </c>
      <c r="R36" s="3">
        <v>0.2546</v>
      </c>
      <c r="S36" s="3">
        <v>35.459999</v>
      </c>
      <c r="T36" s="3">
        <v>41.0</v>
      </c>
      <c r="U36" s="3">
        <f t="shared" si="2"/>
        <v>19.325</v>
      </c>
      <c r="V36" s="3"/>
      <c r="W36" s="3">
        <f t="shared" si="3"/>
        <v>19.46182112</v>
      </c>
      <c r="X36" s="3">
        <f t="shared" si="4"/>
        <v>7.801764356</v>
      </c>
      <c r="Y36" s="3">
        <f t="shared" si="5"/>
        <v>7.699069177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152</v>
      </c>
      <c r="B37" s="3" t="s">
        <v>153</v>
      </c>
      <c r="C37" s="3" t="s">
        <v>129</v>
      </c>
      <c r="D37" s="3" t="s">
        <v>29</v>
      </c>
      <c r="E37" s="3">
        <v>16.0</v>
      </c>
      <c r="F37" s="3" t="s">
        <v>27</v>
      </c>
      <c r="G37" s="3">
        <v>17.95</v>
      </c>
      <c r="I37" s="3">
        <v>20.55</v>
      </c>
      <c r="K37" s="3">
        <v>0.0</v>
      </c>
      <c r="L37" s="3">
        <v>0.0</v>
      </c>
      <c r="M37" s="3" t="s">
        <v>66</v>
      </c>
      <c r="N37" s="3">
        <v>1.0</v>
      </c>
      <c r="O37" s="3">
        <v>0.0</v>
      </c>
      <c r="P37" s="3">
        <v>-0.0465</v>
      </c>
      <c r="Q37" s="3">
        <v>0.0</v>
      </c>
      <c r="R37" s="3">
        <v>0.2582</v>
      </c>
      <c r="S37" s="3">
        <v>35.82</v>
      </c>
      <c r="T37" s="3">
        <v>40.0</v>
      </c>
      <c r="U37" s="3">
        <f t="shared" si="2"/>
        <v>19.25</v>
      </c>
      <c r="V37" s="3"/>
      <c r="W37" s="3">
        <f t="shared" si="3"/>
        <v>19.82177768</v>
      </c>
      <c r="X37" s="3">
        <f t="shared" si="4"/>
        <v>7.88689631</v>
      </c>
      <c r="Y37" s="3">
        <f t="shared" si="5"/>
        <v>7.784026968</v>
      </c>
      <c r="Z37" s="3">
        <f t="shared" ref="Z37:AA37" si="40">_xlfn.NORM.S.DIST(X37)</f>
        <v>1</v>
      </c>
      <c r="AA37" s="3">
        <f t="shared" si="40"/>
        <v>1</v>
      </c>
    </row>
    <row r="38" ht="14.25" customHeight="1">
      <c r="A38" s="3" t="s">
        <v>152</v>
      </c>
      <c r="B38" s="3" t="s">
        <v>153</v>
      </c>
      <c r="C38" s="3" t="s">
        <v>129</v>
      </c>
      <c r="D38" s="3" t="s">
        <v>29</v>
      </c>
      <c r="E38" s="3">
        <v>16.0</v>
      </c>
      <c r="F38" s="3" t="s">
        <v>27</v>
      </c>
      <c r="G38" s="3">
        <v>17.3</v>
      </c>
      <c r="I38" s="3">
        <v>20.85</v>
      </c>
      <c r="K38" s="3">
        <v>0.0</v>
      </c>
      <c r="L38" s="3">
        <v>0.0</v>
      </c>
      <c r="M38" s="3" t="s">
        <v>67</v>
      </c>
      <c r="N38" s="3">
        <v>0.9994</v>
      </c>
      <c r="O38" s="3">
        <v>0.0</v>
      </c>
      <c r="P38" s="3">
        <v>0.0912</v>
      </c>
      <c r="Q38" s="3">
        <v>0.0</v>
      </c>
      <c r="R38" s="3">
        <v>0.1831</v>
      </c>
      <c r="S38" s="3">
        <v>34.790001</v>
      </c>
      <c r="T38" s="3">
        <v>39.0</v>
      </c>
      <c r="U38" s="3">
        <f t="shared" si="2"/>
        <v>19.075</v>
      </c>
      <c r="V38" s="3"/>
      <c r="W38" s="3">
        <f t="shared" si="3"/>
        <v>18.79173424</v>
      </c>
      <c r="X38" s="3">
        <f t="shared" si="4"/>
        <v>10.82092707</v>
      </c>
      <c r="Y38" s="3">
        <f t="shared" si="5"/>
        <v>10.74889591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152</v>
      </c>
      <c r="B39" s="3" t="s">
        <v>153</v>
      </c>
      <c r="C39" s="3" t="s">
        <v>129</v>
      </c>
      <c r="D39" s="3" t="s">
        <v>29</v>
      </c>
      <c r="E39" s="3">
        <v>16.0</v>
      </c>
      <c r="F39" s="3" t="s">
        <v>27</v>
      </c>
      <c r="G39" s="3">
        <v>17.05</v>
      </c>
      <c r="I39" s="3">
        <v>20.6</v>
      </c>
      <c r="K39" s="3">
        <v>0.0</v>
      </c>
      <c r="L39" s="3">
        <v>0.0</v>
      </c>
      <c r="M39" s="3" t="s">
        <v>68</v>
      </c>
      <c r="N39" s="3">
        <v>0.9994</v>
      </c>
      <c r="O39" s="3">
        <v>0.0</v>
      </c>
      <c r="P39" s="3">
        <v>0.1056</v>
      </c>
      <c r="Q39" s="3">
        <v>0.0</v>
      </c>
      <c r="R39" s="3">
        <v>0.1712</v>
      </c>
      <c r="S39" s="3">
        <v>34.75</v>
      </c>
      <c r="T39" s="3">
        <v>38.0</v>
      </c>
      <c r="U39" s="3">
        <f t="shared" si="2"/>
        <v>18.825</v>
      </c>
      <c r="V39" s="3"/>
      <c r="W39" s="3">
        <f t="shared" si="3"/>
        <v>18.7516888</v>
      </c>
      <c r="X39" s="3">
        <f t="shared" si="4"/>
        <v>11.70124221</v>
      </c>
      <c r="Y39" s="3">
        <f t="shared" si="5"/>
        <v>11.63476156</v>
      </c>
      <c r="Z39" s="3">
        <f t="shared" ref="Z39:AA39" si="42">_xlfn.NORM.S.DIST(X39)</f>
        <v>1</v>
      </c>
      <c r="AA39" s="3">
        <f t="shared" si="42"/>
        <v>1</v>
      </c>
    </row>
    <row r="40" ht="14.25" customHeight="1">
      <c r="A40" s="3" t="s">
        <v>152</v>
      </c>
      <c r="B40" s="3" t="s">
        <v>153</v>
      </c>
      <c r="C40" s="3" t="s">
        <v>129</v>
      </c>
      <c r="D40" s="3" t="s">
        <v>29</v>
      </c>
      <c r="E40" s="3">
        <v>16.0</v>
      </c>
      <c r="F40" s="3" t="s">
        <v>27</v>
      </c>
      <c r="G40" s="3">
        <v>17.15</v>
      </c>
      <c r="I40" s="3">
        <v>20.05</v>
      </c>
      <c r="K40" s="3">
        <v>0.0</v>
      </c>
      <c r="L40" s="3">
        <v>0.0</v>
      </c>
      <c r="M40" s="3" t="s">
        <v>69</v>
      </c>
      <c r="N40" s="3">
        <v>0.9994</v>
      </c>
      <c r="O40" s="3">
        <v>0.0</v>
      </c>
      <c r="P40" s="3">
        <v>0.1084</v>
      </c>
      <c r="Q40" s="3">
        <v>0.0</v>
      </c>
      <c r="R40" s="3">
        <v>0.35</v>
      </c>
      <c r="S40" s="3">
        <v>35.130001</v>
      </c>
      <c r="T40" s="3">
        <v>37.0</v>
      </c>
      <c r="U40" s="3">
        <f t="shared" si="2"/>
        <v>18.6</v>
      </c>
      <c r="V40" s="3"/>
      <c r="W40" s="3">
        <f t="shared" si="3"/>
        <v>19.13164536</v>
      </c>
      <c r="X40" s="3">
        <f t="shared" si="4"/>
        <v>5.932062603</v>
      </c>
      <c r="Y40" s="3">
        <f t="shared" si="5"/>
        <v>5.797950295</v>
      </c>
      <c r="Z40" s="3">
        <f t="shared" ref="Z40:AA40" si="43">_xlfn.NORM.S.DIST(X40)</f>
        <v>0.9999999985</v>
      </c>
      <c r="AA40" s="3">
        <f t="shared" si="43"/>
        <v>0.9999999966</v>
      </c>
    </row>
    <row r="41" ht="14.25" customHeight="1">
      <c r="A41" s="3" t="s">
        <v>152</v>
      </c>
      <c r="B41" s="3" t="s">
        <v>153</v>
      </c>
      <c r="C41" s="3" t="s">
        <v>129</v>
      </c>
      <c r="D41" s="3" t="s">
        <v>29</v>
      </c>
      <c r="E41" s="3">
        <v>16.0</v>
      </c>
      <c r="F41" s="3" t="s">
        <v>27</v>
      </c>
      <c r="G41" s="3">
        <v>17.55</v>
      </c>
      <c r="I41" s="3">
        <v>20.65</v>
      </c>
      <c r="K41" s="3">
        <v>0.0</v>
      </c>
      <c r="L41" s="3">
        <v>0.0</v>
      </c>
      <c r="M41" s="3" t="s">
        <v>70</v>
      </c>
      <c r="N41" s="3">
        <v>0.9994</v>
      </c>
      <c r="O41" s="3">
        <v>0.0</v>
      </c>
      <c r="P41" s="3">
        <v>0.1082</v>
      </c>
      <c r="Q41" s="3">
        <v>0.0</v>
      </c>
      <c r="R41" s="3">
        <v>0.3322</v>
      </c>
      <c r="S41" s="3">
        <v>35.080002</v>
      </c>
      <c r="T41" s="3">
        <v>36.0</v>
      </c>
      <c r="U41" s="3">
        <f t="shared" si="2"/>
        <v>19.1</v>
      </c>
      <c r="V41" s="3"/>
      <c r="W41" s="3">
        <f t="shared" si="3"/>
        <v>19.08160192</v>
      </c>
      <c r="X41" s="3">
        <f t="shared" si="4"/>
        <v>6.315915976</v>
      </c>
      <c r="Y41" s="3">
        <f t="shared" si="5"/>
        <v>6.190356178</v>
      </c>
      <c r="Z41" s="3">
        <f t="shared" ref="Z41:AA41" si="44">_xlfn.NORM.S.DIST(X41)</f>
        <v>0.9999999999</v>
      </c>
      <c r="AA41" s="3">
        <f t="shared" si="44"/>
        <v>0.9999999997</v>
      </c>
    </row>
    <row r="42" ht="14.25" customHeight="1">
      <c r="A42" s="3" t="s">
        <v>152</v>
      </c>
      <c r="B42" s="3" t="s">
        <v>153</v>
      </c>
      <c r="C42" s="3" t="s">
        <v>129</v>
      </c>
      <c r="D42" s="3" t="s">
        <v>29</v>
      </c>
      <c r="E42" s="3">
        <v>16.0</v>
      </c>
      <c r="F42" s="3" t="s">
        <v>27</v>
      </c>
      <c r="G42" s="3">
        <v>18.0</v>
      </c>
      <c r="I42" s="3">
        <v>20.65</v>
      </c>
      <c r="K42" s="3">
        <v>0.0</v>
      </c>
      <c r="L42" s="3">
        <v>0.0</v>
      </c>
      <c r="M42" s="3" t="s">
        <v>71</v>
      </c>
      <c r="N42" s="3">
        <v>0.9994</v>
      </c>
      <c r="O42" s="3">
        <v>0.0</v>
      </c>
      <c r="P42" s="3">
        <v>0.112</v>
      </c>
      <c r="Q42" s="3">
        <v>0.0</v>
      </c>
      <c r="R42" s="3">
        <v>0.3537</v>
      </c>
      <c r="S42" s="3">
        <v>35.389999</v>
      </c>
      <c r="T42" s="3">
        <v>35.0</v>
      </c>
      <c r="U42" s="3">
        <f t="shared" si="2"/>
        <v>19.325</v>
      </c>
      <c r="V42" s="3"/>
      <c r="W42" s="3">
        <f t="shared" si="3"/>
        <v>19.39155448</v>
      </c>
      <c r="X42" s="3">
        <f t="shared" si="4"/>
        <v>6.088974481</v>
      </c>
      <c r="Y42" s="3">
        <f t="shared" si="5"/>
        <v>5.957158274</v>
      </c>
      <c r="Z42" s="3">
        <f t="shared" ref="Z42:AA42" si="45">_xlfn.NORM.S.DIST(X42)</f>
        <v>0.9999999994</v>
      </c>
      <c r="AA42" s="3">
        <f t="shared" si="45"/>
        <v>0.9999999987</v>
      </c>
    </row>
    <row r="43" ht="14.25" customHeight="1">
      <c r="A43" s="3" t="s">
        <v>152</v>
      </c>
      <c r="B43" s="3" t="s">
        <v>153</v>
      </c>
      <c r="C43" s="3" t="s">
        <v>129</v>
      </c>
      <c r="D43" s="3" t="s">
        <v>29</v>
      </c>
      <c r="E43" s="3">
        <v>16.0</v>
      </c>
      <c r="F43" s="3" t="s">
        <v>27</v>
      </c>
      <c r="G43" s="3">
        <v>17.9</v>
      </c>
      <c r="I43" s="3">
        <v>21.3</v>
      </c>
      <c r="K43" s="3">
        <v>0.0</v>
      </c>
      <c r="L43" s="3">
        <v>0.0</v>
      </c>
      <c r="M43" s="3" t="s">
        <v>72</v>
      </c>
      <c r="N43" s="3">
        <v>0.9994</v>
      </c>
      <c r="O43" s="3">
        <v>0.0</v>
      </c>
      <c r="P43" s="3">
        <v>0.1154</v>
      </c>
      <c r="Q43" s="3">
        <v>0.0</v>
      </c>
      <c r="R43" s="3">
        <v>0.2747</v>
      </c>
      <c r="S43" s="3">
        <v>35.849998</v>
      </c>
      <c r="T43" s="3">
        <v>34.0</v>
      </c>
      <c r="U43" s="3">
        <f t="shared" si="2"/>
        <v>19.6</v>
      </c>
      <c r="V43" s="3"/>
      <c r="W43" s="3">
        <f t="shared" si="3"/>
        <v>19.85150904</v>
      </c>
      <c r="X43" s="3">
        <f t="shared" si="4"/>
        <v>8.046851378</v>
      </c>
      <c r="Y43" s="3">
        <f t="shared" si="5"/>
        <v>7.945949826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152</v>
      </c>
      <c r="B44" s="3" t="s">
        <v>153</v>
      </c>
      <c r="C44" s="3" t="s">
        <v>129</v>
      </c>
      <c r="D44" s="3" t="s">
        <v>29</v>
      </c>
      <c r="E44" s="3">
        <v>16.0</v>
      </c>
      <c r="F44" s="3" t="s">
        <v>27</v>
      </c>
      <c r="G44" s="3">
        <v>18.4</v>
      </c>
      <c r="I44" s="3">
        <v>21.75</v>
      </c>
      <c r="K44" s="3">
        <v>0.0</v>
      </c>
      <c r="L44" s="3">
        <v>0.0</v>
      </c>
      <c r="M44" s="3" t="s">
        <v>73</v>
      </c>
      <c r="N44" s="3">
        <v>0.9994</v>
      </c>
      <c r="O44" s="3">
        <v>0.0</v>
      </c>
      <c r="P44" s="3">
        <v>0.1168</v>
      </c>
      <c r="Q44" s="3">
        <v>0.0</v>
      </c>
      <c r="R44" s="3">
        <v>0.2868</v>
      </c>
      <c r="S44" s="3">
        <v>35.880001</v>
      </c>
      <c r="T44" s="3">
        <v>33.0</v>
      </c>
      <c r="U44" s="3">
        <f t="shared" si="2"/>
        <v>20.075</v>
      </c>
      <c r="V44" s="3"/>
      <c r="W44" s="3">
        <f t="shared" si="3"/>
        <v>19.8814676</v>
      </c>
      <c r="X44" s="3">
        <f t="shared" si="4"/>
        <v>7.83414126</v>
      </c>
      <c r="Y44" s="3">
        <f t="shared" si="5"/>
        <v>7.73035596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152</v>
      </c>
      <c r="B45" s="3" t="s">
        <v>153</v>
      </c>
      <c r="C45" s="3" t="s">
        <v>129</v>
      </c>
      <c r="D45" s="3" t="s">
        <v>29</v>
      </c>
      <c r="E45" s="3">
        <v>16.0</v>
      </c>
      <c r="F45" s="3" t="s">
        <v>27</v>
      </c>
      <c r="G45" s="3">
        <v>18.25</v>
      </c>
      <c r="I45" s="3">
        <v>21.4</v>
      </c>
      <c r="K45" s="3">
        <v>0.0</v>
      </c>
      <c r="L45" s="3">
        <v>0.0</v>
      </c>
      <c r="M45" s="3" t="s">
        <v>74</v>
      </c>
      <c r="N45" s="3">
        <v>0.9997</v>
      </c>
      <c r="O45" s="3">
        <v>0.0</v>
      </c>
      <c r="P45" s="3">
        <v>0.0363</v>
      </c>
      <c r="Q45" s="3">
        <v>0.0</v>
      </c>
      <c r="R45" s="3">
        <v>0.2367</v>
      </c>
      <c r="S45" s="3">
        <v>36.049999</v>
      </c>
      <c r="T45" s="3">
        <v>32.0</v>
      </c>
      <c r="U45" s="3">
        <f t="shared" si="2"/>
        <v>19.825</v>
      </c>
      <c r="V45" s="3"/>
      <c r="W45" s="3">
        <f t="shared" si="3"/>
        <v>20.05142116</v>
      </c>
      <c r="X45" s="3">
        <f t="shared" si="4"/>
        <v>9.673823578</v>
      </c>
      <c r="Y45" s="3">
        <f t="shared" si="5"/>
        <v>9.58947593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152</v>
      </c>
      <c r="B46" s="3" t="s">
        <v>153</v>
      </c>
      <c r="C46" s="3" t="s">
        <v>129</v>
      </c>
      <c r="D46" s="3" t="s">
        <v>29</v>
      </c>
      <c r="E46" s="3">
        <v>16.0</v>
      </c>
      <c r="F46" s="3" t="s">
        <v>27</v>
      </c>
      <c r="G46" s="3">
        <v>18.55</v>
      </c>
      <c r="I46" s="3">
        <v>21.9</v>
      </c>
      <c r="K46" s="3">
        <v>0.0</v>
      </c>
      <c r="L46" s="3">
        <v>0.0</v>
      </c>
      <c r="M46" s="3" t="s">
        <v>75</v>
      </c>
      <c r="N46" s="3">
        <v>1.0</v>
      </c>
      <c r="O46" s="3">
        <v>0.0</v>
      </c>
      <c r="P46" s="3">
        <v>-0.0451</v>
      </c>
      <c r="Q46" s="3">
        <v>0.0</v>
      </c>
      <c r="R46" s="3">
        <v>0.275</v>
      </c>
      <c r="S46" s="3">
        <v>36.419998</v>
      </c>
      <c r="T46" s="3">
        <v>31.0</v>
      </c>
      <c r="U46" s="3">
        <f t="shared" si="2"/>
        <v>20.225</v>
      </c>
      <c r="V46" s="3"/>
      <c r="W46" s="3">
        <f t="shared" si="3"/>
        <v>20.42137572</v>
      </c>
      <c r="X46" s="3">
        <f t="shared" si="4"/>
        <v>8.576940588</v>
      </c>
      <c r="Y46" s="3">
        <f t="shared" si="5"/>
        <v>8.480488137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152</v>
      </c>
      <c r="B47" s="3" t="s">
        <v>153</v>
      </c>
      <c r="C47" s="3" t="s">
        <v>129</v>
      </c>
      <c r="D47" s="3" t="s">
        <v>29</v>
      </c>
      <c r="E47" s="3">
        <v>16.0</v>
      </c>
      <c r="F47" s="3" t="s">
        <v>27</v>
      </c>
      <c r="G47" s="3">
        <v>20.4</v>
      </c>
      <c r="I47" s="3">
        <v>20.55</v>
      </c>
      <c r="K47" s="3">
        <v>0.0</v>
      </c>
      <c r="L47" s="3">
        <v>0.0</v>
      </c>
      <c r="M47" s="3" t="s">
        <v>76</v>
      </c>
      <c r="N47" s="3">
        <v>1.0</v>
      </c>
      <c r="O47" s="3">
        <v>0.0</v>
      </c>
      <c r="P47" s="3">
        <v>-0.0451</v>
      </c>
      <c r="Q47" s="3">
        <v>0.0</v>
      </c>
      <c r="R47" s="3">
        <v>0.2395</v>
      </c>
      <c r="S47" s="3">
        <v>36.5</v>
      </c>
      <c r="T47" s="3">
        <v>30.0</v>
      </c>
      <c r="U47" s="3">
        <f t="shared" si="2"/>
        <v>20.475</v>
      </c>
      <c r="V47" s="3"/>
      <c r="W47" s="3">
        <f t="shared" si="3"/>
        <v>20.50133328</v>
      </c>
      <c r="X47" s="3">
        <f t="shared" si="4"/>
        <v>10.02260128</v>
      </c>
      <c r="Y47" s="3">
        <f t="shared" si="5"/>
        <v>9.939965932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152</v>
      </c>
      <c r="B48" s="3" t="s">
        <v>153</v>
      </c>
      <c r="C48" s="3" t="s">
        <v>129</v>
      </c>
      <c r="D48" s="3" t="s">
        <v>29</v>
      </c>
      <c r="E48" s="3">
        <v>16.0</v>
      </c>
      <c r="F48" s="3" t="s">
        <v>27</v>
      </c>
      <c r="G48" s="3">
        <v>19.1</v>
      </c>
      <c r="I48" s="3">
        <v>22.3</v>
      </c>
      <c r="K48" s="3">
        <v>0.0</v>
      </c>
      <c r="L48" s="3">
        <v>0.0</v>
      </c>
      <c r="M48" s="3" t="s">
        <v>77</v>
      </c>
      <c r="N48" s="3">
        <v>0.9995</v>
      </c>
      <c r="O48" s="3">
        <v>0.0</v>
      </c>
      <c r="P48" s="3">
        <v>0.1344</v>
      </c>
      <c r="Q48" s="3">
        <v>0.0</v>
      </c>
      <c r="R48" s="3">
        <v>0.2624</v>
      </c>
      <c r="S48" s="3">
        <v>37.130001</v>
      </c>
      <c r="T48" s="3">
        <v>29.0</v>
      </c>
      <c r="U48" s="3">
        <f t="shared" si="2"/>
        <v>20.7</v>
      </c>
      <c r="V48" s="3"/>
      <c r="W48" s="3">
        <f t="shared" si="3"/>
        <v>21.13128984</v>
      </c>
      <c r="X48" s="3">
        <f t="shared" si="4"/>
        <v>9.502670252</v>
      </c>
      <c r="Y48" s="3">
        <f t="shared" si="5"/>
        <v>9.413655382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152</v>
      </c>
      <c r="B49" s="3" t="s">
        <v>153</v>
      </c>
      <c r="C49" s="3" t="s">
        <v>129</v>
      </c>
      <c r="D49" s="3" t="s">
        <v>29</v>
      </c>
      <c r="E49" s="3">
        <v>16.0</v>
      </c>
      <c r="F49" s="3" t="s">
        <v>27</v>
      </c>
      <c r="G49" s="3">
        <v>19.2</v>
      </c>
      <c r="I49" s="3">
        <v>22.25</v>
      </c>
      <c r="K49" s="3">
        <v>0.0</v>
      </c>
      <c r="L49" s="3">
        <v>0.0</v>
      </c>
      <c r="M49" s="3" t="s">
        <v>78</v>
      </c>
      <c r="N49" s="3">
        <v>0.9995</v>
      </c>
      <c r="O49" s="3">
        <v>0.0</v>
      </c>
      <c r="P49" s="3">
        <v>0.1439</v>
      </c>
      <c r="Q49" s="3">
        <v>0.0</v>
      </c>
      <c r="R49" s="3">
        <v>0.2102</v>
      </c>
      <c r="S49" s="3">
        <v>36.66</v>
      </c>
      <c r="T49" s="3">
        <v>28.0</v>
      </c>
      <c r="U49" s="3">
        <f t="shared" si="2"/>
        <v>20.725</v>
      </c>
      <c r="V49" s="3"/>
      <c r="W49" s="3">
        <f t="shared" si="3"/>
        <v>20.6612444</v>
      </c>
      <c r="X49" s="3">
        <f t="shared" si="4"/>
        <v>11.86912417</v>
      </c>
      <c r="Y49" s="3">
        <f t="shared" si="5"/>
        <v>11.7990575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152</v>
      </c>
      <c r="B50" s="3" t="s">
        <v>153</v>
      </c>
      <c r="C50" s="3" t="s">
        <v>129</v>
      </c>
      <c r="D50" s="3" t="s">
        <v>29</v>
      </c>
      <c r="E50" s="3">
        <v>16.0</v>
      </c>
      <c r="F50" s="3" t="s">
        <v>27</v>
      </c>
      <c r="G50" s="3">
        <v>18.9</v>
      </c>
      <c r="I50" s="3">
        <v>21.6</v>
      </c>
      <c r="K50" s="3">
        <v>0.0</v>
      </c>
      <c r="L50" s="3">
        <v>0.0</v>
      </c>
      <c r="M50" s="3" t="s">
        <v>79</v>
      </c>
      <c r="N50" s="3">
        <v>0.9995</v>
      </c>
      <c r="O50" s="3">
        <v>0.0</v>
      </c>
      <c r="P50" s="3">
        <v>0.1521</v>
      </c>
      <c r="Q50" s="3">
        <v>0.0</v>
      </c>
      <c r="R50" s="3">
        <v>0.232</v>
      </c>
      <c r="S50" s="3">
        <v>36.77</v>
      </c>
      <c r="T50" s="3">
        <v>27.0</v>
      </c>
      <c r="U50" s="3">
        <f t="shared" si="2"/>
        <v>20.25</v>
      </c>
      <c r="V50" s="3"/>
      <c r="W50" s="3">
        <f t="shared" si="3"/>
        <v>20.77119996</v>
      </c>
      <c r="X50" s="3">
        <f t="shared" si="4"/>
        <v>10.99623278</v>
      </c>
      <c r="Y50" s="3">
        <f t="shared" si="5"/>
        <v>10.92029295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152</v>
      </c>
      <c r="B51" s="3" t="s">
        <v>153</v>
      </c>
      <c r="C51" s="3" t="s">
        <v>129</v>
      </c>
      <c r="D51" s="3" t="s">
        <v>29</v>
      </c>
      <c r="E51" s="3">
        <v>16.0</v>
      </c>
      <c r="F51" s="3" t="s">
        <v>27</v>
      </c>
      <c r="G51" s="3">
        <v>19.35</v>
      </c>
      <c r="I51" s="3">
        <v>22.5</v>
      </c>
      <c r="K51" s="3">
        <v>0.0</v>
      </c>
      <c r="L51" s="3">
        <v>0.0</v>
      </c>
      <c r="M51" s="3" t="s">
        <v>80</v>
      </c>
      <c r="N51" s="3">
        <v>0.9994</v>
      </c>
      <c r="O51" s="3">
        <v>0.0</v>
      </c>
      <c r="P51" s="3">
        <v>0.1608</v>
      </c>
      <c r="Q51" s="3">
        <v>0.0</v>
      </c>
      <c r="R51" s="3">
        <v>0.2788</v>
      </c>
      <c r="S51" s="3">
        <v>36.970001</v>
      </c>
      <c r="T51" s="3">
        <v>26.0</v>
      </c>
      <c r="U51" s="3">
        <f t="shared" si="2"/>
        <v>20.925</v>
      </c>
      <c r="V51" s="3"/>
      <c r="W51" s="3">
        <f t="shared" si="3"/>
        <v>20.97115651</v>
      </c>
      <c r="X51" s="3">
        <f t="shared" si="4"/>
        <v>9.39780939</v>
      </c>
      <c r="Y51" s="3">
        <f t="shared" si="5"/>
        <v>9.308256589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152</v>
      </c>
      <c r="B52" s="3" t="s">
        <v>153</v>
      </c>
      <c r="C52" s="3" t="s">
        <v>129</v>
      </c>
      <c r="D52" s="3" t="s">
        <v>29</v>
      </c>
      <c r="E52" s="3">
        <v>16.0</v>
      </c>
      <c r="F52" s="3" t="s">
        <v>27</v>
      </c>
      <c r="G52" s="3">
        <v>19.95</v>
      </c>
      <c r="I52" s="3">
        <v>23.5</v>
      </c>
      <c r="K52" s="3">
        <v>0.0</v>
      </c>
      <c r="L52" s="3">
        <v>0.0</v>
      </c>
      <c r="M52" s="3" t="s">
        <v>81</v>
      </c>
      <c r="N52" s="3">
        <v>0.9995</v>
      </c>
      <c r="O52" s="3">
        <v>0.0</v>
      </c>
      <c r="P52" s="3">
        <v>0.1676</v>
      </c>
      <c r="Q52" s="3">
        <v>0.0</v>
      </c>
      <c r="R52" s="3">
        <v>0.1611</v>
      </c>
      <c r="S52" s="3">
        <v>38.200001</v>
      </c>
      <c r="T52" s="3">
        <v>25.0</v>
      </c>
      <c r="U52" s="3">
        <f t="shared" si="2"/>
        <v>21.725</v>
      </c>
      <c r="V52" s="3"/>
      <c r="W52" s="3">
        <f t="shared" si="3"/>
        <v>22.20111207</v>
      </c>
      <c r="X52" s="3">
        <f t="shared" si="4"/>
        <v>17.17725464</v>
      </c>
      <c r="Y52" s="3">
        <f t="shared" si="5"/>
        <v>17.12651291</v>
      </c>
      <c r="Z52" s="3">
        <f t="shared" ref="Z52:AA52" si="55">_xlfn.NORM.S.DIST(X52)</f>
        <v>1</v>
      </c>
      <c r="AA52" s="3">
        <f t="shared" si="55"/>
        <v>1</v>
      </c>
    </row>
    <row r="53" ht="14.25" customHeight="1">
      <c r="A53" s="3" t="s">
        <v>152</v>
      </c>
      <c r="B53" s="3" t="s">
        <v>153</v>
      </c>
      <c r="C53" s="3" t="s">
        <v>129</v>
      </c>
      <c r="D53" s="3" t="s">
        <v>29</v>
      </c>
      <c r="E53" s="3">
        <v>16.0</v>
      </c>
      <c r="F53" s="3" t="s">
        <v>27</v>
      </c>
      <c r="G53" s="3">
        <v>20.05</v>
      </c>
      <c r="I53" s="3">
        <v>23.4</v>
      </c>
      <c r="K53" s="3">
        <v>0.0</v>
      </c>
      <c r="L53" s="3">
        <v>0.0</v>
      </c>
      <c r="M53" s="3" t="s">
        <v>82</v>
      </c>
      <c r="N53" s="3">
        <v>0.9995</v>
      </c>
      <c r="O53" s="3">
        <v>0.0</v>
      </c>
      <c r="P53" s="3">
        <v>0.1673</v>
      </c>
      <c r="Q53" s="3">
        <v>0.0</v>
      </c>
      <c r="R53" s="3">
        <v>0.2079</v>
      </c>
      <c r="S53" s="3">
        <v>37.759998</v>
      </c>
      <c r="T53" s="3">
        <v>24.0</v>
      </c>
      <c r="U53" s="3">
        <f t="shared" si="2"/>
        <v>21.725</v>
      </c>
      <c r="V53" s="3"/>
      <c r="W53" s="3">
        <f t="shared" si="3"/>
        <v>21.76106463</v>
      </c>
      <c r="X53" s="3">
        <f t="shared" si="4"/>
        <v>13.41638704</v>
      </c>
      <c r="Y53" s="3">
        <f t="shared" si="5"/>
        <v>13.35222771</v>
      </c>
      <c r="Z53" s="3">
        <f t="shared" ref="Z53:AA53" si="56">_xlfn.NORM.S.DIST(X53)</f>
        <v>1</v>
      </c>
      <c r="AA53" s="3">
        <f t="shared" si="56"/>
        <v>1</v>
      </c>
    </row>
    <row r="54" ht="14.25" customHeight="1">
      <c r="A54" s="3" t="s">
        <v>152</v>
      </c>
      <c r="B54" s="3" t="s">
        <v>153</v>
      </c>
      <c r="C54" s="3" t="s">
        <v>129</v>
      </c>
      <c r="D54" s="3" t="s">
        <v>29</v>
      </c>
      <c r="E54" s="3">
        <v>16.0</v>
      </c>
      <c r="F54" s="3" t="s">
        <v>27</v>
      </c>
      <c r="G54" s="3">
        <v>19.95</v>
      </c>
      <c r="I54" s="3">
        <v>23.05</v>
      </c>
      <c r="K54" s="3">
        <v>0.0</v>
      </c>
      <c r="L54" s="3">
        <v>0.0</v>
      </c>
      <c r="M54" s="3" t="s">
        <v>83</v>
      </c>
      <c r="N54" s="3">
        <v>0.9995</v>
      </c>
      <c r="O54" s="3">
        <v>0.0</v>
      </c>
      <c r="P54" s="3">
        <v>0.1678</v>
      </c>
      <c r="Q54" s="3">
        <v>0.0</v>
      </c>
      <c r="R54" s="3">
        <v>0.3466</v>
      </c>
      <c r="S54" s="3">
        <v>37.490002</v>
      </c>
      <c r="T54" s="3">
        <v>23.0</v>
      </c>
      <c r="U54" s="3">
        <f t="shared" si="2"/>
        <v>21.5</v>
      </c>
      <c r="V54" s="3"/>
      <c r="W54" s="3">
        <f t="shared" si="3"/>
        <v>21.49102419</v>
      </c>
      <c r="X54" s="3">
        <f t="shared" si="4"/>
        <v>8.184735554</v>
      </c>
      <c r="Y54" s="3">
        <f t="shared" si="5"/>
        <v>8.080024578</v>
      </c>
      <c r="Z54" s="3">
        <f t="shared" ref="Z54:AA54" si="57">_xlfn.NORM.S.DIST(X54)</f>
        <v>1</v>
      </c>
      <c r="AA54" s="3">
        <f t="shared" si="57"/>
        <v>1</v>
      </c>
    </row>
    <row r="55" ht="14.25" customHeight="1">
      <c r="A55" s="3" t="s">
        <v>152</v>
      </c>
      <c r="B55" s="3" t="s">
        <v>153</v>
      </c>
      <c r="C55" s="3" t="s">
        <v>129</v>
      </c>
      <c r="D55" s="3" t="s">
        <v>29</v>
      </c>
      <c r="E55" s="3">
        <v>16.0</v>
      </c>
      <c r="F55" s="3" t="s">
        <v>27</v>
      </c>
      <c r="G55" s="3">
        <v>19.75</v>
      </c>
      <c r="I55" s="3">
        <v>22.95</v>
      </c>
      <c r="K55" s="3">
        <v>0.0</v>
      </c>
      <c r="L55" s="3">
        <v>0.0</v>
      </c>
      <c r="M55" s="3" t="s">
        <v>84</v>
      </c>
      <c r="N55" s="3">
        <v>0.9995</v>
      </c>
      <c r="O55" s="3">
        <v>0.0</v>
      </c>
      <c r="P55" s="3">
        <v>0.168</v>
      </c>
      <c r="Q55" s="3">
        <v>0.0</v>
      </c>
      <c r="R55" s="3">
        <v>0.3497</v>
      </c>
      <c r="S55" s="3">
        <v>37.439999</v>
      </c>
      <c r="T55" s="3">
        <v>22.0</v>
      </c>
      <c r="U55" s="3">
        <f t="shared" si="2"/>
        <v>21.35</v>
      </c>
      <c r="V55" s="3"/>
      <c r="W55" s="3">
        <f t="shared" si="3"/>
        <v>21.44097675</v>
      </c>
      <c r="X55" s="3">
        <f t="shared" si="4"/>
        <v>8.280160031</v>
      </c>
      <c r="Y55" s="3">
        <f t="shared" si="5"/>
        <v>8.176834724</v>
      </c>
      <c r="Z55" s="3">
        <f t="shared" ref="Z55:AA55" si="58">_xlfn.NORM.S.DIST(X55)</f>
        <v>1</v>
      </c>
      <c r="AA55" s="3">
        <f t="shared" si="58"/>
        <v>1</v>
      </c>
    </row>
    <row r="56" ht="14.25" customHeight="1">
      <c r="A56" s="3" t="s">
        <v>152</v>
      </c>
      <c r="B56" s="3" t="s">
        <v>153</v>
      </c>
      <c r="C56" s="3" t="s">
        <v>129</v>
      </c>
      <c r="D56" s="3" t="s">
        <v>29</v>
      </c>
      <c r="E56" s="3">
        <v>16.0</v>
      </c>
      <c r="F56" s="3" t="s">
        <v>27</v>
      </c>
      <c r="G56" s="3">
        <v>20.0</v>
      </c>
      <c r="I56" s="3">
        <v>22.75</v>
      </c>
      <c r="K56" s="3">
        <v>0.0</v>
      </c>
      <c r="L56" s="3">
        <v>0.0</v>
      </c>
      <c r="M56" s="3" t="s">
        <v>85</v>
      </c>
      <c r="N56" s="3">
        <v>0.9995</v>
      </c>
      <c r="O56" s="3">
        <v>0.0</v>
      </c>
      <c r="P56" s="3">
        <v>0.1708</v>
      </c>
      <c r="Q56" s="3">
        <v>0.0</v>
      </c>
      <c r="R56" s="3">
        <v>0.3431</v>
      </c>
      <c r="S56" s="3">
        <v>37.139999</v>
      </c>
      <c r="T56" s="3">
        <v>21.0</v>
      </c>
      <c r="U56" s="3">
        <f t="shared" si="2"/>
        <v>21.375</v>
      </c>
      <c r="V56" s="3"/>
      <c r="W56" s="3">
        <f t="shared" si="3"/>
        <v>21.14093231</v>
      </c>
      <c r="X56" s="3">
        <f t="shared" si="4"/>
        <v>8.552413965</v>
      </c>
      <c r="Y56" s="3">
        <f t="shared" si="5"/>
        <v>8.453369526</v>
      </c>
      <c r="Z56" s="3">
        <f t="shared" ref="Z56:AA56" si="59">_xlfn.NORM.S.DIST(X56)</f>
        <v>1</v>
      </c>
      <c r="AA56" s="3">
        <f t="shared" si="59"/>
        <v>1</v>
      </c>
    </row>
    <row r="57" ht="14.25" customHeight="1">
      <c r="A57" s="3" t="s">
        <v>152</v>
      </c>
      <c r="B57" s="3" t="s">
        <v>153</v>
      </c>
      <c r="C57" s="3" t="s">
        <v>129</v>
      </c>
      <c r="D57" s="3" t="s">
        <v>29</v>
      </c>
      <c r="E57" s="3">
        <v>16.0</v>
      </c>
      <c r="F57" s="3" t="s">
        <v>27</v>
      </c>
      <c r="G57" s="3">
        <v>19.65</v>
      </c>
      <c r="I57" s="3">
        <v>22.7</v>
      </c>
      <c r="K57" s="3">
        <v>0.0</v>
      </c>
      <c r="L57" s="3">
        <v>0.0</v>
      </c>
      <c r="M57" s="3" t="s">
        <v>86</v>
      </c>
      <c r="N57" s="3">
        <v>0.9996</v>
      </c>
      <c r="O57" s="3">
        <v>0.0</v>
      </c>
      <c r="P57" s="3">
        <v>0.1661</v>
      </c>
      <c r="Q57" s="3">
        <v>0.0</v>
      </c>
      <c r="R57" s="3">
        <v>0.2805</v>
      </c>
      <c r="S57" s="3">
        <v>37.200001</v>
      </c>
      <c r="T57" s="3">
        <v>20.0</v>
      </c>
      <c r="U57" s="3">
        <f t="shared" si="2"/>
        <v>21.175</v>
      </c>
      <c r="V57" s="3"/>
      <c r="W57" s="3">
        <f t="shared" si="3"/>
        <v>21.20088986</v>
      </c>
      <c r="X57" s="3">
        <f t="shared" si="4"/>
        <v>10.71725191</v>
      </c>
      <c r="Y57" s="3">
        <f t="shared" si="5"/>
        <v>10.63822999</v>
      </c>
      <c r="Z57" s="3">
        <f t="shared" ref="Z57:AA57" si="60">_xlfn.NORM.S.DIST(X57)</f>
        <v>1</v>
      </c>
      <c r="AA57" s="3">
        <f t="shared" si="60"/>
        <v>1</v>
      </c>
    </row>
    <row r="58" ht="14.25" customHeight="1">
      <c r="A58" s="3" t="s">
        <v>152</v>
      </c>
      <c r="B58" s="3" t="s">
        <v>153</v>
      </c>
      <c r="C58" s="3" t="s">
        <v>129</v>
      </c>
      <c r="D58" s="3" t="s">
        <v>29</v>
      </c>
      <c r="E58" s="3">
        <v>16.0</v>
      </c>
      <c r="F58" s="3" t="s">
        <v>27</v>
      </c>
      <c r="G58" s="3">
        <v>19.55</v>
      </c>
      <c r="I58" s="3">
        <v>22.1</v>
      </c>
      <c r="K58" s="3">
        <v>0.0</v>
      </c>
      <c r="L58" s="3">
        <v>0.0</v>
      </c>
      <c r="M58" s="3" t="s">
        <v>87</v>
      </c>
      <c r="N58" s="3">
        <v>1.0</v>
      </c>
      <c r="O58" s="3">
        <v>0.0</v>
      </c>
      <c r="P58" s="3">
        <v>-0.0451</v>
      </c>
      <c r="Q58" s="3">
        <v>0.0</v>
      </c>
      <c r="R58" s="3">
        <v>0.2389</v>
      </c>
      <c r="S58" s="3">
        <v>37.209999</v>
      </c>
      <c r="T58" s="3">
        <v>19.0</v>
      </c>
      <c r="U58" s="3">
        <f t="shared" si="2"/>
        <v>20.825</v>
      </c>
      <c r="V58" s="3"/>
      <c r="W58" s="3">
        <f t="shared" si="3"/>
        <v>21.21084342</v>
      </c>
      <c r="X58" s="3">
        <f t="shared" si="4"/>
        <v>12.89961714</v>
      </c>
      <c r="Y58" s="3">
        <f t="shared" si="5"/>
        <v>12.83401882</v>
      </c>
      <c r="Z58" s="3">
        <f t="shared" ref="Z58:AA58" si="61">_xlfn.NORM.S.DIST(X58)</f>
        <v>1</v>
      </c>
      <c r="AA58" s="3">
        <f t="shared" si="61"/>
        <v>1</v>
      </c>
    </row>
    <row r="59" ht="14.25" customHeight="1">
      <c r="A59" s="3" t="s">
        <v>152</v>
      </c>
      <c r="B59" s="3" t="s">
        <v>153</v>
      </c>
      <c r="C59" s="3" t="s">
        <v>129</v>
      </c>
      <c r="D59" s="3" t="s">
        <v>29</v>
      </c>
      <c r="E59" s="3">
        <v>16.0</v>
      </c>
      <c r="F59" s="3" t="s">
        <v>27</v>
      </c>
      <c r="G59" s="3">
        <v>19.6</v>
      </c>
      <c r="I59" s="3">
        <v>22.9</v>
      </c>
      <c r="K59" s="3">
        <v>0.0</v>
      </c>
      <c r="L59" s="3">
        <v>0.0</v>
      </c>
      <c r="M59" s="3" t="s">
        <v>88</v>
      </c>
      <c r="N59" s="3">
        <v>0.9998</v>
      </c>
      <c r="O59" s="3">
        <v>0.0</v>
      </c>
      <c r="P59" s="3">
        <v>0.0609</v>
      </c>
      <c r="Q59" s="3">
        <v>0.0</v>
      </c>
      <c r="R59" s="3">
        <v>0.1957</v>
      </c>
      <c r="S59" s="3">
        <v>37.299999</v>
      </c>
      <c r="T59" s="3">
        <v>18.0</v>
      </c>
      <c r="U59" s="3">
        <f t="shared" si="2"/>
        <v>21.25</v>
      </c>
      <c r="V59" s="3"/>
      <c r="W59" s="3">
        <f t="shared" si="3"/>
        <v>21.30079898</v>
      </c>
      <c r="X59" s="3">
        <f t="shared" si="4"/>
        <v>16.2098154</v>
      </c>
      <c r="Y59" s="3">
        <f t="shared" si="5"/>
        <v>16.15751238</v>
      </c>
      <c r="Z59" s="3">
        <f t="shared" ref="Z59:AA59" si="62">_xlfn.NORM.S.DIST(X59)</f>
        <v>1</v>
      </c>
      <c r="AA59" s="3">
        <f t="shared" si="62"/>
        <v>1</v>
      </c>
    </row>
    <row r="60" ht="14.25" customHeight="1">
      <c r="A60" s="3" t="s">
        <v>152</v>
      </c>
      <c r="B60" s="3" t="s">
        <v>153</v>
      </c>
      <c r="C60" s="3" t="s">
        <v>129</v>
      </c>
      <c r="D60" s="3" t="s">
        <v>29</v>
      </c>
      <c r="E60" s="3">
        <v>16.0</v>
      </c>
      <c r="F60" s="3" t="s">
        <v>27</v>
      </c>
      <c r="G60" s="3">
        <v>19.2</v>
      </c>
      <c r="I60" s="3">
        <v>22.65</v>
      </c>
      <c r="K60" s="3">
        <v>0.0</v>
      </c>
      <c r="L60" s="3">
        <v>0.0</v>
      </c>
      <c r="M60" s="3" t="s">
        <v>89</v>
      </c>
      <c r="N60" s="3">
        <v>0.9996</v>
      </c>
      <c r="O60" s="3">
        <v>0.0</v>
      </c>
      <c r="P60" s="3">
        <v>0.1649</v>
      </c>
      <c r="Q60" s="3">
        <v>0.0</v>
      </c>
      <c r="R60" s="3">
        <v>0.2723</v>
      </c>
      <c r="S60" s="3">
        <v>36.98</v>
      </c>
      <c r="T60" s="3">
        <v>17.0</v>
      </c>
      <c r="U60" s="3">
        <f t="shared" si="2"/>
        <v>20.925</v>
      </c>
      <c r="V60" s="3"/>
      <c r="W60" s="3">
        <f t="shared" si="3"/>
        <v>20.98075554</v>
      </c>
      <c r="X60" s="3">
        <f t="shared" si="4"/>
        <v>11.88178016</v>
      </c>
      <c r="Y60" s="3">
        <f t="shared" si="5"/>
        <v>11.81105534</v>
      </c>
      <c r="Z60" s="3">
        <f t="shared" ref="Z60:AA60" si="63">_xlfn.NORM.S.DIST(X60)</f>
        <v>1</v>
      </c>
      <c r="AA60" s="3">
        <f t="shared" si="63"/>
        <v>1</v>
      </c>
    </row>
    <row r="61" ht="14.25" customHeight="1">
      <c r="A61" s="3" t="s">
        <v>152</v>
      </c>
      <c r="B61" s="3" t="s">
        <v>153</v>
      </c>
      <c r="C61" s="3" t="s">
        <v>129</v>
      </c>
      <c r="D61" s="3" t="s">
        <v>29</v>
      </c>
      <c r="E61" s="3">
        <v>16.0</v>
      </c>
      <c r="F61" s="3" t="s">
        <v>27</v>
      </c>
      <c r="G61" s="3">
        <v>19.2</v>
      </c>
      <c r="I61" s="3">
        <v>22.65</v>
      </c>
      <c r="K61" s="3">
        <v>0.0</v>
      </c>
      <c r="L61" s="3">
        <v>0.0</v>
      </c>
      <c r="M61" s="3" t="s">
        <v>90</v>
      </c>
      <c r="N61" s="3">
        <v>0.9996</v>
      </c>
      <c r="O61" s="3">
        <v>0.0</v>
      </c>
      <c r="P61" s="3">
        <v>0.178</v>
      </c>
      <c r="Q61" s="3">
        <v>0.0</v>
      </c>
      <c r="R61" s="3">
        <v>0.2252</v>
      </c>
      <c r="S61" s="3">
        <v>36.990002</v>
      </c>
      <c r="T61" s="3">
        <v>16.0</v>
      </c>
      <c r="U61" s="3">
        <f t="shared" si="2"/>
        <v>20.925</v>
      </c>
      <c r="V61" s="3"/>
      <c r="W61" s="3">
        <f t="shared" si="3"/>
        <v>20.9907131</v>
      </c>
      <c r="X61" s="3">
        <f t="shared" si="4"/>
        <v>14.79799812</v>
      </c>
      <c r="Y61" s="3">
        <f t="shared" si="5"/>
        <v>14.74125306</v>
      </c>
      <c r="Z61" s="3">
        <f t="shared" ref="Z61:AA61" si="64">_xlfn.NORM.S.DIST(X61)</f>
        <v>1</v>
      </c>
      <c r="AA61" s="3">
        <f t="shared" si="64"/>
        <v>1</v>
      </c>
    </row>
    <row r="62" ht="14.25" customHeight="1">
      <c r="A62" s="3" t="s">
        <v>152</v>
      </c>
      <c r="B62" s="3" t="s">
        <v>153</v>
      </c>
      <c r="C62" s="3" t="s">
        <v>129</v>
      </c>
      <c r="D62" s="3" t="s">
        <v>29</v>
      </c>
      <c r="E62" s="3">
        <v>16.0</v>
      </c>
      <c r="F62" s="3" t="s">
        <v>27</v>
      </c>
      <c r="G62" s="3">
        <v>20.5</v>
      </c>
      <c r="I62" s="3">
        <v>21.5</v>
      </c>
      <c r="K62" s="3">
        <v>0.0</v>
      </c>
      <c r="L62" s="3">
        <v>0.0</v>
      </c>
      <c r="M62" s="3" t="s">
        <v>91</v>
      </c>
      <c r="N62" s="3">
        <v>0.9996</v>
      </c>
      <c r="O62" s="3">
        <v>0.0</v>
      </c>
      <c r="P62" s="3">
        <v>0.2794</v>
      </c>
      <c r="Q62" s="3">
        <v>0.0</v>
      </c>
      <c r="R62" s="3">
        <v>0.3767</v>
      </c>
      <c r="S62" s="3">
        <v>36.93</v>
      </c>
      <c r="T62" s="3">
        <v>15.0</v>
      </c>
      <c r="U62" s="3">
        <f t="shared" si="2"/>
        <v>21</v>
      </c>
      <c r="V62" s="3"/>
      <c r="W62" s="3">
        <f t="shared" si="3"/>
        <v>20.93066665</v>
      </c>
      <c r="X62" s="3">
        <f t="shared" si="4"/>
        <v>9.147455654</v>
      </c>
      <c r="Y62" s="3">
        <f t="shared" si="5"/>
        <v>9.055550264</v>
      </c>
      <c r="Z62" s="3">
        <f t="shared" ref="Z62:AA62" si="65">_xlfn.NORM.S.DIST(X62)</f>
        <v>1</v>
      </c>
      <c r="AA62" s="3">
        <f t="shared" si="65"/>
        <v>1</v>
      </c>
    </row>
    <row r="63" ht="14.25" customHeight="1">
      <c r="A63" s="3" t="s">
        <v>152</v>
      </c>
      <c r="B63" s="3" t="s">
        <v>153</v>
      </c>
      <c r="C63" s="3" t="s">
        <v>129</v>
      </c>
      <c r="D63" s="3" t="s">
        <v>29</v>
      </c>
      <c r="E63" s="3">
        <v>16.0</v>
      </c>
      <c r="F63" s="3" t="s">
        <v>27</v>
      </c>
      <c r="G63" s="3">
        <v>19.4</v>
      </c>
      <c r="I63" s="3">
        <v>22.55</v>
      </c>
      <c r="K63" s="3">
        <v>0.0</v>
      </c>
      <c r="L63" s="3">
        <v>0.0</v>
      </c>
      <c r="M63" s="3" t="s">
        <v>92</v>
      </c>
      <c r="N63" s="3">
        <v>0.9996</v>
      </c>
      <c r="O63" s="3">
        <v>0.0</v>
      </c>
      <c r="P63" s="3">
        <v>0.2789</v>
      </c>
      <c r="Q63" s="3">
        <v>0.0</v>
      </c>
      <c r="R63" s="3">
        <v>0.2606</v>
      </c>
      <c r="S63" s="3">
        <v>36.880001</v>
      </c>
      <c r="T63" s="3">
        <v>14.0</v>
      </c>
      <c r="U63" s="3">
        <f t="shared" si="2"/>
        <v>20.975</v>
      </c>
      <c r="V63" s="3"/>
      <c r="W63" s="3">
        <f t="shared" si="3"/>
        <v>20.88062321</v>
      </c>
      <c r="X63" s="3">
        <f t="shared" si="4"/>
        <v>13.6266919</v>
      </c>
      <c r="Y63" s="3">
        <f t="shared" si="5"/>
        <v>13.56526789</v>
      </c>
      <c r="Z63" s="3">
        <f t="shared" ref="Z63:AA63" si="66">_xlfn.NORM.S.DIST(X63)</f>
        <v>1</v>
      </c>
      <c r="AA63" s="3">
        <f t="shared" si="66"/>
        <v>1</v>
      </c>
    </row>
    <row r="64" ht="14.25" customHeight="1">
      <c r="A64" s="3" t="s">
        <v>152</v>
      </c>
      <c r="B64" s="3" t="s">
        <v>153</v>
      </c>
      <c r="C64" s="3" t="s">
        <v>129</v>
      </c>
      <c r="D64" s="3" t="s">
        <v>29</v>
      </c>
      <c r="E64" s="3">
        <v>16.0</v>
      </c>
      <c r="F64" s="3" t="s">
        <v>27</v>
      </c>
      <c r="G64" s="3">
        <v>19.05</v>
      </c>
      <c r="I64" s="3">
        <v>21.45</v>
      </c>
      <c r="K64" s="3">
        <v>0.0</v>
      </c>
      <c r="L64" s="3">
        <v>0.0</v>
      </c>
      <c r="M64" s="3" t="s">
        <v>93</v>
      </c>
      <c r="N64" s="3">
        <v>0.9996</v>
      </c>
      <c r="O64" s="3">
        <v>0.0</v>
      </c>
      <c r="P64" s="3">
        <v>0.2771</v>
      </c>
      <c r="Q64" s="3">
        <v>0.0</v>
      </c>
      <c r="R64" s="3">
        <v>0.3221</v>
      </c>
      <c r="S64" s="3">
        <v>36.669998</v>
      </c>
      <c r="T64" s="3">
        <v>13.0</v>
      </c>
      <c r="U64" s="3">
        <f t="shared" si="2"/>
        <v>20.25</v>
      </c>
      <c r="V64" s="3"/>
      <c r="W64" s="3">
        <f t="shared" si="3"/>
        <v>20.67057577</v>
      </c>
      <c r="X64" s="3">
        <f t="shared" si="4"/>
        <v>11.37376336</v>
      </c>
      <c r="Y64" s="3">
        <f t="shared" si="5"/>
        <v>11.3006053</v>
      </c>
      <c r="Z64" s="3">
        <f t="shared" ref="Z64:AA64" si="67">_xlfn.NORM.S.DIST(X64)</f>
        <v>1</v>
      </c>
      <c r="AA64" s="3">
        <f t="shared" si="67"/>
        <v>1</v>
      </c>
    </row>
    <row r="65" ht="14.25" customHeight="1">
      <c r="A65" s="3" t="s">
        <v>152</v>
      </c>
      <c r="B65" s="3" t="s">
        <v>153</v>
      </c>
      <c r="C65" s="3" t="s">
        <v>129</v>
      </c>
      <c r="D65" s="3" t="s">
        <v>29</v>
      </c>
      <c r="E65" s="3">
        <v>16.0</v>
      </c>
      <c r="F65" s="3" t="s">
        <v>27</v>
      </c>
      <c r="G65" s="3">
        <v>19.85</v>
      </c>
      <c r="I65" s="3">
        <v>23.0</v>
      </c>
      <c r="K65" s="3">
        <v>0.0</v>
      </c>
      <c r="L65" s="3">
        <v>0.0</v>
      </c>
      <c r="M65" s="3" t="s">
        <v>94</v>
      </c>
      <c r="N65" s="3">
        <v>0.9996</v>
      </c>
      <c r="O65" s="3">
        <v>0.0</v>
      </c>
      <c r="P65" s="3">
        <v>0.2837</v>
      </c>
      <c r="Q65" s="3">
        <v>0.0</v>
      </c>
      <c r="R65" s="3">
        <v>0.3064</v>
      </c>
      <c r="S65" s="3">
        <v>37.419998</v>
      </c>
      <c r="T65" s="3">
        <v>12.0</v>
      </c>
      <c r="U65" s="3">
        <f t="shared" si="2"/>
        <v>21.425</v>
      </c>
      <c r="V65" s="3"/>
      <c r="W65" s="3">
        <f t="shared" si="3"/>
        <v>21.42053132</v>
      </c>
      <c r="X65" s="3">
        <f t="shared" si="4"/>
        <v>12.74095344</v>
      </c>
      <c r="Y65" s="3">
        <f t="shared" si="5"/>
        <v>12.67409148</v>
      </c>
      <c r="Z65" s="3">
        <f t="shared" ref="Z65:AA65" si="68">_xlfn.NORM.S.DIST(X65)</f>
        <v>1</v>
      </c>
      <c r="AA65" s="3">
        <f t="shared" si="68"/>
        <v>1</v>
      </c>
    </row>
    <row r="66" ht="14.25" customHeight="1">
      <c r="A66" s="3" t="s">
        <v>152</v>
      </c>
      <c r="B66" s="3" t="s">
        <v>153</v>
      </c>
      <c r="C66" s="3" t="s">
        <v>129</v>
      </c>
      <c r="D66" s="3" t="s">
        <v>29</v>
      </c>
      <c r="E66" s="3">
        <v>16.0</v>
      </c>
      <c r="F66" s="3" t="s">
        <v>27</v>
      </c>
      <c r="G66" s="3">
        <v>19.1</v>
      </c>
      <c r="I66" s="3">
        <v>22.65</v>
      </c>
      <c r="K66" s="3">
        <v>0.0</v>
      </c>
      <c r="L66" s="3">
        <v>0.0</v>
      </c>
      <c r="M66" s="3" t="s">
        <v>95</v>
      </c>
      <c r="N66" s="3">
        <v>1.0</v>
      </c>
      <c r="O66" s="3">
        <v>0.0</v>
      </c>
      <c r="P66" s="3">
        <v>-0.0444</v>
      </c>
      <c r="Q66" s="3">
        <v>0.0</v>
      </c>
      <c r="R66" s="3">
        <v>0.2516</v>
      </c>
      <c r="S66" s="3">
        <v>37.150002</v>
      </c>
      <c r="T66" s="3">
        <v>11.0</v>
      </c>
      <c r="U66" s="3">
        <f t="shared" si="2"/>
        <v>20.875</v>
      </c>
      <c r="V66" s="3"/>
      <c r="W66" s="3">
        <f t="shared" si="3"/>
        <v>21.15049088</v>
      </c>
      <c r="X66" s="3">
        <f t="shared" si="4"/>
        <v>16.05189299</v>
      </c>
      <c r="Y66" s="3">
        <f t="shared" si="5"/>
        <v>15.99932677</v>
      </c>
      <c r="Z66" s="3">
        <f t="shared" ref="Z66:AA66" si="69">_xlfn.NORM.S.DIST(X66)</f>
        <v>1</v>
      </c>
      <c r="AA66" s="3">
        <f t="shared" si="69"/>
        <v>1</v>
      </c>
    </row>
    <row r="67" ht="14.25" customHeight="1">
      <c r="A67" s="3" t="s">
        <v>152</v>
      </c>
      <c r="B67" s="3" t="s">
        <v>153</v>
      </c>
      <c r="C67" s="3" t="s">
        <v>129</v>
      </c>
      <c r="D67" s="3" t="s">
        <v>29</v>
      </c>
      <c r="E67" s="3">
        <v>16.0</v>
      </c>
      <c r="F67" s="3" t="s">
        <v>27</v>
      </c>
      <c r="G67" s="3">
        <v>19.15</v>
      </c>
      <c r="I67" s="3">
        <v>22.75</v>
      </c>
      <c r="K67" s="3">
        <v>0.0</v>
      </c>
      <c r="L67" s="3">
        <v>0.0</v>
      </c>
      <c r="M67" s="3" t="s">
        <v>96</v>
      </c>
      <c r="N67" s="3">
        <v>1.0</v>
      </c>
      <c r="O67" s="3">
        <v>0.0</v>
      </c>
      <c r="P67" s="3">
        <v>-0.0444</v>
      </c>
      <c r="Q67" s="3">
        <v>0.0</v>
      </c>
      <c r="R67" s="3">
        <v>0.2717</v>
      </c>
      <c r="S67" s="3">
        <v>37.02</v>
      </c>
      <c r="T67" s="3">
        <v>10.0</v>
      </c>
      <c r="U67" s="3">
        <f t="shared" si="2"/>
        <v>20.95</v>
      </c>
      <c r="V67" s="3"/>
      <c r="W67" s="3">
        <f t="shared" si="3"/>
        <v>21.02044444</v>
      </c>
      <c r="X67" s="3">
        <f t="shared" si="4"/>
        <v>15.52662523</v>
      </c>
      <c r="Y67" s="3">
        <f t="shared" si="5"/>
        <v>15.47250129</v>
      </c>
      <c r="Z67" s="3">
        <f t="shared" ref="Z67:AA67" si="70">_xlfn.NORM.S.DIST(X67)</f>
        <v>1</v>
      </c>
      <c r="AA67" s="3">
        <f t="shared" si="70"/>
        <v>1</v>
      </c>
    </row>
    <row r="68" ht="14.25" customHeight="1">
      <c r="A68" s="3" t="s">
        <v>152</v>
      </c>
      <c r="B68" s="3" t="s">
        <v>153</v>
      </c>
      <c r="C68" s="3" t="s">
        <v>129</v>
      </c>
      <c r="D68" s="3" t="s">
        <v>29</v>
      </c>
      <c r="E68" s="3">
        <v>16.0</v>
      </c>
      <c r="F68" s="3" t="s">
        <v>27</v>
      </c>
      <c r="G68" s="3">
        <v>19.8</v>
      </c>
      <c r="I68" s="3">
        <v>23.1</v>
      </c>
      <c r="K68" s="3">
        <v>0.0</v>
      </c>
      <c r="L68" s="3">
        <v>0.0</v>
      </c>
      <c r="M68" s="3" t="s">
        <v>97</v>
      </c>
      <c r="N68" s="3">
        <v>1.0</v>
      </c>
      <c r="O68" s="3">
        <v>0.0</v>
      </c>
      <c r="P68" s="3">
        <v>-0.0444</v>
      </c>
      <c r="Q68" s="3">
        <v>0.0</v>
      </c>
      <c r="R68" s="3">
        <v>0.2957</v>
      </c>
      <c r="S68" s="3">
        <v>37.450001</v>
      </c>
      <c r="T68" s="3">
        <v>9.0</v>
      </c>
      <c r="U68" s="3">
        <f t="shared" si="2"/>
        <v>21.45</v>
      </c>
      <c r="V68" s="3"/>
      <c r="W68" s="3">
        <f t="shared" si="3"/>
        <v>21.450401</v>
      </c>
      <c r="X68" s="3">
        <f t="shared" si="4"/>
        <v>15.24647819</v>
      </c>
      <c r="Y68" s="3">
        <f t="shared" si="5"/>
        <v>15.19059615</v>
      </c>
      <c r="Z68" s="3">
        <f t="shared" ref="Z68:AA68" si="71">_xlfn.NORM.S.DIST(X68)</f>
        <v>1</v>
      </c>
      <c r="AA68" s="3">
        <f t="shared" si="71"/>
        <v>1</v>
      </c>
    </row>
    <row r="69" ht="14.25" customHeight="1">
      <c r="A69" s="3" t="s">
        <v>152</v>
      </c>
      <c r="B69" s="3" t="s">
        <v>153</v>
      </c>
      <c r="C69" s="3" t="s">
        <v>129</v>
      </c>
      <c r="D69" s="3" t="s">
        <v>29</v>
      </c>
      <c r="E69" s="3">
        <v>16.0</v>
      </c>
      <c r="F69" s="3" t="s">
        <v>27</v>
      </c>
      <c r="G69" s="3">
        <v>19.55</v>
      </c>
      <c r="I69" s="3">
        <v>23.2</v>
      </c>
      <c r="K69" s="3">
        <v>0.0</v>
      </c>
      <c r="L69" s="3">
        <v>0.0</v>
      </c>
      <c r="M69" s="3" t="s">
        <v>98</v>
      </c>
      <c r="N69" s="3">
        <v>1.0</v>
      </c>
      <c r="O69" s="3">
        <v>0.0</v>
      </c>
      <c r="P69" s="3">
        <v>-0.0444</v>
      </c>
      <c r="Q69" s="3">
        <v>0.0</v>
      </c>
      <c r="R69" s="3">
        <v>0.289</v>
      </c>
      <c r="S69" s="3">
        <v>37.57</v>
      </c>
      <c r="T69" s="3">
        <v>8.0</v>
      </c>
      <c r="U69" s="3">
        <f t="shared" si="2"/>
        <v>21.375</v>
      </c>
      <c r="V69" s="3"/>
      <c r="W69" s="3">
        <f t="shared" si="3"/>
        <v>21.57035555</v>
      </c>
      <c r="X69" s="3">
        <f t="shared" si="4"/>
        <v>16.60373587</v>
      </c>
      <c r="Y69" s="3">
        <f t="shared" si="5"/>
        <v>16.55224353</v>
      </c>
      <c r="Z69" s="3">
        <f t="shared" ref="Z69:AA69" si="72">_xlfn.NORM.S.DIST(X69)</f>
        <v>1</v>
      </c>
      <c r="AA69" s="3">
        <f t="shared" si="72"/>
        <v>1</v>
      </c>
    </row>
    <row r="70" ht="14.25" customHeight="1">
      <c r="A70" s="3" t="s">
        <v>152</v>
      </c>
      <c r="B70" s="3" t="s">
        <v>153</v>
      </c>
      <c r="C70" s="3" t="s">
        <v>129</v>
      </c>
      <c r="D70" s="3" t="s">
        <v>29</v>
      </c>
      <c r="E70" s="3">
        <v>16.0</v>
      </c>
      <c r="F70" s="3" t="s">
        <v>27</v>
      </c>
      <c r="G70" s="3">
        <v>19.35</v>
      </c>
      <c r="I70" s="3">
        <v>23.8</v>
      </c>
      <c r="K70" s="3">
        <v>0.0</v>
      </c>
      <c r="L70" s="3">
        <v>0.0</v>
      </c>
      <c r="M70" s="3" t="s">
        <v>99</v>
      </c>
      <c r="N70" s="3">
        <v>1.0</v>
      </c>
      <c r="O70" s="3">
        <v>0.0</v>
      </c>
      <c r="P70" s="3">
        <v>-0.0444</v>
      </c>
      <c r="Q70" s="3">
        <v>0.0</v>
      </c>
      <c r="R70" s="3">
        <v>0.3263</v>
      </c>
      <c r="S70" s="3">
        <v>37.509998</v>
      </c>
      <c r="T70" s="3">
        <v>7.0</v>
      </c>
      <c r="U70" s="3">
        <f t="shared" si="2"/>
        <v>21.575</v>
      </c>
      <c r="V70" s="3"/>
      <c r="W70" s="3">
        <f t="shared" si="3"/>
        <v>21.51030911</v>
      </c>
      <c r="X70" s="3">
        <f t="shared" si="4"/>
        <v>15.69445921</v>
      </c>
      <c r="Y70" s="3">
        <f t="shared" si="5"/>
        <v>15.64007587</v>
      </c>
      <c r="Z70" s="3">
        <f t="shared" ref="Z70:AA70" si="73">_xlfn.NORM.S.DIST(X70)</f>
        <v>1</v>
      </c>
      <c r="AA70" s="3">
        <f t="shared" si="73"/>
        <v>1</v>
      </c>
    </row>
    <row r="71" ht="14.25" customHeight="1">
      <c r="A71" s="3" t="s">
        <v>152</v>
      </c>
      <c r="B71" s="3" t="s">
        <v>153</v>
      </c>
      <c r="C71" s="3" t="s">
        <v>129</v>
      </c>
      <c r="D71" s="3" t="s">
        <v>29</v>
      </c>
      <c r="E71" s="3">
        <v>16.0</v>
      </c>
      <c r="F71" s="3" t="s">
        <v>27</v>
      </c>
      <c r="G71" s="3">
        <v>18.85</v>
      </c>
      <c r="I71" s="3">
        <v>23.35</v>
      </c>
      <c r="K71" s="3">
        <v>0.0</v>
      </c>
      <c r="L71" s="3">
        <v>0.0</v>
      </c>
      <c r="M71" s="3" t="s">
        <v>100</v>
      </c>
      <c r="N71" s="3">
        <v>1.0</v>
      </c>
      <c r="O71" s="3">
        <v>0.0</v>
      </c>
      <c r="P71" s="3">
        <v>-0.0444</v>
      </c>
      <c r="Q71" s="3">
        <v>0.0</v>
      </c>
      <c r="R71" s="3">
        <v>0.1716</v>
      </c>
      <c r="S71" s="3">
        <v>37.209999</v>
      </c>
      <c r="T71" s="3">
        <v>6.0</v>
      </c>
      <c r="U71" s="3">
        <f t="shared" si="2"/>
        <v>21.1</v>
      </c>
      <c r="V71" s="3"/>
      <c r="W71" s="3">
        <f t="shared" si="3"/>
        <v>21.21026566</v>
      </c>
      <c r="X71" s="3">
        <f t="shared" si="4"/>
        <v>31.88841716</v>
      </c>
      <c r="Y71" s="3">
        <f t="shared" si="5"/>
        <v>31.86193871</v>
      </c>
      <c r="Z71" s="3">
        <f t="shared" ref="Z71:AA71" si="74">_xlfn.NORM.S.DIST(X71)</f>
        <v>1</v>
      </c>
      <c r="AA71" s="3">
        <f t="shared" si="74"/>
        <v>1</v>
      </c>
    </row>
    <row r="72" ht="14.25" customHeight="1">
      <c r="A72" s="3" t="s">
        <v>152</v>
      </c>
      <c r="B72" s="3" t="s">
        <v>153</v>
      </c>
      <c r="C72" s="3" t="s">
        <v>129</v>
      </c>
      <c r="D72" s="3" t="s">
        <v>29</v>
      </c>
      <c r="E72" s="3">
        <v>16.0</v>
      </c>
      <c r="F72" s="3" t="s">
        <v>27</v>
      </c>
      <c r="G72" s="3">
        <v>19.05</v>
      </c>
      <c r="I72" s="3">
        <v>22.95</v>
      </c>
      <c r="K72" s="3">
        <v>0.0</v>
      </c>
      <c r="L72" s="3">
        <v>0.0</v>
      </c>
      <c r="M72" s="3" t="s">
        <v>101</v>
      </c>
      <c r="N72" s="3">
        <v>1.0</v>
      </c>
      <c r="O72" s="3">
        <v>0.0</v>
      </c>
      <c r="P72" s="3">
        <v>-0.0444</v>
      </c>
      <c r="Q72" s="3">
        <v>0.0</v>
      </c>
      <c r="R72" s="3">
        <v>0.2745</v>
      </c>
      <c r="S72" s="3">
        <v>36.57</v>
      </c>
      <c r="T72" s="3">
        <v>5.0</v>
      </c>
      <c r="U72" s="3">
        <f t="shared" si="2"/>
        <v>21</v>
      </c>
      <c r="V72" s="3"/>
      <c r="W72" s="3">
        <f t="shared" si="3"/>
        <v>20.57022222</v>
      </c>
      <c r="X72" s="3">
        <f t="shared" si="4"/>
        <v>21.39877535</v>
      </c>
      <c r="Y72" s="3">
        <f t="shared" si="5"/>
        <v>21.36010955</v>
      </c>
      <c r="Z72" s="3">
        <f t="shared" ref="Z72:AA72" si="75">_xlfn.NORM.S.DIST(X72)</f>
        <v>1</v>
      </c>
      <c r="AA72" s="3">
        <f t="shared" si="75"/>
        <v>1</v>
      </c>
    </row>
    <row r="73" ht="14.25" customHeight="1">
      <c r="A73" s="3" t="s">
        <v>152</v>
      </c>
      <c r="B73" s="3" t="s">
        <v>153</v>
      </c>
      <c r="C73" s="3" t="s">
        <v>129</v>
      </c>
      <c r="D73" s="3" t="s">
        <v>29</v>
      </c>
      <c r="E73" s="3">
        <v>16.0</v>
      </c>
      <c r="F73" s="3" t="s">
        <v>27</v>
      </c>
      <c r="G73" s="3">
        <v>19.2</v>
      </c>
      <c r="I73" s="3">
        <v>22.7</v>
      </c>
      <c r="K73" s="3">
        <v>0.0</v>
      </c>
      <c r="L73" s="3">
        <v>0.0</v>
      </c>
      <c r="M73" s="3" t="s">
        <v>102</v>
      </c>
      <c r="N73" s="3">
        <v>1.0</v>
      </c>
      <c r="O73" s="3">
        <v>0.0</v>
      </c>
      <c r="P73" s="3">
        <v>-0.0444</v>
      </c>
      <c r="Q73" s="3">
        <v>0.0</v>
      </c>
      <c r="R73" s="3">
        <v>0.2671</v>
      </c>
      <c r="S73" s="3">
        <v>37.060001</v>
      </c>
      <c r="T73" s="3">
        <v>4.0</v>
      </c>
      <c r="U73" s="3">
        <f t="shared" si="2"/>
        <v>20.95</v>
      </c>
      <c r="V73" s="3"/>
      <c r="W73" s="3">
        <f t="shared" si="3"/>
        <v>21.06017878</v>
      </c>
      <c r="X73" s="3">
        <f t="shared" si="4"/>
        <v>24.97744297</v>
      </c>
      <c r="Y73" s="3">
        <f t="shared" si="5"/>
        <v>24.94379153</v>
      </c>
      <c r="Z73" s="3">
        <f t="shared" ref="Z73:AA73" si="76">_xlfn.NORM.S.DIST(X73)</f>
        <v>1</v>
      </c>
      <c r="AA73" s="3">
        <f t="shared" si="76"/>
        <v>1</v>
      </c>
    </row>
    <row r="74" ht="14.25" customHeight="1">
      <c r="A74" s="3" t="s">
        <v>152</v>
      </c>
      <c r="B74" s="3" t="s">
        <v>153</v>
      </c>
      <c r="C74" s="3" t="s">
        <v>129</v>
      </c>
      <c r="D74" s="3" t="s">
        <v>29</v>
      </c>
      <c r="E74" s="3">
        <v>16.0</v>
      </c>
      <c r="F74" s="3" t="s">
        <v>27</v>
      </c>
      <c r="G74" s="3">
        <v>18.75</v>
      </c>
      <c r="I74" s="3">
        <v>22.35</v>
      </c>
      <c r="K74" s="3">
        <v>0.0</v>
      </c>
      <c r="L74" s="3">
        <v>0.0</v>
      </c>
      <c r="M74" s="3" t="s">
        <v>103</v>
      </c>
      <c r="N74" s="3">
        <v>1.0</v>
      </c>
      <c r="O74" s="3">
        <v>0.0</v>
      </c>
      <c r="P74" s="3">
        <v>-0.0444</v>
      </c>
      <c r="Q74" s="3">
        <v>0.0</v>
      </c>
      <c r="R74" s="3">
        <v>0.3375</v>
      </c>
      <c r="S74" s="3">
        <v>36.560001</v>
      </c>
      <c r="T74" s="3">
        <v>3.0</v>
      </c>
      <c r="U74" s="3">
        <f t="shared" si="2"/>
        <v>20.55</v>
      </c>
      <c r="V74" s="3"/>
      <c r="W74" s="3">
        <f t="shared" si="3"/>
        <v>20.56013433</v>
      </c>
      <c r="X74" s="3">
        <f t="shared" si="4"/>
        <v>22.45943834</v>
      </c>
      <c r="Y74" s="3">
        <f t="shared" si="5"/>
        <v>22.42261407</v>
      </c>
      <c r="Z74" s="3">
        <f t="shared" ref="Z74:AA74" si="77">_xlfn.NORM.S.DIST(X74)</f>
        <v>1</v>
      </c>
      <c r="AA74" s="3">
        <f t="shared" si="77"/>
        <v>1</v>
      </c>
    </row>
    <row r="75" ht="14.25" customHeight="1">
      <c r="A75" s="3" t="s">
        <v>152</v>
      </c>
      <c r="B75" s="3" t="s">
        <v>153</v>
      </c>
      <c r="C75" s="3" t="s">
        <v>129</v>
      </c>
      <c r="D75" s="3" t="s">
        <v>29</v>
      </c>
      <c r="E75" s="3">
        <v>16.0</v>
      </c>
      <c r="F75" s="3" t="s">
        <v>27</v>
      </c>
      <c r="G75" s="3">
        <v>18.7</v>
      </c>
      <c r="I75" s="3">
        <v>22.0</v>
      </c>
      <c r="K75" s="3">
        <v>0.0</v>
      </c>
      <c r="L75" s="3">
        <v>0.0</v>
      </c>
      <c r="M75" s="3" t="s">
        <v>104</v>
      </c>
      <c r="N75" s="3">
        <v>1.0</v>
      </c>
      <c r="O75" s="3">
        <v>0.0</v>
      </c>
      <c r="P75" s="3">
        <v>-0.0444</v>
      </c>
      <c r="Q75" s="3">
        <v>0.0</v>
      </c>
      <c r="R75" s="3">
        <v>0.3967</v>
      </c>
      <c r="S75" s="3">
        <v>36.27</v>
      </c>
      <c r="T75" s="3">
        <v>2.0</v>
      </c>
      <c r="U75" s="3">
        <f t="shared" si="2"/>
        <v>20.35</v>
      </c>
      <c r="V75" s="3"/>
      <c r="W75" s="3">
        <f t="shared" si="3"/>
        <v>20.27008889</v>
      </c>
      <c r="X75" s="3">
        <f t="shared" si="4"/>
        <v>23.17523186</v>
      </c>
      <c r="Y75" s="3">
        <f t="shared" si="5"/>
        <v>23.13989101</v>
      </c>
      <c r="Z75" s="3">
        <f t="shared" ref="Z75:AA75" si="78">_xlfn.NORM.S.DIST(X75)</f>
        <v>1</v>
      </c>
      <c r="AA75" s="3">
        <f t="shared" si="78"/>
        <v>1</v>
      </c>
    </row>
    <row r="76" ht="14.25" customHeight="1">
      <c r="A76" s="3" t="s">
        <v>152</v>
      </c>
      <c r="B76" s="3" t="s">
        <v>153</v>
      </c>
      <c r="C76" s="3" t="s">
        <v>129</v>
      </c>
      <c r="D76" s="3" t="s">
        <v>29</v>
      </c>
      <c r="E76" s="3">
        <v>16.0</v>
      </c>
      <c r="F76" s="3" t="s">
        <v>27</v>
      </c>
      <c r="G76" s="3">
        <v>18.8</v>
      </c>
      <c r="I76" s="3">
        <v>22.25</v>
      </c>
      <c r="K76" s="3">
        <v>0.0</v>
      </c>
      <c r="L76" s="3">
        <v>0.0</v>
      </c>
      <c r="M76" s="3" t="s">
        <v>105</v>
      </c>
      <c r="N76" s="3">
        <v>1.0</v>
      </c>
      <c r="O76" s="3">
        <v>0.0</v>
      </c>
      <c r="P76" s="3">
        <v>-0.0444</v>
      </c>
      <c r="Q76" s="3">
        <v>0.0</v>
      </c>
      <c r="R76" s="3">
        <v>0.6605</v>
      </c>
      <c r="S76" s="3">
        <v>36.689999</v>
      </c>
      <c r="T76" s="3">
        <v>1.0</v>
      </c>
      <c r="U76" s="3">
        <f t="shared" si="2"/>
        <v>20.525</v>
      </c>
      <c r="V76" s="3"/>
      <c r="W76" s="3">
        <f t="shared" si="3"/>
        <v>20.69004344</v>
      </c>
      <c r="X76" s="3">
        <f t="shared" si="4"/>
        <v>19.96712333</v>
      </c>
      <c r="Y76" s="3">
        <f t="shared" si="5"/>
        <v>19.92551574</v>
      </c>
      <c r="Z76" s="3">
        <f t="shared" ref="Z76:AA76" si="79">_xlfn.NORM.S.DIST(X76)</f>
        <v>1</v>
      </c>
      <c r="AA76" s="3">
        <f t="shared" si="79"/>
        <v>1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154</v>
      </c>
      <c r="B2" s="3" t="s">
        <v>155</v>
      </c>
      <c r="C2" s="3" t="s">
        <v>128</v>
      </c>
      <c r="D2" s="3" t="s">
        <v>29</v>
      </c>
      <c r="E2" s="3">
        <v>16.0</v>
      </c>
      <c r="F2" s="3" t="s">
        <v>27</v>
      </c>
      <c r="G2" s="3">
        <v>9.5</v>
      </c>
      <c r="I2" s="3">
        <v>9.95</v>
      </c>
      <c r="K2" s="3">
        <v>0.0</v>
      </c>
      <c r="L2" s="3">
        <v>0.0</v>
      </c>
      <c r="M2" s="3" t="s">
        <v>30</v>
      </c>
      <c r="N2" s="3">
        <v>0.9935</v>
      </c>
      <c r="O2" s="3">
        <v>0.0</v>
      </c>
      <c r="P2" s="3">
        <v>0.5264</v>
      </c>
      <c r="Q2" s="3">
        <v>0.0</v>
      </c>
      <c r="R2" s="3">
        <v>0.1345</v>
      </c>
      <c r="S2" s="3">
        <v>25.91</v>
      </c>
      <c r="T2" s="3">
        <v>75.0</v>
      </c>
      <c r="U2" s="3">
        <f t="shared" ref="U2:U76" si="2">(I2+G2)*0.5</f>
        <v>9.725</v>
      </c>
      <c r="V2" s="3"/>
      <c r="W2" s="3">
        <f t="shared" ref="W2:W76" si="3">( S2*Z2 ) - ( E2 * EXP(-0.0007*T2/$AC$2) * AA2)</f>
        <v>9.913332986</v>
      </c>
      <c r="X2" s="3">
        <f t="shared" ref="X2:X76" si="4">((LN(S2/E2) + (0.0007 + (R2^2)/2) * T2/$AC$2)) / (R2 * SQRT(T2/$AC$2))</f>
        <v>6.609002349</v>
      </c>
      <c r="Y2" s="3">
        <f t="shared" ref="Y2:Y76" si="5">X2-(R2*SQRT(T2/$AC$2))</f>
        <v>6.535626583</v>
      </c>
      <c r="Z2" s="3">
        <f t="shared" ref="Z2:AA2" si="1">_xlfn.NORM.S.DIST(X2)</f>
        <v>1</v>
      </c>
      <c r="AA2" s="3">
        <f t="shared" si="1"/>
        <v>1</v>
      </c>
      <c r="AC2" s="6">
        <v>252.0</v>
      </c>
    </row>
    <row r="3" ht="14.25" customHeight="1">
      <c r="A3" s="3" t="s">
        <v>154</v>
      </c>
      <c r="B3" s="3" t="s">
        <v>155</v>
      </c>
      <c r="C3" s="3" t="s">
        <v>128</v>
      </c>
      <c r="D3" s="3" t="s">
        <v>29</v>
      </c>
      <c r="E3" s="3">
        <v>16.0</v>
      </c>
      <c r="F3" s="3" t="s">
        <v>27</v>
      </c>
      <c r="G3" s="3">
        <v>8.55</v>
      </c>
      <c r="I3" s="3">
        <v>9.95</v>
      </c>
      <c r="K3" s="3">
        <v>0.0</v>
      </c>
      <c r="L3" s="3">
        <v>0.0</v>
      </c>
      <c r="M3" s="3" t="s">
        <v>31</v>
      </c>
      <c r="N3" s="3">
        <v>1.0</v>
      </c>
      <c r="O3" s="3">
        <v>0.0</v>
      </c>
      <c r="P3" s="3">
        <v>-0.0484</v>
      </c>
      <c r="Q3" s="3">
        <v>0.0</v>
      </c>
      <c r="R3" s="3">
        <v>0.1235</v>
      </c>
      <c r="S3" s="3">
        <v>25.85</v>
      </c>
      <c r="T3" s="3">
        <v>74.0</v>
      </c>
      <c r="U3" s="3">
        <f t="shared" si="2"/>
        <v>9.25</v>
      </c>
      <c r="V3" s="3"/>
      <c r="W3" s="3">
        <f t="shared" si="3"/>
        <v>9.853288551</v>
      </c>
      <c r="X3" s="3">
        <f t="shared" si="4"/>
        <v>7.204681774</v>
      </c>
      <c r="Y3" s="3">
        <f t="shared" si="5"/>
        <v>7.137757673</v>
      </c>
      <c r="Z3" s="3">
        <f t="shared" ref="Z3:AA3" si="6">_xlfn.NORM.S.DIST(X3)</f>
        <v>1</v>
      </c>
      <c r="AA3" s="3">
        <f t="shared" si="6"/>
        <v>1</v>
      </c>
    </row>
    <row r="4" ht="14.25" customHeight="1">
      <c r="A4" s="3" t="s">
        <v>154</v>
      </c>
      <c r="B4" s="3" t="s">
        <v>155</v>
      </c>
      <c r="C4" s="3" t="s">
        <v>128</v>
      </c>
      <c r="D4" s="3" t="s">
        <v>29</v>
      </c>
      <c r="E4" s="3">
        <v>16.0</v>
      </c>
      <c r="F4" s="3" t="s">
        <v>27</v>
      </c>
      <c r="G4" s="3">
        <v>9.6</v>
      </c>
      <c r="I4" s="3">
        <v>10.1</v>
      </c>
      <c r="K4" s="3">
        <v>0.0</v>
      </c>
      <c r="L4" s="3">
        <v>0.0</v>
      </c>
      <c r="M4" s="3" t="s">
        <v>32</v>
      </c>
      <c r="N4" s="3">
        <v>1.0</v>
      </c>
      <c r="O4" s="3">
        <v>0.0</v>
      </c>
      <c r="P4" s="3">
        <v>-0.0484</v>
      </c>
      <c r="Q4" s="3">
        <v>0.0</v>
      </c>
      <c r="R4" s="3">
        <v>0.1409</v>
      </c>
      <c r="S4" s="3">
        <v>25.959999</v>
      </c>
      <c r="T4" s="3">
        <v>73.0</v>
      </c>
      <c r="U4" s="3">
        <f t="shared" si="2"/>
        <v>9.85</v>
      </c>
      <c r="V4" s="3"/>
      <c r="W4" s="3">
        <f t="shared" si="3"/>
        <v>9.963243116</v>
      </c>
      <c r="X4" s="3">
        <f t="shared" si="4"/>
        <v>6.422412532</v>
      </c>
      <c r="Y4" s="3">
        <f t="shared" si="5"/>
        <v>6.346577102</v>
      </c>
      <c r="Z4" s="3">
        <f t="shared" ref="Z4:AA4" si="7">_xlfn.NORM.S.DIST(X4)</f>
        <v>0.9999999999</v>
      </c>
      <c r="AA4" s="3">
        <f t="shared" si="7"/>
        <v>0.9999999999</v>
      </c>
    </row>
    <row r="5" ht="14.25" customHeight="1">
      <c r="A5" s="3" t="s">
        <v>154</v>
      </c>
      <c r="B5" s="3" t="s">
        <v>155</v>
      </c>
      <c r="C5" s="3" t="s">
        <v>128</v>
      </c>
      <c r="D5" s="3" t="s">
        <v>29</v>
      </c>
      <c r="E5" s="3">
        <v>16.0</v>
      </c>
      <c r="F5" s="3" t="s">
        <v>27</v>
      </c>
      <c r="G5" s="3">
        <v>9.65</v>
      </c>
      <c r="I5" s="3">
        <v>10.15</v>
      </c>
      <c r="K5" s="3">
        <v>0.0</v>
      </c>
      <c r="L5" s="3">
        <v>0.0</v>
      </c>
      <c r="M5" s="3" t="s">
        <v>33</v>
      </c>
      <c r="N5" s="3">
        <v>1.0</v>
      </c>
      <c r="O5" s="3">
        <v>0.0</v>
      </c>
      <c r="P5" s="3">
        <v>-0.0484</v>
      </c>
      <c r="Q5" s="3">
        <v>0.0</v>
      </c>
      <c r="R5" s="3">
        <v>0.1144</v>
      </c>
      <c r="S5" s="3">
        <v>25.98</v>
      </c>
      <c r="T5" s="3">
        <v>72.0</v>
      </c>
      <c r="U5" s="3">
        <f t="shared" si="2"/>
        <v>9.9</v>
      </c>
      <c r="V5" s="3"/>
      <c r="W5" s="3">
        <f t="shared" si="3"/>
        <v>9.98319968</v>
      </c>
      <c r="X5" s="3">
        <f t="shared" si="4"/>
        <v>7.960963371</v>
      </c>
      <c r="Y5" s="3">
        <f t="shared" si="5"/>
        <v>7.899813999</v>
      </c>
      <c r="Z5" s="3">
        <f t="shared" ref="Z5:AA5" si="8">_xlfn.NORM.S.DIST(X5)</f>
        <v>1</v>
      </c>
      <c r="AA5" s="3">
        <f t="shared" si="8"/>
        <v>1</v>
      </c>
    </row>
    <row r="6" ht="14.25" customHeight="1">
      <c r="A6" s="3" t="s">
        <v>154</v>
      </c>
      <c r="B6" s="3" t="s">
        <v>155</v>
      </c>
      <c r="C6" s="3" t="s">
        <v>128</v>
      </c>
      <c r="D6" s="3" t="s">
        <v>29</v>
      </c>
      <c r="E6" s="3">
        <v>16.0</v>
      </c>
      <c r="F6" s="3" t="s">
        <v>27</v>
      </c>
      <c r="G6" s="3">
        <v>9.95</v>
      </c>
      <c r="I6" s="3">
        <v>11.5</v>
      </c>
      <c r="K6" s="3">
        <v>0.0</v>
      </c>
      <c r="L6" s="3">
        <v>0.0</v>
      </c>
      <c r="M6" s="3" t="s">
        <v>34</v>
      </c>
      <c r="N6" s="3">
        <v>1.0</v>
      </c>
      <c r="O6" s="3">
        <v>0.0</v>
      </c>
      <c r="P6" s="3">
        <v>-0.0484</v>
      </c>
      <c r="Q6" s="3">
        <v>0.0</v>
      </c>
      <c r="R6" s="3">
        <v>0.1311</v>
      </c>
      <c r="S6" s="3">
        <v>26.02</v>
      </c>
      <c r="T6" s="3">
        <v>71.0</v>
      </c>
      <c r="U6" s="3">
        <f t="shared" si="2"/>
        <v>10.725</v>
      </c>
      <c r="V6" s="3"/>
      <c r="W6" s="3">
        <f t="shared" si="3"/>
        <v>10.02315524</v>
      </c>
      <c r="X6" s="3">
        <f t="shared" si="4"/>
        <v>7.025612077</v>
      </c>
      <c r="Y6" s="3">
        <f t="shared" si="5"/>
        <v>6.956024519</v>
      </c>
      <c r="Z6" s="3">
        <f t="shared" ref="Z6:AA6" si="9">_xlfn.NORM.S.DIST(X6)</f>
        <v>1</v>
      </c>
      <c r="AA6" s="3">
        <f t="shared" si="9"/>
        <v>1</v>
      </c>
    </row>
    <row r="7" ht="14.25" customHeight="1">
      <c r="A7" s="3" t="s">
        <v>154</v>
      </c>
      <c r="B7" s="3" t="s">
        <v>155</v>
      </c>
      <c r="C7" s="3" t="s">
        <v>128</v>
      </c>
      <c r="D7" s="3" t="s">
        <v>29</v>
      </c>
      <c r="E7" s="3">
        <v>16.0</v>
      </c>
      <c r="F7" s="3" t="s">
        <v>27</v>
      </c>
      <c r="G7" s="3">
        <v>9.1</v>
      </c>
      <c r="I7" s="3">
        <v>11.85</v>
      </c>
      <c r="K7" s="3">
        <v>0.0</v>
      </c>
      <c r="L7" s="3">
        <v>0.0</v>
      </c>
      <c r="M7" s="3" t="s">
        <v>35</v>
      </c>
      <c r="N7" s="3">
        <v>1.0</v>
      </c>
      <c r="O7" s="3">
        <v>0.0</v>
      </c>
      <c r="P7" s="3">
        <v>-0.0484</v>
      </c>
      <c r="Q7" s="3">
        <v>0.0</v>
      </c>
      <c r="R7" s="3">
        <v>0.116</v>
      </c>
      <c r="S7" s="3">
        <v>26.469999</v>
      </c>
      <c r="T7" s="3">
        <v>70.0</v>
      </c>
      <c r="U7" s="3">
        <f t="shared" si="2"/>
        <v>10.475</v>
      </c>
      <c r="V7" s="3"/>
      <c r="W7" s="3">
        <f t="shared" si="3"/>
        <v>10.47310981</v>
      </c>
      <c r="X7" s="3">
        <f t="shared" si="4"/>
        <v>8.268046291</v>
      </c>
      <c r="Y7" s="3">
        <f t="shared" si="5"/>
        <v>8.206908923</v>
      </c>
      <c r="Z7" s="3">
        <f t="shared" ref="Z7:AA7" si="10">_xlfn.NORM.S.DIST(X7)</f>
        <v>1</v>
      </c>
      <c r="AA7" s="3">
        <f t="shared" si="10"/>
        <v>1</v>
      </c>
    </row>
    <row r="8" ht="14.25" customHeight="1">
      <c r="A8" s="3" t="s">
        <v>154</v>
      </c>
      <c r="B8" s="3" t="s">
        <v>155</v>
      </c>
      <c r="C8" s="3" t="s">
        <v>128</v>
      </c>
      <c r="D8" s="3" t="s">
        <v>29</v>
      </c>
      <c r="E8" s="3">
        <v>16.0</v>
      </c>
      <c r="F8" s="3" t="s">
        <v>27</v>
      </c>
      <c r="G8" s="3">
        <v>9.2</v>
      </c>
      <c r="I8" s="3">
        <v>12.2</v>
      </c>
      <c r="K8" s="3">
        <v>0.0</v>
      </c>
      <c r="L8" s="3">
        <v>0.0</v>
      </c>
      <c r="M8" s="3" t="s">
        <v>36</v>
      </c>
      <c r="N8" s="3">
        <v>0.9962</v>
      </c>
      <c r="O8" s="3">
        <v>0.0</v>
      </c>
      <c r="P8" s="3">
        <v>0.3287</v>
      </c>
      <c r="Q8" s="3">
        <v>0.0</v>
      </c>
      <c r="R8" s="3">
        <v>0.2041</v>
      </c>
      <c r="S8" s="3">
        <v>26.76</v>
      </c>
      <c r="T8" s="3">
        <v>69.0</v>
      </c>
      <c r="U8" s="3">
        <f t="shared" si="2"/>
        <v>10.7</v>
      </c>
      <c r="V8" s="3"/>
      <c r="W8" s="3">
        <f t="shared" si="3"/>
        <v>10.76306668</v>
      </c>
      <c r="X8" s="3">
        <f t="shared" si="4"/>
        <v>4.870963992</v>
      </c>
      <c r="Y8" s="3">
        <f t="shared" si="5"/>
        <v>4.764164969</v>
      </c>
      <c r="Z8" s="3">
        <f t="shared" ref="Z8:AA8" si="11">_xlfn.NORM.S.DIST(X8)</f>
        <v>0.9999994447</v>
      </c>
      <c r="AA8" s="3">
        <f t="shared" si="11"/>
        <v>0.9999990518</v>
      </c>
    </row>
    <row r="9" ht="14.25" customHeight="1">
      <c r="A9" s="3" t="s">
        <v>154</v>
      </c>
      <c r="B9" s="3" t="s">
        <v>155</v>
      </c>
      <c r="C9" s="3" t="s">
        <v>128</v>
      </c>
      <c r="D9" s="3" t="s">
        <v>29</v>
      </c>
      <c r="E9" s="3">
        <v>16.0</v>
      </c>
      <c r="F9" s="3" t="s">
        <v>27</v>
      </c>
      <c r="G9" s="3">
        <v>10.4</v>
      </c>
      <c r="I9" s="3">
        <v>11.1</v>
      </c>
      <c r="K9" s="3">
        <v>0.0</v>
      </c>
      <c r="L9" s="3">
        <v>0.0</v>
      </c>
      <c r="M9" s="3" t="s">
        <v>37</v>
      </c>
      <c r="N9" s="3">
        <v>0.9925</v>
      </c>
      <c r="O9" s="3">
        <v>0.0</v>
      </c>
      <c r="P9" s="3">
        <v>0.6845</v>
      </c>
      <c r="Q9" s="3">
        <v>0.0</v>
      </c>
      <c r="R9" s="3">
        <v>0.1393</v>
      </c>
      <c r="S9" s="3">
        <v>26.52</v>
      </c>
      <c r="T9" s="3">
        <v>68.0</v>
      </c>
      <c r="U9" s="3">
        <f t="shared" si="2"/>
        <v>10.75</v>
      </c>
      <c r="V9" s="3"/>
      <c r="W9" s="3">
        <f t="shared" si="3"/>
        <v>10.52302194</v>
      </c>
      <c r="X9" s="3">
        <f t="shared" si="4"/>
        <v>7.02196666</v>
      </c>
      <c r="Y9" s="3">
        <f t="shared" si="5"/>
        <v>6.949605537</v>
      </c>
      <c r="Z9" s="3">
        <f t="shared" ref="Z9:AA9" si="12">_xlfn.NORM.S.DIST(X9)</f>
        <v>1</v>
      </c>
      <c r="AA9" s="3">
        <f t="shared" si="12"/>
        <v>1</v>
      </c>
    </row>
    <row r="10" ht="14.25" customHeight="1">
      <c r="A10" s="3" t="s">
        <v>154</v>
      </c>
      <c r="B10" s="3" t="s">
        <v>155</v>
      </c>
      <c r="C10" s="3" t="s">
        <v>128</v>
      </c>
      <c r="D10" s="3" t="s">
        <v>29</v>
      </c>
      <c r="E10" s="3">
        <v>16.0</v>
      </c>
      <c r="F10" s="3" t="s">
        <v>27</v>
      </c>
      <c r="G10" s="3">
        <v>9.35</v>
      </c>
      <c r="I10" s="3">
        <v>11.95</v>
      </c>
      <c r="K10" s="3">
        <v>0.0</v>
      </c>
      <c r="L10" s="3">
        <v>0.0</v>
      </c>
      <c r="M10" s="3" t="s">
        <v>38</v>
      </c>
      <c r="N10" s="3">
        <v>0.9929</v>
      </c>
      <c r="O10" s="3">
        <v>0.0</v>
      </c>
      <c r="P10" s="3">
        <v>0.6757</v>
      </c>
      <c r="Q10" s="3">
        <v>0.0</v>
      </c>
      <c r="R10" s="3">
        <v>0.1417</v>
      </c>
      <c r="S10" s="3">
        <v>26.74</v>
      </c>
      <c r="T10" s="3">
        <v>67.0</v>
      </c>
      <c r="U10" s="3">
        <f t="shared" si="2"/>
        <v>10.65</v>
      </c>
      <c r="V10" s="3"/>
      <c r="W10" s="3">
        <f t="shared" si="3"/>
        <v>10.7429775</v>
      </c>
      <c r="X10" s="3">
        <f t="shared" si="4"/>
        <v>7.068090615</v>
      </c>
      <c r="Y10" s="3">
        <f t="shared" si="5"/>
        <v>6.99502602</v>
      </c>
      <c r="Z10" s="3">
        <f t="shared" ref="Z10:AA10" si="13">_xlfn.NORM.S.DIST(X10)</f>
        <v>1</v>
      </c>
      <c r="AA10" s="3">
        <f t="shared" si="13"/>
        <v>1</v>
      </c>
    </row>
    <row r="11" ht="14.25" customHeight="1">
      <c r="A11" s="3" t="s">
        <v>154</v>
      </c>
      <c r="B11" s="3" t="s">
        <v>155</v>
      </c>
      <c r="C11" s="3" t="s">
        <v>128</v>
      </c>
      <c r="D11" s="3" t="s">
        <v>29</v>
      </c>
      <c r="E11" s="3">
        <v>16.0</v>
      </c>
      <c r="F11" s="3" t="s">
        <v>27</v>
      </c>
      <c r="G11" s="3">
        <v>9.1</v>
      </c>
      <c r="I11" s="3">
        <v>12.1</v>
      </c>
      <c r="K11" s="3">
        <v>0.0</v>
      </c>
      <c r="L11" s="3">
        <v>0.0</v>
      </c>
      <c r="M11" s="3" t="s">
        <v>39</v>
      </c>
      <c r="N11" s="3">
        <v>0.993</v>
      </c>
      <c r="O11" s="3">
        <v>1.0E-4</v>
      </c>
      <c r="P11" s="3">
        <v>0.6545</v>
      </c>
      <c r="Q11" s="3">
        <v>0.0057</v>
      </c>
      <c r="R11" s="3">
        <v>0.2726</v>
      </c>
      <c r="S11" s="3">
        <v>26.620001</v>
      </c>
      <c r="T11" s="3">
        <v>66.0</v>
      </c>
      <c r="U11" s="3">
        <f t="shared" si="2"/>
        <v>10.6</v>
      </c>
      <c r="V11" s="3"/>
      <c r="W11" s="3">
        <f t="shared" si="3"/>
        <v>10.62302548</v>
      </c>
      <c r="X11" s="3">
        <f t="shared" si="4"/>
        <v>3.720148675</v>
      </c>
      <c r="Y11" s="3">
        <f t="shared" si="5"/>
        <v>3.580641177</v>
      </c>
      <c r="Z11" s="3">
        <f t="shared" ref="Z11:AA11" si="14">_xlfn.NORM.S.DIST(X11)</f>
        <v>0.9999004472</v>
      </c>
      <c r="AA11" s="3">
        <f t="shared" si="14"/>
        <v>0.999828624</v>
      </c>
    </row>
    <row r="12" ht="14.25" customHeight="1">
      <c r="A12" s="3" t="s">
        <v>154</v>
      </c>
      <c r="B12" s="3" t="s">
        <v>155</v>
      </c>
      <c r="C12" s="3" t="s">
        <v>128</v>
      </c>
      <c r="D12" s="3" t="s">
        <v>29</v>
      </c>
      <c r="E12" s="3">
        <v>16.0</v>
      </c>
      <c r="F12" s="3" t="s">
        <v>27</v>
      </c>
      <c r="G12" s="3">
        <v>9.15</v>
      </c>
      <c r="I12" s="3">
        <v>11.95</v>
      </c>
      <c r="K12" s="3">
        <v>0.0</v>
      </c>
      <c r="L12" s="3">
        <v>0.0</v>
      </c>
      <c r="M12" s="3" t="s">
        <v>40</v>
      </c>
      <c r="N12" s="3">
        <v>0.993</v>
      </c>
      <c r="O12" s="3">
        <v>1.0E-4</v>
      </c>
      <c r="P12" s="3">
        <v>0.6705</v>
      </c>
      <c r="Q12" s="3">
        <v>0.0033</v>
      </c>
      <c r="R12" s="3">
        <v>0.2633</v>
      </c>
      <c r="S12" s="3">
        <v>26.610001</v>
      </c>
      <c r="T12" s="3">
        <v>65.0</v>
      </c>
      <c r="U12" s="3">
        <f t="shared" si="2"/>
        <v>10.55</v>
      </c>
      <c r="V12" s="3"/>
      <c r="W12" s="3">
        <f t="shared" si="3"/>
        <v>10.61293543</v>
      </c>
      <c r="X12" s="3">
        <f t="shared" si="4"/>
        <v>3.872322231</v>
      </c>
      <c r="Y12" s="3">
        <f t="shared" si="5"/>
        <v>3.738598875</v>
      </c>
      <c r="Z12" s="3">
        <f t="shared" ref="Z12:AA12" si="15">_xlfn.NORM.S.DIST(X12)</f>
        <v>0.9999460984</v>
      </c>
      <c r="AA12" s="3">
        <f t="shared" si="15"/>
        <v>0.9999074756</v>
      </c>
    </row>
    <row r="13" ht="14.25" customHeight="1">
      <c r="A13" s="3" t="s">
        <v>154</v>
      </c>
      <c r="B13" s="3" t="s">
        <v>155</v>
      </c>
      <c r="C13" s="3" t="s">
        <v>128</v>
      </c>
      <c r="D13" s="3" t="s">
        <v>29</v>
      </c>
      <c r="E13" s="3">
        <v>16.0</v>
      </c>
      <c r="F13" s="3" t="s">
        <v>27</v>
      </c>
      <c r="G13" s="3">
        <v>10.5</v>
      </c>
      <c r="I13" s="3">
        <v>11.05</v>
      </c>
      <c r="K13" s="3">
        <v>0.0</v>
      </c>
      <c r="L13" s="3">
        <v>0.0</v>
      </c>
      <c r="M13" s="3" t="s">
        <v>41</v>
      </c>
      <c r="N13" s="3">
        <v>0.9933</v>
      </c>
      <c r="O13" s="3">
        <v>0.0</v>
      </c>
      <c r="P13" s="3">
        <v>0.6632</v>
      </c>
      <c r="Q13" s="3">
        <v>0.0</v>
      </c>
      <c r="R13" s="3">
        <v>0.1327</v>
      </c>
      <c r="S13" s="3">
        <v>26.83</v>
      </c>
      <c r="T13" s="3">
        <v>64.0</v>
      </c>
      <c r="U13" s="3">
        <f t="shared" si="2"/>
        <v>10.775</v>
      </c>
      <c r="V13" s="3"/>
      <c r="W13" s="3">
        <f t="shared" si="3"/>
        <v>10.83284419</v>
      </c>
      <c r="X13" s="3">
        <f t="shared" si="4"/>
        <v>7.765975235</v>
      </c>
      <c r="Y13" s="3">
        <f t="shared" si="5"/>
        <v>7.699100721</v>
      </c>
      <c r="Z13" s="3">
        <f t="shared" ref="Z13:AA13" si="16">_xlfn.NORM.S.DIST(X13)</f>
        <v>1</v>
      </c>
      <c r="AA13" s="3">
        <f t="shared" si="16"/>
        <v>1</v>
      </c>
    </row>
    <row r="14" ht="14.25" customHeight="1">
      <c r="A14" s="3" t="s">
        <v>154</v>
      </c>
      <c r="B14" s="3" t="s">
        <v>155</v>
      </c>
      <c r="C14" s="3" t="s">
        <v>128</v>
      </c>
      <c r="D14" s="3" t="s">
        <v>29</v>
      </c>
      <c r="E14" s="3">
        <v>16.0</v>
      </c>
      <c r="F14" s="3" t="s">
        <v>27</v>
      </c>
      <c r="G14" s="3">
        <v>10.5</v>
      </c>
      <c r="I14" s="3">
        <v>10.55</v>
      </c>
      <c r="K14" s="3">
        <v>20.0</v>
      </c>
      <c r="L14" s="3">
        <v>0.0</v>
      </c>
      <c r="M14" s="3" t="s">
        <v>42</v>
      </c>
      <c r="N14" s="3">
        <v>0.9936</v>
      </c>
      <c r="O14" s="3">
        <v>0.0</v>
      </c>
      <c r="P14" s="3">
        <v>0.6254</v>
      </c>
      <c r="Q14" s="3">
        <v>0.0</v>
      </c>
      <c r="R14" s="3">
        <v>0.1322</v>
      </c>
      <c r="S14" s="3">
        <v>26.540001</v>
      </c>
      <c r="T14" s="3">
        <v>63.0</v>
      </c>
      <c r="U14" s="3">
        <f t="shared" si="2"/>
        <v>10.525</v>
      </c>
      <c r="V14" s="3"/>
      <c r="W14" s="3">
        <f t="shared" si="3"/>
        <v>10.54280076</v>
      </c>
      <c r="X14" s="3">
        <f t="shared" si="4"/>
        <v>7.691739022</v>
      </c>
      <c r="Y14" s="3">
        <f t="shared" si="5"/>
        <v>7.625639022</v>
      </c>
      <c r="Z14" s="3">
        <f t="shared" ref="Z14:AA14" si="17">_xlfn.NORM.S.DIST(X14)</f>
        <v>1</v>
      </c>
      <c r="AA14" s="3">
        <f t="shared" si="17"/>
        <v>1</v>
      </c>
    </row>
    <row r="15" ht="14.25" customHeight="1">
      <c r="A15" s="3" t="s">
        <v>154</v>
      </c>
      <c r="B15" s="3" t="s">
        <v>155</v>
      </c>
      <c r="C15" s="3" t="s">
        <v>128</v>
      </c>
      <c r="D15" s="3" t="s">
        <v>29</v>
      </c>
      <c r="E15" s="3">
        <v>16.0</v>
      </c>
      <c r="F15" s="3" t="s">
        <v>27</v>
      </c>
      <c r="G15" s="3">
        <v>10.6</v>
      </c>
      <c r="I15" s="3">
        <v>10.7</v>
      </c>
      <c r="K15" s="3">
        <v>0.0</v>
      </c>
      <c r="L15" s="3">
        <v>20.0</v>
      </c>
      <c r="M15" s="3" t="s">
        <v>43</v>
      </c>
      <c r="N15" s="3">
        <v>0.9943</v>
      </c>
      <c r="O15" s="3">
        <v>0.0</v>
      </c>
      <c r="P15" s="3">
        <v>0.5901</v>
      </c>
      <c r="Q15" s="3">
        <v>0.0</v>
      </c>
      <c r="R15" s="3">
        <v>0.1215</v>
      </c>
      <c r="S15" s="3">
        <v>26.68</v>
      </c>
      <c r="T15" s="3">
        <v>62.0</v>
      </c>
      <c r="U15" s="3">
        <f t="shared" si="2"/>
        <v>10.65</v>
      </c>
      <c r="V15" s="3"/>
      <c r="W15" s="3">
        <f t="shared" si="3"/>
        <v>10.68275532</v>
      </c>
      <c r="X15" s="3">
        <f t="shared" si="4"/>
        <v>8.517477861</v>
      </c>
      <c r="Y15" s="3">
        <f t="shared" si="5"/>
        <v>8.457211932</v>
      </c>
      <c r="Z15" s="3">
        <f t="shared" ref="Z15:AA15" si="18">_xlfn.NORM.S.DIST(X15)</f>
        <v>1</v>
      </c>
      <c r="AA15" s="3">
        <f t="shared" si="18"/>
        <v>1</v>
      </c>
    </row>
    <row r="16" ht="14.25" customHeight="1">
      <c r="A16" s="3" t="s">
        <v>154</v>
      </c>
      <c r="B16" s="3" t="s">
        <v>155</v>
      </c>
      <c r="C16" s="3" t="s">
        <v>128</v>
      </c>
      <c r="D16" s="3" t="s">
        <v>29</v>
      </c>
      <c r="E16" s="3">
        <v>16.0</v>
      </c>
      <c r="F16" s="3" t="s">
        <v>27</v>
      </c>
      <c r="G16" s="3">
        <v>10.6</v>
      </c>
      <c r="I16" s="3">
        <v>10.7</v>
      </c>
      <c r="K16" s="3">
        <v>0.0</v>
      </c>
      <c r="L16" s="3">
        <v>20.0</v>
      </c>
      <c r="M16" s="3" t="s">
        <v>44</v>
      </c>
      <c r="N16" s="3">
        <v>0.9903</v>
      </c>
      <c r="O16" s="3">
        <v>0.0022</v>
      </c>
      <c r="P16" s="3">
        <v>0.4675</v>
      </c>
      <c r="Q16" s="3">
        <v>0.15</v>
      </c>
      <c r="R16" s="3">
        <v>0.4057</v>
      </c>
      <c r="S16" s="3">
        <v>26.65</v>
      </c>
      <c r="T16" s="3">
        <v>61.0</v>
      </c>
      <c r="U16" s="3">
        <f t="shared" si="2"/>
        <v>10.65</v>
      </c>
      <c r="V16" s="3"/>
      <c r="W16" s="3">
        <f t="shared" si="3"/>
        <v>10.65959708</v>
      </c>
      <c r="X16" s="3">
        <f t="shared" si="4"/>
        <v>2.656711704</v>
      </c>
      <c r="Y16" s="3">
        <f t="shared" si="5"/>
        <v>2.457107513</v>
      </c>
      <c r="Z16" s="3">
        <f t="shared" ref="Z16:AA16" si="19">_xlfn.NORM.S.DIST(X16)</f>
        <v>0.9960546555</v>
      </c>
      <c r="AA16" s="3">
        <f t="shared" si="19"/>
        <v>0.9929969619</v>
      </c>
    </row>
    <row r="17" ht="14.25" customHeight="1">
      <c r="A17" s="3" t="s">
        <v>154</v>
      </c>
      <c r="B17" s="3" t="s">
        <v>155</v>
      </c>
      <c r="C17" s="3" t="s">
        <v>128</v>
      </c>
      <c r="D17" s="3" t="s">
        <v>29</v>
      </c>
      <c r="E17" s="3">
        <v>16.0</v>
      </c>
      <c r="F17" s="3" t="s">
        <v>27</v>
      </c>
      <c r="G17" s="3">
        <v>10.8</v>
      </c>
      <c r="I17" s="3">
        <v>10.9</v>
      </c>
      <c r="K17" s="3">
        <v>0.0</v>
      </c>
      <c r="L17" s="3">
        <v>20.0</v>
      </c>
      <c r="M17" s="3" t="s">
        <v>45</v>
      </c>
      <c r="N17" s="3">
        <v>0.9945</v>
      </c>
      <c r="O17" s="3">
        <v>0.0</v>
      </c>
      <c r="P17" s="3">
        <v>0.5854</v>
      </c>
      <c r="Q17" s="3">
        <v>0.0</v>
      </c>
      <c r="R17" s="3">
        <v>0.121</v>
      </c>
      <c r="S17" s="3">
        <v>26.85</v>
      </c>
      <c r="T17" s="3">
        <v>60.0</v>
      </c>
      <c r="U17" s="3">
        <f t="shared" si="2"/>
        <v>10.85</v>
      </c>
      <c r="V17" s="3"/>
      <c r="W17" s="3">
        <f t="shared" si="3"/>
        <v>10.85266644</v>
      </c>
      <c r="X17" s="3">
        <f t="shared" si="4"/>
        <v>8.800297123</v>
      </c>
      <c r="Y17" s="3">
        <f t="shared" si="5"/>
        <v>8.741255169</v>
      </c>
      <c r="Z17" s="3">
        <f t="shared" ref="Z17:AA17" si="20">_xlfn.NORM.S.DIST(X17)</f>
        <v>1</v>
      </c>
      <c r="AA17" s="3">
        <f t="shared" si="20"/>
        <v>1</v>
      </c>
    </row>
    <row r="18" ht="14.25" customHeight="1">
      <c r="A18" s="3" t="s">
        <v>154</v>
      </c>
      <c r="B18" s="3" t="s">
        <v>155</v>
      </c>
      <c r="C18" s="3" t="s">
        <v>128</v>
      </c>
      <c r="D18" s="3" t="s">
        <v>29</v>
      </c>
      <c r="E18" s="3">
        <v>16.0</v>
      </c>
      <c r="F18" s="3" t="s">
        <v>27</v>
      </c>
      <c r="G18" s="3">
        <v>10.95</v>
      </c>
      <c r="I18" s="3">
        <v>11.0</v>
      </c>
      <c r="K18" s="3">
        <v>0.0</v>
      </c>
      <c r="L18" s="3">
        <v>20.0</v>
      </c>
      <c r="M18" s="3" t="s">
        <v>46</v>
      </c>
      <c r="N18" s="3">
        <v>1.0</v>
      </c>
      <c r="O18" s="3">
        <v>0.0</v>
      </c>
      <c r="P18" s="3">
        <v>-0.0484</v>
      </c>
      <c r="Q18" s="3">
        <v>0.0</v>
      </c>
      <c r="R18" s="3">
        <v>0.1013</v>
      </c>
      <c r="S18" s="3">
        <v>27.0</v>
      </c>
      <c r="T18" s="3">
        <v>59.0</v>
      </c>
      <c r="U18" s="3">
        <f t="shared" si="2"/>
        <v>10.975</v>
      </c>
      <c r="V18" s="3"/>
      <c r="W18" s="3">
        <f t="shared" si="3"/>
        <v>11.00262201</v>
      </c>
      <c r="X18" s="3">
        <f t="shared" si="4"/>
        <v>10.7029653</v>
      </c>
      <c r="Y18" s="3">
        <f t="shared" si="5"/>
        <v>10.6539496</v>
      </c>
      <c r="Z18" s="3">
        <f t="shared" ref="Z18:AA18" si="21">_xlfn.NORM.S.DIST(X18)</f>
        <v>1</v>
      </c>
      <c r="AA18" s="3">
        <f t="shared" si="21"/>
        <v>1</v>
      </c>
    </row>
    <row r="19" ht="14.25" customHeight="1">
      <c r="A19" s="3" t="s">
        <v>154</v>
      </c>
      <c r="B19" s="3" t="s">
        <v>155</v>
      </c>
      <c r="C19" s="3" t="s">
        <v>128</v>
      </c>
      <c r="D19" s="3" t="s">
        <v>29</v>
      </c>
      <c r="E19" s="3">
        <v>16.0</v>
      </c>
      <c r="F19" s="3" t="s">
        <v>27</v>
      </c>
      <c r="G19" s="3">
        <v>10.8</v>
      </c>
      <c r="I19" s="3">
        <v>10.95</v>
      </c>
      <c r="K19" s="3">
        <v>0.0</v>
      </c>
      <c r="L19" s="3">
        <v>20.0</v>
      </c>
      <c r="M19" s="3" t="s">
        <v>47</v>
      </c>
      <c r="N19" s="3">
        <v>0.9981</v>
      </c>
      <c r="O19" s="3">
        <v>0.0</v>
      </c>
      <c r="P19" s="3">
        <v>0.1845</v>
      </c>
      <c r="Q19" s="3">
        <v>0.0</v>
      </c>
      <c r="R19" s="3">
        <v>0.1255</v>
      </c>
      <c r="S19" s="3">
        <v>26.84</v>
      </c>
      <c r="T19" s="3">
        <v>58.0</v>
      </c>
      <c r="U19" s="3">
        <f t="shared" si="2"/>
        <v>10.875</v>
      </c>
      <c r="V19" s="3"/>
      <c r="W19" s="3">
        <f t="shared" si="3"/>
        <v>10.84257757</v>
      </c>
      <c r="X19" s="3">
        <f t="shared" si="4"/>
        <v>8.624673504</v>
      </c>
      <c r="Y19" s="3">
        <f t="shared" si="5"/>
        <v>8.564465053</v>
      </c>
      <c r="Z19" s="3">
        <f t="shared" ref="Z19:AA19" si="22">_xlfn.NORM.S.DIST(X19)</f>
        <v>1</v>
      </c>
      <c r="AA19" s="3">
        <f t="shared" si="22"/>
        <v>1</v>
      </c>
    </row>
    <row r="20" ht="14.25" customHeight="1">
      <c r="A20" s="3" t="s">
        <v>154</v>
      </c>
      <c r="B20" s="3" t="s">
        <v>155</v>
      </c>
      <c r="C20" s="3" t="s">
        <v>128</v>
      </c>
      <c r="D20" s="3" t="s">
        <v>29</v>
      </c>
      <c r="E20" s="3">
        <v>16.0</v>
      </c>
      <c r="F20" s="3" t="s">
        <v>27</v>
      </c>
      <c r="G20" s="3">
        <v>11.65</v>
      </c>
      <c r="I20" s="3">
        <v>11.75</v>
      </c>
      <c r="K20" s="3">
        <v>12.0</v>
      </c>
      <c r="L20" s="3">
        <v>20.0</v>
      </c>
      <c r="M20" s="3" t="s">
        <v>48</v>
      </c>
      <c r="N20" s="3">
        <v>1.0</v>
      </c>
      <c r="O20" s="3">
        <v>0.0</v>
      </c>
      <c r="P20" s="3">
        <v>-0.0484</v>
      </c>
      <c r="Q20" s="3">
        <v>0.0</v>
      </c>
      <c r="R20" s="3">
        <v>0.0856</v>
      </c>
      <c r="S20" s="3">
        <v>27.700001</v>
      </c>
      <c r="T20" s="3">
        <v>57.0</v>
      </c>
      <c r="U20" s="3">
        <f t="shared" si="2"/>
        <v>11.7</v>
      </c>
      <c r="V20" s="3"/>
      <c r="W20" s="3">
        <f t="shared" si="3"/>
        <v>11.70253413</v>
      </c>
      <c r="X20" s="3">
        <f t="shared" si="4"/>
        <v>13.50573122</v>
      </c>
      <c r="Y20" s="3">
        <f t="shared" si="5"/>
        <v>13.4650203</v>
      </c>
      <c r="Z20" s="3">
        <f t="shared" ref="Z20:AA20" si="23">_xlfn.NORM.S.DIST(X20)</f>
        <v>1</v>
      </c>
      <c r="AA20" s="3">
        <f t="shared" si="23"/>
        <v>1</v>
      </c>
    </row>
    <row r="21" ht="14.25" customHeight="1">
      <c r="A21" s="3" t="s">
        <v>154</v>
      </c>
      <c r="B21" s="3" t="s">
        <v>155</v>
      </c>
      <c r="C21" s="3" t="s">
        <v>128</v>
      </c>
      <c r="D21" s="3" t="s">
        <v>29</v>
      </c>
      <c r="E21" s="3">
        <v>16.0</v>
      </c>
      <c r="F21" s="3" t="s">
        <v>27</v>
      </c>
      <c r="G21" s="3">
        <v>11.5</v>
      </c>
      <c r="I21" s="3">
        <v>11.55</v>
      </c>
      <c r="K21" s="3">
        <v>0.0</v>
      </c>
      <c r="L21" s="3">
        <v>32.0</v>
      </c>
      <c r="M21" s="3" t="s">
        <v>49</v>
      </c>
      <c r="N21" s="3">
        <v>1.0</v>
      </c>
      <c r="O21" s="3">
        <v>0.0</v>
      </c>
      <c r="P21" s="3">
        <v>-0.0484</v>
      </c>
      <c r="Q21" s="3">
        <v>0.0</v>
      </c>
      <c r="R21" s="3">
        <v>0.2245</v>
      </c>
      <c r="S21" s="3">
        <v>27.51</v>
      </c>
      <c r="T21" s="3">
        <v>56.0</v>
      </c>
      <c r="U21" s="3">
        <f t="shared" si="2"/>
        <v>11.525</v>
      </c>
      <c r="V21" s="3"/>
      <c r="W21" s="3">
        <f t="shared" si="3"/>
        <v>11.51248876</v>
      </c>
      <c r="X21" s="3">
        <f t="shared" si="4"/>
        <v>5.175421017</v>
      </c>
      <c r="Y21" s="3">
        <f t="shared" si="5"/>
        <v>5.069590702</v>
      </c>
      <c r="Z21" s="3">
        <f t="shared" ref="Z21:AA21" si="24">_xlfn.NORM.S.DIST(X21)</f>
        <v>0.9999998863</v>
      </c>
      <c r="AA21" s="3">
        <f t="shared" si="24"/>
        <v>0.9999998007</v>
      </c>
    </row>
    <row r="22" ht="14.25" customHeight="1">
      <c r="A22" s="3" t="s">
        <v>154</v>
      </c>
      <c r="B22" s="3" t="s">
        <v>155</v>
      </c>
      <c r="C22" s="3" t="s">
        <v>128</v>
      </c>
      <c r="D22" s="3" t="s">
        <v>29</v>
      </c>
      <c r="E22" s="3">
        <v>16.0</v>
      </c>
      <c r="F22" s="3" t="s">
        <v>27</v>
      </c>
      <c r="G22" s="3">
        <v>11.25</v>
      </c>
      <c r="I22" s="3">
        <v>11.35</v>
      </c>
      <c r="K22" s="3">
        <v>0.0</v>
      </c>
      <c r="L22" s="3">
        <v>32.0</v>
      </c>
      <c r="M22" s="3" t="s">
        <v>50</v>
      </c>
      <c r="N22" s="3">
        <v>0.9984</v>
      </c>
      <c r="O22" s="3">
        <v>0.0</v>
      </c>
      <c r="P22" s="3">
        <v>0.1524</v>
      </c>
      <c r="Q22" s="3">
        <v>0.0</v>
      </c>
      <c r="R22" s="3">
        <v>0.1371</v>
      </c>
      <c r="S22" s="3">
        <v>27.280001</v>
      </c>
      <c r="T22" s="3">
        <v>55.0</v>
      </c>
      <c r="U22" s="3">
        <f t="shared" si="2"/>
        <v>11.3</v>
      </c>
      <c r="V22" s="3"/>
      <c r="W22" s="3">
        <f t="shared" si="3"/>
        <v>11.28244526</v>
      </c>
      <c r="X22" s="3">
        <f t="shared" si="4"/>
        <v>8.364869118</v>
      </c>
      <c r="Y22" s="3">
        <f t="shared" si="5"/>
        <v>8.300819207</v>
      </c>
      <c r="Z22" s="3">
        <f t="shared" ref="Z22:AA22" si="25">_xlfn.NORM.S.DIST(X22)</f>
        <v>1</v>
      </c>
      <c r="AA22" s="3">
        <f t="shared" si="25"/>
        <v>1</v>
      </c>
    </row>
    <row r="23" ht="14.25" customHeight="1">
      <c r="A23" s="3" t="s">
        <v>154</v>
      </c>
      <c r="B23" s="3" t="s">
        <v>155</v>
      </c>
      <c r="C23" s="3" t="s">
        <v>129</v>
      </c>
      <c r="D23" s="3" t="s">
        <v>29</v>
      </c>
      <c r="E23" s="3">
        <v>16.0</v>
      </c>
      <c r="F23" s="3" t="s">
        <v>27</v>
      </c>
      <c r="G23" s="3">
        <v>11.6</v>
      </c>
      <c r="I23" s="3">
        <v>11.65</v>
      </c>
      <c r="K23" s="3">
        <v>0.0</v>
      </c>
      <c r="L23" s="3">
        <v>32.0</v>
      </c>
      <c r="M23" s="3" t="s">
        <v>52</v>
      </c>
      <c r="N23" s="3">
        <v>0.997</v>
      </c>
      <c r="O23" s="3">
        <v>0.0</v>
      </c>
      <c r="P23" s="3">
        <v>0.3372</v>
      </c>
      <c r="Q23" s="3">
        <v>0.0022</v>
      </c>
      <c r="R23" s="3">
        <v>0.3061</v>
      </c>
      <c r="S23" s="3">
        <v>27.629999</v>
      </c>
      <c r="T23" s="3">
        <v>54.0</v>
      </c>
      <c r="U23" s="3">
        <f t="shared" si="2"/>
        <v>11.625</v>
      </c>
      <c r="V23" s="3"/>
      <c r="W23" s="3">
        <f t="shared" si="3"/>
        <v>11.63243855</v>
      </c>
      <c r="X23" s="3">
        <f t="shared" si="4"/>
        <v>3.927417555</v>
      </c>
      <c r="Y23" s="3">
        <f t="shared" si="5"/>
        <v>3.785720788</v>
      </c>
      <c r="Z23" s="3">
        <f t="shared" ref="Z23:AA23" si="26">_xlfn.NORM.S.DIST(X23)</f>
        <v>0.9999570686</v>
      </c>
      <c r="AA23" s="3">
        <f t="shared" si="26"/>
        <v>0.9999233682</v>
      </c>
    </row>
    <row r="24" ht="14.25" customHeight="1">
      <c r="A24" s="3" t="s">
        <v>154</v>
      </c>
      <c r="B24" s="3" t="s">
        <v>155</v>
      </c>
      <c r="C24" s="3" t="s">
        <v>129</v>
      </c>
      <c r="D24" s="3" t="s">
        <v>29</v>
      </c>
      <c r="E24" s="3">
        <v>16.0</v>
      </c>
      <c r="F24" s="3" t="s">
        <v>27</v>
      </c>
      <c r="G24" s="3">
        <v>11.15</v>
      </c>
      <c r="I24" s="3">
        <v>11.25</v>
      </c>
      <c r="K24" s="3">
        <v>0.0</v>
      </c>
      <c r="L24" s="3">
        <v>32.0</v>
      </c>
      <c r="M24" s="3" t="s">
        <v>53</v>
      </c>
      <c r="N24" s="3">
        <v>0.9972</v>
      </c>
      <c r="O24" s="3">
        <v>0.0</v>
      </c>
      <c r="P24" s="3">
        <v>0.3232</v>
      </c>
      <c r="Q24" s="3">
        <v>0.0</v>
      </c>
      <c r="R24" s="3">
        <v>0.1385</v>
      </c>
      <c r="S24" s="3">
        <v>27.17</v>
      </c>
      <c r="T24" s="3">
        <v>53.0</v>
      </c>
      <c r="U24" s="3">
        <f t="shared" si="2"/>
        <v>11.2</v>
      </c>
      <c r="V24" s="3"/>
      <c r="W24" s="3">
        <f t="shared" si="3"/>
        <v>11.17235538</v>
      </c>
      <c r="X24" s="3">
        <f t="shared" si="4"/>
        <v>8.37086471</v>
      </c>
      <c r="Y24" s="3">
        <f t="shared" si="5"/>
        <v>8.307348081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154</v>
      </c>
      <c r="B25" s="3" t="s">
        <v>155</v>
      </c>
      <c r="C25" s="3" t="s">
        <v>129</v>
      </c>
      <c r="D25" s="3" t="s">
        <v>29</v>
      </c>
      <c r="E25" s="3">
        <v>16.0</v>
      </c>
      <c r="F25" s="3" t="s">
        <v>27</v>
      </c>
      <c r="G25" s="3">
        <v>11.45</v>
      </c>
      <c r="I25" s="3">
        <v>11.5</v>
      </c>
      <c r="K25" s="3">
        <v>0.0</v>
      </c>
      <c r="L25" s="3">
        <v>32.0</v>
      </c>
      <c r="M25" s="3" t="s">
        <v>54</v>
      </c>
      <c r="N25" s="3">
        <v>0.9972</v>
      </c>
      <c r="O25" s="3">
        <v>0.0</v>
      </c>
      <c r="P25" s="3">
        <v>0.3372</v>
      </c>
      <c r="Q25" s="3">
        <v>0.0</v>
      </c>
      <c r="R25" s="3">
        <v>0.135</v>
      </c>
      <c r="S25" s="3">
        <v>27.51</v>
      </c>
      <c r="T25" s="3">
        <v>52.0</v>
      </c>
      <c r="U25" s="3">
        <f t="shared" si="2"/>
        <v>11.475</v>
      </c>
      <c r="V25" s="3"/>
      <c r="W25" s="3">
        <f t="shared" si="3"/>
        <v>11.51231094</v>
      </c>
      <c r="X25" s="3">
        <f t="shared" si="4"/>
        <v>8.87058531</v>
      </c>
      <c r="Y25" s="3">
        <f t="shared" si="5"/>
        <v>8.809260647</v>
      </c>
      <c r="Z25" s="3">
        <f t="shared" ref="Z25:AA25" si="28">_xlfn.NORM.S.DIST(X25)</f>
        <v>1</v>
      </c>
      <c r="AA25" s="3">
        <f t="shared" si="28"/>
        <v>1</v>
      </c>
    </row>
    <row r="26" ht="14.25" customHeight="1">
      <c r="A26" s="3" t="s">
        <v>154</v>
      </c>
      <c r="B26" s="3" t="s">
        <v>155</v>
      </c>
      <c r="C26" s="3" t="s">
        <v>129</v>
      </c>
      <c r="D26" s="3" t="s">
        <v>29</v>
      </c>
      <c r="E26" s="3">
        <v>16.0</v>
      </c>
      <c r="F26" s="3" t="s">
        <v>27</v>
      </c>
      <c r="G26" s="3">
        <v>11.25</v>
      </c>
      <c r="I26" s="3">
        <v>11.5</v>
      </c>
      <c r="K26" s="3">
        <v>0.0</v>
      </c>
      <c r="L26" s="3">
        <v>32.0</v>
      </c>
      <c r="M26" s="3" t="s">
        <v>55</v>
      </c>
      <c r="N26" s="3">
        <v>0.9727</v>
      </c>
      <c r="O26" s="3">
        <v>0.0072</v>
      </c>
      <c r="P26" s="3">
        <v>-0.8468</v>
      </c>
      <c r="Q26" s="3">
        <v>0.7016</v>
      </c>
      <c r="R26" s="3">
        <v>0.6582</v>
      </c>
      <c r="S26" s="3">
        <v>27.32</v>
      </c>
      <c r="T26" s="3">
        <v>51.0</v>
      </c>
      <c r="U26" s="3">
        <f t="shared" si="2"/>
        <v>11.375</v>
      </c>
      <c r="V26" s="3"/>
      <c r="W26" s="3">
        <f t="shared" si="3"/>
        <v>11.408284</v>
      </c>
      <c r="X26" s="3">
        <f t="shared" si="4"/>
        <v>1.95543645</v>
      </c>
      <c r="Y26" s="3">
        <f t="shared" si="5"/>
        <v>1.659333526</v>
      </c>
      <c r="Z26" s="3">
        <f t="shared" ref="Z26:AA26" si="29">_xlfn.NORM.S.DIST(X26)</f>
        <v>0.9747342113</v>
      </c>
      <c r="AA26" s="3">
        <f t="shared" si="29"/>
        <v>0.9514756984</v>
      </c>
    </row>
    <row r="27" ht="14.25" customHeight="1">
      <c r="A27" s="3" t="s">
        <v>154</v>
      </c>
      <c r="B27" s="3" t="s">
        <v>155</v>
      </c>
      <c r="C27" s="3" t="s">
        <v>129</v>
      </c>
      <c r="D27" s="3" t="s">
        <v>29</v>
      </c>
      <c r="E27" s="3">
        <v>16.0</v>
      </c>
      <c r="F27" s="3" t="s">
        <v>27</v>
      </c>
      <c r="G27" s="3">
        <v>10.9</v>
      </c>
      <c r="I27" s="3">
        <v>11.15</v>
      </c>
      <c r="K27" s="3">
        <v>0.0</v>
      </c>
      <c r="L27" s="3">
        <v>32.0</v>
      </c>
      <c r="M27" s="3" t="s">
        <v>56</v>
      </c>
      <c r="N27" s="3">
        <v>0.9731</v>
      </c>
      <c r="O27" s="3">
        <v>0.0075</v>
      </c>
      <c r="P27" s="3">
        <v>-0.8734</v>
      </c>
      <c r="Q27" s="3">
        <v>0.6879</v>
      </c>
      <c r="R27" s="3">
        <v>0.6455</v>
      </c>
      <c r="S27" s="3">
        <v>26.959999</v>
      </c>
      <c r="T27" s="3">
        <v>50.0</v>
      </c>
      <c r="U27" s="3">
        <f t="shared" si="2"/>
        <v>11.025</v>
      </c>
      <c r="V27" s="3"/>
      <c r="W27" s="3">
        <f t="shared" si="3"/>
        <v>11.04362434</v>
      </c>
      <c r="X27" s="3">
        <f t="shared" si="4"/>
        <v>1.958903714</v>
      </c>
      <c r="Y27" s="3">
        <f t="shared" si="5"/>
        <v>1.671375161</v>
      </c>
      <c r="Z27" s="3">
        <f t="shared" ref="Z27:AA27" si="30">_xlfn.NORM.S.DIST(X27)</f>
        <v>0.974937968</v>
      </c>
      <c r="AA27" s="3">
        <f t="shared" si="30"/>
        <v>0.9526762006</v>
      </c>
    </row>
    <row r="28" ht="14.25" customHeight="1">
      <c r="A28" s="3" t="s">
        <v>154</v>
      </c>
      <c r="B28" s="3" t="s">
        <v>155</v>
      </c>
      <c r="C28" s="3" t="s">
        <v>129</v>
      </c>
      <c r="D28" s="3" t="s">
        <v>29</v>
      </c>
      <c r="E28" s="3">
        <v>16.0</v>
      </c>
      <c r="F28" s="3" t="s">
        <v>27</v>
      </c>
      <c r="G28" s="3">
        <v>10.75</v>
      </c>
      <c r="I28" s="3">
        <v>11.0</v>
      </c>
      <c r="K28" s="3">
        <v>0.0</v>
      </c>
      <c r="L28" s="3">
        <v>32.0</v>
      </c>
      <c r="M28" s="3" t="s">
        <v>57</v>
      </c>
      <c r="N28" s="3">
        <v>0.998</v>
      </c>
      <c r="O28" s="3">
        <v>0.0</v>
      </c>
      <c r="P28" s="3">
        <v>0.2246</v>
      </c>
      <c r="Q28" s="3">
        <v>2.0E-4</v>
      </c>
      <c r="R28" s="3">
        <v>0.2733</v>
      </c>
      <c r="S28" s="3">
        <v>26.879999</v>
      </c>
      <c r="T28" s="3">
        <v>49.0</v>
      </c>
      <c r="U28" s="3">
        <f t="shared" si="2"/>
        <v>10.875</v>
      </c>
      <c r="V28" s="3"/>
      <c r="W28" s="3">
        <f t="shared" si="3"/>
        <v>10.88218103</v>
      </c>
      <c r="X28" s="3">
        <f t="shared" si="4"/>
        <v>4.366229628</v>
      </c>
      <c r="Y28" s="3">
        <f t="shared" si="5"/>
        <v>4.245715656</v>
      </c>
      <c r="Z28" s="3">
        <f t="shared" ref="Z28:AA28" si="31">_xlfn.NORM.S.DIST(X28)</f>
        <v>0.9999936795</v>
      </c>
      <c r="AA28" s="3">
        <f t="shared" si="31"/>
        <v>0.9999891052</v>
      </c>
    </row>
    <row r="29" ht="14.25" customHeight="1">
      <c r="A29" s="3" t="s">
        <v>154</v>
      </c>
      <c r="B29" s="3" t="s">
        <v>155</v>
      </c>
      <c r="C29" s="3" t="s">
        <v>129</v>
      </c>
      <c r="D29" s="3" t="s">
        <v>29</v>
      </c>
      <c r="E29" s="3">
        <v>16.0</v>
      </c>
      <c r="F29" s="3" t="s">
        <v>27</v>
      </c>
      <c r="G29" s="3">
        <v>11.0</v>
      </c>
      <c r="I29" s="3">
        <v>11.25</v>
      </c>
      <c r="K29" s="3">
        <v>0.0</v>
      </c>
      <c r="L29" s="3">
        <v>32.0</v>
      </c>
      <c r="M29" s="3" t="s">
        <v>58</v>
      </c>
      <c r="N29" s="3">
        <v>0.9992</v>
      </c>
      <c r="O29" s="3">
        <v>0.0</v>
      </c>
      <c r="P29" s="3">
        <v>0.0692</v>
      </c>
      <c r="Q29" s="3">
        <v>0.0</v>
      </c>
      <c r="R29" s="3">
        <v>0.222</v>
      </c>
      <c r="S29" s="3">
        <v>27.139999</v>
      </c>
      <c r="T29" s="3">
        <v>48.0</v>
      </c>
      <c r="U29" s="3">
        <f t="shared" si="2"/>
        <v>11.125</v>
      </c>
      <c r="V29" s="3"/>
      <c r="W29" s="3">
        <f t="shared" si="3"/>
        <v>11.1421322</v>
      </c>
      <c r="X29" s="3">
        <f t="shared" si="4"/>
        <v>5.503703784</v>
      </c>
      <c r="Y29" s="3">
        <f t="shared" si="5"/>
        <v>5.406815041</v>
      </c>
      <c r="Z29" s="3">
        <f t="shared" ref="Z29:AA29" si="32">_xlfn.NORM.S.DIST(X29)</f>
        <v>0.9999999814</v>
      </c>
      <c r="AA29" s="3">
        <f t="shared" si="32"/>
        <v>0.9999999679</v>
      </c>
    </row>
    <row r="30" ht="14.25" customHeight="1">
      <c r="A30" s="3" t="s">
        <v>154</v>
      </c>
      <c r="B30" s="3" t="s">
        <v>155</v>
      </c>
      <c r="C30" s="3" t="s">
        <v>129</v>
      </c>
      <c r="D30" s="3" t="s">
        <v>29</v>
      </c>
      <c r="E30" s="3">
        <v>16.0</v>
      </c>
      <c r="F30" s="3" t="s">
        <v>27</v>
      </c>
      <c r="G30" s="3">
        <v>10.95</v>
      </c>
      <c r="I30" s="3">
        <v>11.15</v>
      </c>
      <c r="K30" s="3">
        <v>0.0</v>
      </c>
      <c r="L30" s="3">
        <v>32.0</v>
      </c>
      <c r="M30" s="3" t="s">
        <v>59</v>
      </c>
      <c r="N30" s="3">
        <v>0.9994</v>
      </c>
      <c r="O30" s="3">
        <v>0.0</v>
      </c>
      <c r="P30" s="3">
        <v>0.0429</v>
      </c>
      <c r="Q30" s="3">
        <v>0.0</v>
      </c>
      <c r="R30" s="3">
        <v>0.1393</v>
      </c>
      <c r="S30" s="3">
        <v>26.99</v>
      </c>
      <c r="T30" s="3">
        <v>47.0</v>
      </c>
      <c r="U30" s="3">
        <f t="shared" si="2"/>
        <v>11.05</v>
      </c>
      <c r="V30" s="3"/>
      <c r="W30" s="3">
        <f t="shared" si="3"/>
        <v>10.99208875</v>
      </c>
      <c r="X30" s="3">
        <f t="shared" si="4"/>
        <v>8.723861988</v>
      </c>
      <c r="Y30" s="3">
        <f t="shared" si="5"/>
        <v>8.663703103</v>
      </c>
      <c r="Z30" s="3">
        <f t="shared" ref="Z30:AA30" si="33">_xlfn.NORM.S.DIST(X30)</f>
        <v>1</v>
      </c>
      <c r="AA30" s="3">
        <f t="shared" si="33"/>
        <v>1</v>
      </c>
    </row>
    <row r="31" ht="14.25" customHeight="1">
      <c r="A31" s="3" t="s">
        <v>154</v>
      </c>
      <c r="B31" s="3" t="s">
        <v>155</v>
      </c>
      <c r="C31" s="3" t="s">
        <v>129</v>
      </c>
      <c r="D31" s="3" t="s">
        <v>29</v>
      </c>
      <c r="E31" s="3">
        <v>16.0</v>
      </c>
      <c r="F31" s="3" t="s">
        <v>27</v>
      </c>
      <c r="G31" s="3">
        <v>10.8</v>
      </c>
      <c r="I31" s="3">
        <v>11.05</v>
      </c>
      <c r="K31" s="3">
        <v>0.0</v>
      </c>
      <c r="L31" s="3">
        <v>32.0</v>
      </c>
      <c r="M31" s="3" t="s">
        <v>60</v>
      </c>
      <c r="N31" s="3">
        <v>0.9992</v>
      </c>
      <c r="O31" s="3">
        <v>0.0</v>
      </c>
      <c r="P31" s="3">
        <v>0.0686</v>
      </c>
      <c r="Q31" s="3">
        <v>0.0</v>
      </c>
      <c r="R31" s="3">
        <v>0.2127</v>
      </c>
      <c r="S31" s="3">
        <v>27.0</v>
      </c>
      <c r="T31" s="3">
        <v>46.0</v>
      </c>
      <c r="U31" s="3">
        <f t="shared" si="2"/>
        <v>10.925</v>
      </c>
      <c r="V31" s="3"/>
      <c r="W31" s="3">
        <f t="shared" si="3"/>
        <v>11.00204432</v>
      </c>
      <c r="X31" s="3">
        <f t="shared" si="4"/>
        <v>5.804709855</v>
      </c>
      <c r="Y31" s="3">
        <f t="shared" si="5"/>
        <v>5.713834497</v>
      </c>
      <c r="Z31" s="3">
        <f t="shared" ref="Z31:AA31" si="34">_xlfn.NORM.S.DIST(X31)</f>
        <v>0.9999999968</v>
      </c>
      <c r="AA31" s="3">
        <f t="shared" si="34"/>
        <v>0.9999999945</v>
      </c>
    </row>
    <row r="32" ht="14.25" customHeight="1">
      <c r="A32" s="3" t="s">
        <v>154</v>
      </c>
      <c r="B32" s="3" t="s">
        <v>155</v>
      </c>
      <c r="C32" s="3" t="s">
        <v>129</v>
      </c>
      <c r="D32" s="3" t="s">
        <v>29</v>
      </c>
      <c r="E32" s="3">
        <v>16.0</v>
      </c>
      <c r="F32" s="3" t="s">
        <v>27</v>
      </c>
      <c r="G32" s="3">
        <v>10.95</v>
      </c>
      <c r="I32" s="3">
        <v>11.2</v>
      </c>
      <c r="K32" s="3">
        <v>0.0</v>
      </c>
      <c r="L32" s="3">
        <v>32.0</v>
      </c>
      <c r="M32" s="3" t="s">
        <v>61</v>
      </c>
      <c r="N32" s="3">
        <v>0.9994</v>
      </c>
      <c r="O32" s="3">
        <v>0.0</v>
      </c>
      <c r="P32" s="3">
        <v>0.0433</v>
      </c>
      <c r="Q32" s="3">
        <v>0.0</v>
      </c>
      <c r="R32" s="3">
        <v>0.2259</v>
      </c>
      <c r="S32" s="3">
        <v>27.059999</v>
      </c>
      <c r="T32" s="3">
        <v>45.0</v>
      </c>
      <c r="U32" s="3">
        <f t="shared" si="2"/>
        <v>11.075</v>
      </c>
      <c r="V32" s="3"/>
      <c r="W32" s="3">
        <f t="shared" si="3"/>
        <v>11.06199888</v>
      </c>
      <c r="X32" s="3">
        <f t="shared" si="4"/>
        <v>5.553616433</v>
      </c>
      <c r="Y32" s="3">
        <f t="shared" si="5"/>
        <v>5.45815626</v>
      </c>
      <c r="Z32" s="3">
        <f t="shared" ref="Z32:AA32" si="35">_xlfn.NORM.S.DIST(X32)</f>
        <v>0.999999986</v>
      </c>
      <c r="AA32" s="3">
        <f t="shared" si="35"/>
        <v>0.9999999759</v>
      </c>
    </row>
    <row r="33" ht="14.25" customHeight="1">
      <c r="A33" s="3" t="s">
        <v>154</v>
      </c>
      <c r="B33" s="3" t="s">
        <v>155</v>
      </c>
      <c r="C33" s="3" t="s">
        <v>129</v>
      </c>
      <c r="D33" s="3" t="s">
        <v>29</v>
      </c>
      <c r="E33" s="3">
        <v>16.0</v>
      </c>
      <c r="F33" s="3" t="s">
        <v>27</v>
      </c>
      <c r="G33" s="3">
        <v>11.15</v>
      </c>
      <c r="I33" s="3">
        <v>11.4</v>
      </c>
      <c r="K33" s="3">
        <v>0.0</v>
      </c>
      <c r="L33" s="3">
        <v>32.0</v>
      </c>
      <c r="M33" s="3" t="s">
        <v>62</v>
      </c>
      <c r="N33" s="3">
        <v>1.0</v>
      </c>
      <c r="O33" s="3">
        <v>0.0</v>
      </c>
      <c r="P33" s="3">
        <v>-0.0465</v>
      </c>
      <c r="Q33" s="3">
        <v>0.0</v>
      </c>
      <c r="R33" s="3">
        <v>0.2114</v>
      </c>
      <c r="S33" s="3">
        <v>27.290001</v>
      </c>
      <c r="T33" s="3">
        <v>44.0</v>
      </c>
      <c r="U33" s="3">
        <f t="shared" si="2"/>
        <v>11.275</v>
      </c>
      <c r="V33" s="3"/>
      <c r="W33" s="3">
        <f t="shared" si="3"/>
        <v>11.29195644</v>
      </c>
      <c r="X33" s="3">
        <f t="shared" si="4"/>
        <v>6.089970669</v>
      </c>
      <c r="Y33" s="3">
        <f t="shared" si="5"/>
        <v>6.001636028</v>
      </c>
      <c r="Z33" s="3">
        <f t="shared" ref="Z33:AA33" si="36">_xlfn.NORM.S.DIST(X33)</f>
        <v>0.9999999994</v>
      </c>
      <c r="AA33" s="3">
        <f t="shared" si="36"/>
        <v>0.999999999</v>
      </c>
    </row>
    <row r="34" ht="14.25" customHeight="1">
      <c r="A34" s="3" t="s">
        <v>154</v>
      </c>
      <c r="B34" s="3" t="s">
        <v>155</v>
      </c>
      <c r="C34" s="3" t="s">
        <v>129</v>
      </c>
      <c r="D34" s="3" t="s">
        <v>29</v>
      </c>
      <c r="E34" s="3">
        <v>16.0</v>
      </c>
      <c r="F34" s="3" t="s">
        <v>27</v>
      </c>
      <c r="G34" s="3">
        <v>11.5</v>
      </c>
      <c r="I34" s="3">
        <v>11.75</v>
      </c>
      <c r="K34" s="3">
        <v>0.0</v>
      </c>
      <c r="L34" s="3">
        <v>32.0</v>
      </c>
      <c r="M34" s="3" t="s">
        <v>63</v>
      </c>
      <c r="N34" s="3">
        <v>0.9997</v>
      </c>
      <c r="O34" s="3">
        <v>0.0</v>
      </c>
      <c r="P34" s="3">
        <v>-5.0E-4</v>
      </c>
      <c r="Q34" s="3">
        <v>0.0</v>
      </c>
      <c r="R34" s="3">
        <v>0.185</v>
      </c>
      <c r="S34" s="3">
        <v>27.709999</v>
      </c>
      <c r="T34" s="3">
        <v>43.0</v>
      </c>
      <c r="U34" s="3">
        <f t="shared" si="2"/>
        <v>11.625</v>
      </c>
      <c r="V34" s="3"/>
      <c r="W34" s="3">
        <f t="shared" si="3"/>
        <v>11.71191</v>
      </c>
      <c r="X34" s="3">
        <f t="shared" si="4"/>
        <v>7.226455752</v>
      </c>
      <c r="Y34" s="3">
        <f t="shared" si="5"/>
        <v>7.15003599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154</v>
      </c>
      <c r="B35" s="3" t="s">
        <v>155</v>
      </c>
      <c r="C35" s="3" t="s">
        <v>129</v>
      </c>
      <c r="D35" s="3" t="s">
        <v>29</v>
      </c>
      <c r="E35" s="3">
        <v>16.0</v>
      </c>
      <c r="F35" s="3" t="s">
        <v>27</v>
      </c>
      <c r="G35" s="3">
        <v>11.5</v>
      </c>
      <c r="I35" s="3">
        <v>11.8</v>
      </c>
      <c r="K35" s="3">
        <v>0.0</v>
      </c>
      <c r="L35" s="3">
        <v>32.0</v>
      </c>
      <c r="M35" s="3" t="s">
        <v>64</v>
      </c>
      <c r="N35" s="3">
        <v>1.0</v>
      </c>
      <c r="O35" s="3">
        <v>0.0</v>
      </c>
      <c r="P35" s="3">
        <v>-0.0465</v>
      </c>
      <c r="Q35" s="3">
        <v>0.0</v>
      </c>
      <c r="R35" s="3">
        <v>0.2058</v>
      </c>
      <c r="S35" s="3">
        <v>27.57</v>
      </c>
      <c r="T35" s="3">
        <v>42.0</v>
      </c>
      <c r="U35" s="3">
        <f t="shared" si="2"/>
        <v>11.65</v>
      </c>
      <c r="V35" s="3"/>
      <c r="W35" s="3">
        <f t="shared" si="3"/>
        <v>11.57186656</v>
      </c>
      <c r="X35" s="3">
        <f t="shared" si="4"/>
        <v>6.519899442</v>
      </c>
      <c r="Y35" s="3">
        <f t="shared" si="5"/>
        <v>6.435881944</v>
      </c>
      <c r="Z35" s="3">
        <f t="shared" ref="Z35:AA35" si="38">_xlfn.NORM.S.DIST(X35)</f>
        <v>1</v>
      </c>
      <c r="AA35" s="3">
        <f t="shared" si="38"/>
        <v>0.9999999999</v>
      </c>
    </row>
    <row r="36" ht="14.25" customHeight="1">
      <c r="A36" s="3" t="s">
        <v>154</v>
      </c>
      <c r="B36" s="3" t="s">
        <v>155</v>
      </c>
      <c r="C36" s="3" t="s">
        <v>129</v>
      </c>
      <c r="D36" s="3" t="s">
        <v>29</v>
      </c>
      <c r="E36" s="3">
        <v>16.0</v>
      </c>
      <c r="F36" s="3" t="s">
        <v>27</v>
      </c>
      <c r="G36" s="3">
        <v>11.3</v>
      </c>
      <c r="I36" s="3">
        <v>11.5</v>
      </c>
      <c r="K36" s="3">
        <v>0.0</v>
      </c>
      <c r="L36" s="3">
        <v>32.0</v>
      </c>
      <c r="M36" s="3" t="s">
        <v>65</v>
      </c>
      <c r="N36" s="3">
        <v>0.9995</v>
      </c>
      <c r="O36" s="3">
        <v>0.0</v>
      </c>
      <c r="P36" s="3">
        <v>0.0454</v>
      </c>
      <c r="Q36" s="3">
        <v>0.0</v>
      </c>
      <c r="R36" s="3">
        <v>0.2617</v>
      </c>
      <c r="S36" s="3">
        <v>27.41</v>
      </c>
      <c r="T36" s="3">
        <v>41.0</v>
      </c>
      <c r="U36" s="3">
        <f t="shared" si="2"/>
        <v>11.4</v>
      </c>
      <c r="V36" s="3"/>
      <c r="W36" s="3">
        <f t="shared" si="3"/>
        <v>11.41182219</v>
      </c>
      <c r="X36" s="3">
        <f t="shared" si="4"/>
        <v>5.153556677</v>
      </c>
      <c r="Y36" s="3">
        <f t="shared" si="5"/>
        <v>5.047997649</v>
      </c>
      <c r="Z36" s="3">
        <f t="shared" ref="Z36:AA36" si="39">_xlfn.NORM.S.DIST(X36)</f>
        <v>0.9999998722</v>
      </c>
      <c r="AA36" s="3">
        <f t="shared" si="39"/>
        <v>0.9999997768</v>
      </c>
    </row>
    <row r="37" ht="14.25" customHeight="1">
      <c r="A37" s="3" t="s">
        <v>154</v>
      </c>
      <c r="B37" s="3" t="s">
        <v>155</v>
      </c>
      <c r="C37" s="3" t="s">
        <v>129</v>
      </c>
      <c r="D37" s="3" t="s">
        <v>29</v>
      </c>
      <c r="E37" s="3">
        <v>16.0</v>
      </c>
      <c r="F37" s="3" t="s">
        <v>27</v>
      </c>
      <c r="G37" s="3">
        <v>11.15</v>
      </c>
      <c r="I37" s="3">
        <v>11.4</v>
      </c>
      <c r="K37" s="3">
        <v>0.0</v>
      </c>
      <c r="L37" s="3">
        <v>32.0</v>
      </c>
      <c r="M37" s="3" t="s">
        <v>66</v>
      </c>
      <c r="N37" s="3">
        <v>0.9995</v>
      </c>
      <c r="O37" s="3">
        <v>0.0</v>
      </c>
      <c r="P37" s="3">
        <v>0.0484</v>
      </c>
      <c r="Q37" s="3">
        <v>0.0</v>
      </c>
      <c r="R37" s="3">
        <v>0.2225</v>
      </c>
      <c r="S37" s="3">
        <v>27.379999</v>
      </c>
      <c r="T37" s="3">
        <v>40.0</v>
      </c>
      <c r="U37" s="3">
        <f t="shared" si="2"/>
        <v>11.275</v>
      </c>
      <c r="V37" s="3"/>
      <c r="W37" s="3">
        <f t="shared" si="3"/>
        <v>11.38177668</v>
      </c>
      <c r="X37" s="3">
        <f t="shared" si="4"/>
        <v>6.105898694</v>
      </c>
      <c r="Y37" s="3">
        <f t="shared" si="5"/>
        <v>6.017252572</v>
      </c>
      <c r="Z37" s="3">
        <f t="shared" ref="Z37:AA37" si="40">_xlfn.NORM.S.DIST(X37)</f>
        <v>0.9999999995</v>
      </c>
      <c r="AA37" s="3">
        <f t="shared" si="40"/>
        <v>0.9999999991</v>
      </c>
    </row>
    <row r="38" ht="14.25" customHeight="1">
      <c r="A38" s="3" t="s">
        <v>154</v>
      </c>
      <c r="B38" s="3" t="s">
        <v>155</v>
      </c>
      <c r="C38" s="3" t="s">
        <v>129</v>
      </c>
      <c r="D38" s="3" t="s">
        <v>29</v>
      </c>
      <c r="E38" s="3">
        <v>16.0</v>
      </c>
      <c r="F38" s="3" t="s">
        <v>27</v>
      </c>
      <c r="G38" s="3">
        <v>10.8</v>
      </c>
      <c r="I38" s="3">
        <v>11.05</v>
      </c>
      <c r="K38" s="3">
        <v>0.0</v>
      </c>
      <c r="L38" s="3">
        <v>32.0</v>
      </c>
      <c r="M38" s="3" t="s">
        <v>67</v>
      </c>
      <c r="N38" s="3">
        <v>0.9995</v>
      </c>
      <c r="O38" s="3">
        <v>0.0</v>
      </c>
      <c r="P38" s="3">
        <v>0.0499</v>
      </c>
      <c r="Q38" s="3">
        <v>0.0</v>
      </c>
      <c r="R38" s="3">
        <v>0.1537</v>
      </c>
      <c r="S38" s="3">
        <v>26.84</v>
      </c>
      <c r="T38" s="3">
        <v>39.0</v>
      </c>
      <c r="U38" s="3">
        <f t="shared" si="2"/>
        <v>10.925</v>
      </c>
      <c r="V38" s="3"/>
      <c r="W38" s="3">
        <f t="shared" si="3"/>
        <v>10.84173324</v>
      </c>
      <c r="X38" s="3">
        <f t="shared" si="4"/>
        <v>8.587426492</v>
      </c>
      <c r="Y38" s="3">
        <f t="shared" si="5"/>
        <v>8.526961236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154</v>
      </c>
      <c r="B39" s="3" t="s">
        <v>155</v>
      </c>
      <c r="C39" s="3" t="s">
        <v>129</v>
      </c>
      <c r="D39" s="3" t="s">
        <v>29</v>
      </c>
      <c r="E39" s="3">
        <v>16.0</v>
      </c>
      <c r="F39" s="3" t="s">
        <v>27</v>
      </c>
      <c r="G39" s="3">
        <v>10.9</v>
      </c>
      <c r="I39" s="3">
        <v>11.15</v>
      </c>
      <c r="K39" s="3">
        <v>0.0</v>
      </c>
      <c r="L39" s="3">
        <v>32.0</v>
      </c>
      <c r="M39" s="3" t="s">
        <v>68</v>
      </c>
      <c r="N39" s="3">
        <v>0.9995</v>
      </c>
      <c r="O39" s="3">
        <v>0.0</v>
      </c>
      <c r="P39" s="3">
        <v>0.0502</v>
      </c>
      <c r="Q39" s="3">
        <v>0.0</v>
      </c>
      <c r="R39" s="3">
        <v>0.2572</v>
      </c>
      <c r="S39" s="3">
        <v>27.030001</v>
      </c>
      <c r="T39" s="3">
        <v>38.0</v>
      </c>
      <c r="U39" s="3">
        <f t="shared" si="2"/>
        <v>11.025</v>
      </c>
      <c r="V39" s="3"/>
      <c r="W39" s="3">
        <f t="shared" si="3"/>
        <v>11.03168983</v>
      </c>
      <c r="X39" s="3">
        <f t="shared" si="4"/>
        <v>5.301075551</v>
      </c>
      <c r="Y39" s="3">
        <f t="shared" si="5"/>
        <v>5.20119924</v>
      </c>
      <c r="Z39" s="3">
        <f t="shared" ref="Z39:AA39" si="42">_xlfn.NORM.S.DIST(X39)</f>
        <v>0.9999999424</v>
      </c>
      <c r="AA39" s="3">
        <f t="shared" si="42"/>
        <v>0.999999901</v>
      </c>
    </row>
    <row r="40" ht="14.25" customHeight="1">
      <c r="A40" s="3" t="s">
        <v>154</v>
      </c>
      <c r="B40" s="3" t="s">
        <v>155</v>
      </c>
      <c r="C40" s="3" t="s">
        <v>129</v>
      </c>
      <c r="D40" s="3" t="s">
        <v>29</v>
      </c>
      <c r="E40" s="3">
        <v>16.0</v>
      </c>
      <c r="F40" s="3" t="s">
        <v>27</v>
      </c>
      <c r="G40" s="3">
        <v>11.35</v>
      </c>
      <c r="I40" s="3">
        <v>11.55</v>
      </c>
      <c r="K40" s="3">
        <v>0.0</v>
      </c>
      <c r="L40" s="3">
        <v>32.0</v>
      </c>
      <c r="M40" s="3" t="s">
        <v>69</v>
      </c>
      <c r="N40" s="3">
        <v>0.9995</v>
      </c>
      <c r="O40" s="3">
        <v>0.0</v>
      </c>
      <c r="P40" s="3">
        <v>0.0537</v>
      </c>
      <c r="Q40" s="3">
        <v>0.0</v>
      </c>
      <c r="R40" s="3">
        <v>0.2896</v>
      </c>
      <c r="S40" s="3">
        <v>27.41</v>
      </c>
      <c r="T40" s="3">
        <v>37.0</v>
      </c>
      <c r="U40" s="3">
        <f t="shared" si="2"/>
        <v>11.45</v>
      </c>
      <c r="V40" s="3"/>
      <c r="W40" s="3">
        <f t="shared" si="3"/>
        <v>11.41164463</v>
      </c>
      <c r="X40" s="3">
        <f t="shared" si="4"/>
        <v>4.907515773</v>
      </c>
      <c r="Y40" s="3">
        <f t="shared" si="5"/>
        <v>4.796547417</v>
      </c>
      <c r="Z40" s="3">
        <f t="shared" ref="Z40:AA40" si="43">_xlfn.NORM.S.DIST(X40)</f>
        <v>0.9999995388</v>
      </c>
      <c r="AA40" s="3">
        <f t="shared" si="43"/>
        <v>0.9999991929</v>
      </c>
    </row>
    <row r="41" ht="14.25" customHeight="1">
      <c r="A41" s="3" t="s">
        <v>154</v>
      </c>
      <c r="B41" s="3" t="s">
        <v>155</v>
      </c>
      <c r="C41" s="3" t="s">
        <v>129</v>
      </c>
      <c r="D41" s="3" t="s">
        <v>29</v>
      </c>
      <c r="E41" s="3">
        <v>16.0</v>
      </c>
      <c r="F41" s="3" t="s">
        <v>27</v>
      </c>
      <c r="G41" s="3">
        <v>11.35</v>
      </c>
      <c r="I41" s="3">
        <v>11.6</v>
      </c>
      <c r="K41" s="3">
        <v>0.0</v>
      </c>
      <c r="L41" s="3">
        <v>32.0</v>
      </c>
      <c r="M41" s="3" t="s">
        <v>70</v>
      </c>
      <c r="N41" s="3">
        <v>0.9994</v>
      </c>
      <c r="O41" s="3">
        <v>0.0</v>
      </c>
      <c r="P41" s="3">
        <v>0.0685</v>
      </c>
      <c r="Q41" s="3">
        <v>0.0</v>
      </c>
      <c r="R41" s="3">
        <v>0.2672</v>
      </c>
      <c r="S41" s="3">
        <v>27.370001</v>
      </c>
      <c r="T41" s="3">
        <v>36.0</v>
      </c>
      <c r="U41" s="3">
        <f t="shared" si="2"/>
        <v>11.475</v>
      </c>
      <c r="V41" s="3"/>
      <c r="W41" s="3">
        <f t="shared" si="3"/>
        <v>11.37160094</v>
      </c>
      <c r="X41" s="3">
        <f t="shared" si="4"/>
        <v>5.367335679</v>
      </c>
      <c r="Y41" s="3">
        <f t="shared" si="5"/>
        <v>5.266343572</v>
      </c>
      <c r="Z41" s="3">
        <f t="shared" ref="Z41:AA41" si="44">_xlfn.NORM.S.DIST(X41)</f>
        <v>0.99999996</v>
      </c>
      <c r="AA41" s="3">
        <f t="shared" si="44"/>
        <v>0.9999999304</v>
      </c>
    </row>
    <row r="42" ht="14.25" customHeight="1">
      <c r="A42" s="3" t="s">
        <v>154</v>
      </c>
      <c r="B42" s="3" t="s">
        <v>155</v>
      </c>
      <c r="C42" s="3" t="s">
        <v>129</v>
      </c>
      <c r="D42" s="3" t="s">
        <v>29</v>
      </c>
      <c r="E42" s="3">
        <v>16.0</v>
      </c>
      <c r="F42" s="3" t="s">
        <v>27</v>
      </c>
      <c r="G42" s="3">
        <v>11.25</v>
      </c>
      <c r="I42" s="3">
        <v>11.55</v>
      </c>
      <c r="K42" s="3">
        <v>0.0</v>
      </c>
      <c r="L42" s="3">
        <v>32.0</v>
      </c>
      <c r="M42" s="3" t="s">
        <v>71</v>
      </c>
      <c r="N42" s="3">
        <v>0.9994</v>
      </c>
      <c r="O42" s="3">
        <v>0.0</v>
      </c>
      <c r="P42" s="3">
        <v>0.0801</v>
      </c>
      <c r="Q42" s="3">
        <v>0.0</v>
      </c>
      <c r="R42" s="3">
        <v>0.1349</v>
      </c>
      <c r="S42" s="3">
        <v>27.389999</v>
      </c>
      <c r="T42" s="3">
        <v>35.0</v>
      </c>
      <c r="U42" s="3">
        <f t="shared" si="2"/>
        <v>11.4</v>
      </c>
      <c r="V42" s="3"/>
      <c r="W42" s="3">
        <f t="shared" si="3"/>
        <v>11.39155448</v>
      </c>
      <c r="X42" s="3">
        <f t="shared" si="4"/>
        <v>10.72020114</v>
      </c>
      <c r="Y42" s="3">
        <f t="shared" si="5"/>
        <v>10.66992688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154</v>
      </c>
      <c r="B43" s="3" t="s">
        <v>155</v>
      </c>
      <c r="C43" s="3" t="s">
        <v>129</v>
      </c>
      <c r="D43" s="3" t="s">
        <v>29</v>
      </c>
      <c r="E43" s="3">
        <v>16.0</v>
      </c>
      <c r="F43" s="3" t="s">
        <v>27</v>
      </c>
      <c r="G43" s="3">
        <v>11.45</v>
      </c>
      <c r="I43" s="3">
        <v>11.7</v>
      </c>
      <c r="K43" s="3">
        <v>0.0</v>
      </c>
      <c r="L43" s="3">
        <v>32.0</v>
      </c>
      <c r="M43" s="3" t="s">
        <v>72</v>
      </c>
      <c r="N43" s="3">
        <v>0.9994</v>
      </c>
      <c r="O43" s="3">
        <v>0.0</v>
      </c>
      <c r="P43" s="3">
        <v>0.0816</v>
      </c>
      <c r="Q43" s="3">
        <v>0.0</v>
      </c>
      <c r="R43" s="3">
        <v>0.2338</v>
      </c>
      <c r="S43" s="3">
        <v>27.690001</v>
      </c>
      <c r="T43" s="3">
        <v>34.0</v>
      </c>
      <c r="U43" s="3">
        <f t="shared" si="2"/>
        <v>11.575</v>
      </c>
      <c r="V43" s="3"/>
      <c r="W43" s="3">
        <f t="shared" si="3"/>
        <v>11.69151204</v>
      </c>
      <c r="X43" s="3">
        <f t="shared" si="4"/>
        <v>6.430778384</v>
      </c>
      <c r="Y43" s="3">
        <f t="shared" si="5"/>
        <v>6.344900034</v>
      </c>
      <c r="Z43" s="3">
        <f t="shared" ref="Z43:AA43" si="46">_xlfn.NORM.S.DIST(X43)</f>
        <v>0.9999999999</v>
      </c>
      <c r="AA43" s="3">
        <f t="shared" si="46"/>
        <v>0.9999999999</v>
      </c>
    </row>
    <row r="44" ht="14.25" customHeight="1">
      <c r="A44" s="3" t="s">
        <v>154</v>
      </c>
      <c r="B44" s="3" t="s">
        <v>155</v>
      </c>
      <c r="C44" s="3" t="s">
        <v>129</v>
      </c>
      <c r="D44" s="3" t="s">
        <v>29</v>
      </c>
      <c r="E44" s="3">
        <v>16.0</v>
      </c>
      <c r="F44" s="3" t="s">
        <v>27</v>
      </c>
      <c r="G44" s="3">
        <v>12.0</v>
      </c>
      <c r="I44" s="3">
        <v>12.25</v>
      </c>
      <c r="K44" s="3">
        <v>0.0</v>
      </c>
      <c r="L44" s="3">
        <v>32.0</v>
      </c>
      <c r="M44" s="3" t="s">
        <v>73</v>
      </c>
      <c r="N44" s="3">
        <v>0.9994</v>
      </c>
      <c r="O44" s="3">
        <v>0.0</v>
      </c>
      <c r="P44" s="3">
        <v>0.0833</v>
      </c>
      <c r="Q44" s="3">
        <v>0.0</v>
      </c>
      <c r="R44" s="3">
        <v>0.2602</v>
      </c>
      <c r="S44" s="3">
        <v>28.07</v>
      </c>
      <c r="T44" s="3">
        <v>33.0</v>
      </c>
      <c r="U44" s="3">
        <f t="shared" si="2"/>
        <v>12.125</v>
      </c>
      <c r="V44" s="3"/>
      <c r="W44" s="3">
        <f t="shared" si="3"/>
        <v>12.0714666</v>
      </c>
      <c r="X44" s="3">
        <f t="shared" si="4"/>
        <v>6.017847754</v>
      </c>
      <c r="Y44" s="3">
        <f t="shared" si="5"/>
        <v>5.923688287</v>
      </c>
      <c r="Z44" s="3">
        <f t="shared" ref="Z44:AA44" si="47">_xlfn.NORM.S.DIST(X44)</f>
        <v>0.9999999991</v>
      </c>
      <c r="AA44" s="3">
        <f t="shared" si="47"/>
        <v>0.9999999984</v>
      </c>
    </row>
    <row r="45" ht="14.25" customHeight="1">
      <c r="A45" s="3" t="s">
        <v>154</v>
      </c>
      <c r="B45" s="3" t="s">
        <v>155</v>
      </c>
      <c r="C45" s="3" t="s">
        <v>129</v>
      </c>
      <c r="D45" s="3" t="s">
        <v>29</v>
      </c>
      <c r="E45" s="3">
        <v>16.0</v>
      </c>
      <c r="F45" s="3" t="s">
        <v>27</v>
      </c>
      <c r="G45" s="3">
        <v>11.8</v>
      </c>
      <c r="I45" s="3">
        <v>12.25</v>
      </c>
      <c r="K45" s="3">
        <v>0.0</v>
      </c>
      <c r="L45" s="3">
        <v>32.0</v>
      </c>
      <c r="M45" s="3" t="s">
        <v>74</v>
      </c>
      <c r="N45" s="3">
        <v>0.9994</v>
      </c>
      <c r="O45" s="3">
        <v>0.0</v>
      </c>
      <c r="P45" s="3">
        <v>0.0835</v>
      </c>
      <c r="Q45" s="3">
        <v>0.0</v>
      </c>
      <c r="R45" s="3">
        <v>0.2839</v>
      </c>
      <c r="S45" s="3">
        <v>28.120001</v>
      </c>
      <c r="T45" s="3">
        <v>32.0</v>
      </c>
      <c r="U45" s="3">
        <f t="shared" si="2"/>
        <v>12.025</v>
      </c>
      <c r="V45" s="3"/>
      <c r="W45" s="3">
        <f t="shared" si="3"/>
        <v>12.12142316</v>
      </c>
      <c r="X45" s="3">
        <f t="shared" si="4"/>
        <v>5.625323029</v>
      </c>
      <c r="Y45" s="3">
        <f t="shared" si="5"/>
        <v>5.52415574</v>
      </c>
      <c r="Z45" s="3">
        <f t="shared" ref="Z45:AA45" si="48">_xlfn.NORM.S.DIST(X45)</f>
        <v>0.9999999907</v>
      </c>
      <c r="AA45" s="3">
        <f t="shared" si="48"/>
        <v>0.9999999834</v>
      </c>
    </row>
    <row r="46" ht="14.25" customHeight="1">
      <c r="A46" s="3" t="s">
        <v>154</v>
      </c>
      <c r="B46" s="3" t="s">
        <v>155</v>
      </c>
      <c r="C46" s="3" t="s">
        <v>129</v>
      </c>
      <c r="D46" s="3" t="s">
        <v>29</v>
      </c>
      <c r="E46" s="3">
        <v>16.0</v>
      </c>
      <c r="F46" s="3" t="s">
        <v>27</v>
      </c>
      <c r="G46" s="3">
        <v>12.2</v>
      </c>
      <c r="I46" s="3">
        <v>12.4</v>
      </c>
      <c r="K46" s="3">
        <v>15.0</v>
      </c>
      <c r="L46" s="3">
        <v>32.0</v>
      </c>
      <c r="M46" s="3" t="s">
        <v>75</v>
      </c>
      <c r="N46" s="3">
        <v>0.9995</v>
      </c>
      <c r="O46" s="3">
        <v>0.0</v>
      </c>
      <c r="P46" s="3">
        <v>0.0822</v>
      </c>
      <c r="Q46" s="3">
        <v>0.0</v>
      </c>
      <c r="R46" s="3">
        <v>0.2943</v>
      </c>
      <c r="S46" s="3">
        <v>28.27</v>
      </c>
      <c r="T46" s="3">
        <v>31.0</v>
      </c>
      <c r="U46" s="3">
        <f t="shared" si="2"/>
        <v>12.3</v>
      </c>
      <c r="V46" s="3"/>
      <c r="W46" s="3">
        <f t="shared" si="3"/>
        <v>12.27137772</v>
      </c>
      <c r="X46" s="3">
        <f t="shared" si="4"/>
        <v>5.566912184</v>
      </c>
      <c r="Y46" s="3">
        <f t="shared" si="5"/>
        <v>5.463690524</v>
      </c>
      <c r="Z46" s="3">
        <f t="shared" ref="Z46:AA46" si="49">_xlfn.NORM.S.DIST(X46)</f>
        <v>0.999999987</v>
      </c>
      <c r="AA46" s="3">
        <f t="shared" si="49"/>
        <v>0.9999999767</v>
      </c>
    </row>
    <row r="47" ht="14.25" customHeight="1">
      <c r="A47" s="3" t="s">
        <v>154</v>
      </c>
      <c r="B47" s="3" t="s">
        <v>155</v>
      </c>
      <c r="C47" s="3" t="s">
        <v>129</v>
      </c>
      <c r="D47" s="3" t="s">
        <v>29</v>
      </c>
      <c r="E47" s="3">
        <v>16.0</v>
      </c>
      <c r="F47" s="3" t="s">
        <v>27</v>
      </c>
      <c r="G47" s="3">
        <v>12.15</v>
      </c>
      <c r="I47" s="3">
        <v>12.2</v>
      </c>
      <c r="K47" s="3">
        <v>0.0</v>
      </c>
      <c r="L47" s="3">
        <v>32.0</v>
      </c>
      <c r="M47" s="3" t="s">
        <v>76</v>
      </c>
      <c r="N47" s="3">
        <v>0.9995</v>
      </c>
      <c r="O47" s="3">
        <v>0.0</v>
      </c>
      <c r="P47" s="3">
        <v>0.0799</v>
      </c>
      <c r="Q47" s="3">
        <v>0.0</v>
      </c>
      <c r="R47" s="3">
        <v>0.2674</v>
      </c>
      <c r="S47" s="3">
        <v>28.190001</v>
      </c>
      <c r="T47" s="3">
        <v>30.0</v>
      </c>
      <c r="U47" s="3">
        <f t="shared" si="2"/>
        <v>12.175</v>
      </c>
      <c r="V47" s="3"/>
      <c r="W47" s="3">
        <f t="shared" si="3"/>
        <v>12.19133428</v>
      </c>
      <c r="X47" s="3">
        <f t="shared" si="4"/>
        <v>6.185856802</v>
      </c>
      <c r="Y47" s="3">
        <f t="shared" si="5"/>
        <v>6.093595037</v>
      </c>
      <c r="Z47" s="3">
        <f t="shared" ref="Z47:AA47" si="50">_xlfn.NORM.S.DIST(X47)</f>
        <v>0.9999999997</v>
      </c>
      <c r="AA47" s="3">
        <f t="shared" si="50"/>
        <v>0.9999999994</v>
      </c>
    </row>
    <row r="48" ht="14.25" customHeight="1">
      <c r="A48" s="3" t="s">
        <v>154</v>
      </c>
      <c r="B48" s="3" t="s">
        <v>155</v>
      </c>
      <c r="C48" s="3" t="s">
        <v>129</v>
      </c>
      <c r="D48" s="3" t="s">
        <v>29</v>
      </c>
      <c r="E48" s="3">
        <v>16.0</v>
      </c>
      <c r="F48" s="3" t="s">
        <v>27</v>
      </c>
      <c r="G48" s="3">
        <v>12.2</v>
      </c>
      <c r="I48" s="3">
        <v>12.3</v>
      </c>
      <c r="K48" s="3">
        <v>0.0</v>
      </c>
      <c r="L48" s="3">
        <v>32.0</v>
      </c>
      <c r="M48" s="3" t="s">
        <v>77</v>
      </c>
      <c r="N48" s="3">
        <v>1.0</v>
      </c>
      <c r="O48" s="3">
        <v>0.0</v>
      </c>
      <c r="P48" s="3">
        <v>-0.0451</v>
      </c>
      <c r="Q48" s="3">
        <v>0.0</v>
      </c>
      <c r="R48" s="3">
        <v>0.1708</v>
      </c>
      <c r="S48" s="3">
        <v>28.25</v>
      </c>
      <c r="T48" s="3">
        <v>29.0</v>
      </c>
      <c r="U48" s="3">
        <f t="shared" si="2"/>
        <v>12.25</v>
      </c>
      <c r="V48" s="3"/>
      <c r="W48" s="3">
        <f t="shared" si="3"/>
        <v>12.25128884</v>
      </c>
      <c r="X48" s="3">
        <f t="shared" si="4"/>
        <v>9.842133831</v>
      </c>
      <c r="Y48" s="3">
        <f t="shared" si="5"/>
        <v>9.78419275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154</v>
      </c>
      <c r="B49" s="3" t="s">
        <v>155</v>
      </c>
      <c r="C49" s="3" t="s">
        <v>129</v>
      </c>
      <c r="D49" s="3" t="s">
        <v>29</v>
      </c>
      <c r="E49" s="3">
        <v>16.0</v>
      </c>
      <c r="F49" s="3" t="s">
        <v>27</v>
      </c>
      <c r="G49" s="3">
        <v>11.9</v>
      </c>
      <c r="I49" s="3">
        <v>12.0</v>
      </c>
      <c r="K49" s="3">
        <v>0.0</v>
      </c>
      <c r="L49" s="3">
        <v>32.0</v>
      </c>
      <c r="M49" s="3" t="s">
        <v>78</v>
      </c>
      <c r="N49" s="3">
        <v>1.0</v>
      </c>
      <c r="O49" s="3">
        <v>0.0</v>
      </c>
      <c r="P49" s="3">
        <v>-0.0451</v>
      </c>
      <c r="Q49" s="3">
        <v>0.0</v>
      </c>
      <c r="R49" s="3">
        <v>0.2378</v>
      </c>
      <c r="S49" s="3">
        <v>27.940001</v>
      </c>
      <c r="T49" s="3">
        <v>28.0</v>
      </c>
      <c r="U49" s="3">
        <f t="shared" si="2"/>
        <v>11.95</v>
      </c>
      <c r="V49" s="3"/>
      <c r="W49" s="3">
        <f t="shared" si="3"/>
        <v>11.9412454</v>
      </c>
      <c r="X49" s="3">
        <f t="shared" si="4"/>
        <v>7.073465694</v>
      </c>
      <c r="Y49" s="3">
        <f t="shared" si="5"/>
        <v>6.994199028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154</v>
      </c>
      <c r="B50" s="3" t="s">
        <v>155</v>
      </c>
      <c r="C50" s="3" t="s">
        <v>129</v>
      </c>
      <c r="D50" s="3" t="s">
        <v>29</v>
      </c>
      <c r="E50" s="3">
        <v>16.0</v>
      </c>
      <c r="F50" s="3" t="s">
        <v>27</v>
      </c>
      <c r="G50" s="3">
        <v>12.0</v>
      </c>
      <c r="I50" s="3">
        <v>12.05</v>
      </c>
      <c r="K50" s="3">
        <v>0.0</v>
      </c>
      <c r="L50" s="3">
        <v>32.0</v>
      </c>
      <c r="M50" s="3" t="s">
        <v>79</v>
      </c>
      <c r="N50" s="3">
        <v>1.0</v>
      </c>
      <c r="O50" s="3">
        <v>0.0</v>
      </c>
      <c r="P50" s="3">
        <v>-0.0451</v>
      </c>
      <c r="Q50" s="3">
        <v>0.0</v>
      </c>
      <c r="R50" s="3">
        <v>0.1708</v>
      </c>
      <c r="S50" s="3">
        <v>28.02</v>
      </c>
      <c r="T50" s="3">
        <v>27.0</v>
      </c>
      <c r="U50" s="3">
        <f t="shared" si="2"/>
        <v>12.025</v>
      </c>
      <c r="V50" s="3"/>
      <c r="W50" s="3">
        <f t="shared" si="3"/>
        <v>12.02119996</v>
      </c>
      <c r="X50" s="3">
        <f t="shared" si="4"/>
        <v>10.05175348</v>
      </c>
      <c r="Y50" s="3">
        <f t="shared" si="5"/>
        <v>9.995846059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154</v>
      </c>
      <c r="B51" s="3" t="s">
        <v>155</v>
      </c>
      <c r="C51" s="3" t="s">
        <v>129</v>
      </c>
      <c r="D51" s="3" t="s">
        <v>29</v>
      </c>
      <c r="E51" s="3">
        <v>16.0</v>
      </c>
      <c r="F51" s="3" t="s">
        <v>27</v>
      </c>
      <c r="G51" s="3">
        <v>12.05</v>
      </c>
      <c r="I51" s="3">
        <v>12.15</v>
      </c>
      <c r="K51" s="3">
        <v>0.0</v>
      </c>
      <c r="L51" s="3">
        <v>30.0</v>
      </c>
      <c r="M51" s="3" t="s">
        <v>80</v>
      </c>
      <c r="N51" s="3">
        <v>1.0</v>
      </c>
      <c r="O51" s="3">
        <v>0.0</v>
      </c>
      <c r="P51" s="3">
        <v>-0.0451</v>
      </c>
      <c r="Q51" s="3">
        <v>0.0</v>
      </c>
      <c r="R51" s="3">
        <v>0.17</v>
      </c>
      <c r="S51" s="3">
        <v>28.110001</v>
      </c>
      <c r="T51" s="3">
        <v>26.0</v>
      </c>
      <c r="U51" s="3">
        <f t="shared" si="2"/>
        <v>12.1</v>
      </c>
      <c r="V51" s="3"/>
      <c r="W51" s="3">
        <f t="shared" si="3"/>
        <v>12.11115651</v>
      </c>
      <c r="X51" s="3">
        <f t="shared" si="4"/>
        <v>10.34879594</v>
      </c>
      <c r="Y51" s="3">
        <f t="shared" si="5"/>
        <v>10.29419058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154</v>
      </c>
      <c r="B52" s="3" t="s">
        <v>155</v>
      </c>
      <c r="C52" s="3" t="s">
        <v>129</v>
      </c>
      <c r="D52" s="3" t="s">
        <v>29</v>
      </c>
      <c r="E52" s="3">
        <v>16.0</v>
      </c>
      <c r="F52" s="3" t="s">
        <v>27</v>
      </c>
      <c r="G52" s="3">
        <v>10.5</v>
      </c>
      <c r="I52" s="3">
        <v>12.05</v>
      </c>
      <c r="K52" s="3">
        <v>0.0</v>
      </c>
      <c r="L52" s="3">
        <v>30.0</v>
      </c>
      <c r="M52" s="3" t="s">
        <v>81</v>
      </c>
      <c r="N52" s="3">
        <v>1.0</v>
      </c>
      <c r="O52" s="3">
        <v>0.0</v>
      </c>
      <c r="P52" s="3">
        <v>-0.0451</v>
      </c>
      <c r="Q52" s="3">
        <v>0.0</v>
      </c>
      <c r="R52" s="3">
        <v>0.1465</v>
      </c>
      <c r="S52" s="3">
        <v>28.02</v>
      </c>
      <c r="T52" s="3">
        <v>25.0</v>
      </c>
      <c r="U52" s="3">
        <f t="shared" si="2"/>
        <v>11.275</v>
      </c>
      <c r="V52" s="3"/>
      <c r="W52" s="3">
        <f t="shared" si="3"/>
        <v>12.02111107</v>
      </c>
      <c r="X52" s="3">
        <f t="shared" si="4"/>
        <v>12.16786682</v>
      </c>
      <c r="Y52" s="3">
        <f t="shared" si="5"/>
        <v>12.12172365</v>
      </c>
      <c r="Z52" s="3">
        <f t="shared" ref="Z52:AA52" si="55">_xlfn.NORM.S.DIST(X52)</f>
        <v>1</v>
      </c>
      <c r="AA52" s="3">
        <f t="shared" si="55"/>
        <v>1</v>
      </c>
    </row>
    <row r="53" ht="14.25" customHeight="1">
      <c r="A53" s="3" t="s">
        <v>154</v>
      </c>
      <c r="B53" s="3" t="s">
        <v>155</v>
      </c>
      <c r="C53" s="3" t="s">
        <v>129</v>
      </c>
      <c r="D53" s="3" t="s">
        <v>29</v>
      </c>
      <c r="E53" s="3">
        <v>16.0</v>
      </c>
      <c r="F53" s="3" t="s">
        <v>27</v>
      </c>
      <c r="G53" s="3">
        <v>12.0</v>
      </c>
      <c r="I53" s="3">
        <v>12.05</v>
      </c>
      <c r="K53" s="3">
        <v>12.0</v>
      </c>
      <c r="L53" s="3">
        <v>30.0</v>
      </c>
      <c r="M53" s="3" t="s">
        <v>82</v>
      </c>
      <c r="N53" s="3">
        <v>0.9997</v>
      </c>
      <c r="O53" s="3">
        <v>0.0</v>
      </c>
      <c r="P53" s="3">
        <v>0.0364</v>
      </c>
      <c r="Q53" s="3">
        <v>0.0</v>
      </c>
      <c r="R53" s="3">
        <v>0.2234</v>
      </c>
      <c r="S53" s="3">
        <v>28.040001</v>
      </c>
      <c r="T53" s="3">
        <v>24.0</v>
      </c>
      <c r="U53" s="3">
        <f t="shared" si="2"/>
        <v>12.025</v>
      </c>
      <c r="V53" s="3"/>
      <c r="W53" s="3">
        <f t="shared" si="3"/>
        <v>12.04106763</v>
      </c>
      <c r="X53" s="3">
        <f t="shared" si="4"/>
        <v>8.173255359</v>
      </c>
      <c r="Y53" s="3">
        <f t="shared" si="5"/>
        <v>8.104312623</v>
      </c>
      <c r="Z53" s="3">
        <f t="shared" ref="Z53:AA53" si="56">_xlfn.NORM.S.DIST(X53)</f>
        <v>1</v>
      </c>
      <c r="AA53" s="3">
        <f t="shared" si="56"/>
        <v>1</v>
      </c>
    </row>
    <row r="54" ht="14.25" customHeight="1">
      <c r="A54" s="3" t="s">
        <v>154</v>
      </c>
      <c r="B54" s="3" t="s">
        <v>155</v>
      </c>
      <c r="C54" s="3" t="s">
        <v>129</v>
      </c>
      <c r="D54" s="3" t="s">
        <v>29</v>
      </c>
      <c r="E54" s="3">
        <v>16.0</v>
      </c>
      <c r="F54" s="3" t="s">
        <v>27</v>
      </c>
      <c r="G54" s="3">
        <v>11.95</v>
      </c>
      <c r="I54" s="3">
        <v>12.05</v>
      </c>
      <c r="K54" s="3">
        <v>0.0</v>
      </c>
      <c r="L54" s="3">
        <v>42.0</v>
      </c>
      <c r="M54" s="3" t="s">
        <v>83</v>
      </c>
      <c r="N54" s="3">
        <v>0.9995</v>
      </c>
      <c r="O54" s="3">
        <v>0.0</v>
      </c>
      <c r="P54" s="3">
        <v>0.1176</v>
      </c>
      <c r="Q54" s="3">
        <v>0.0</v>
      </c>
      <c r="R54" s="3">
        <v>0.3023</v>
      </c>
      <c r="S54" s="3">
        <v>27.99</v>
      </c>
      <c r="T54" s="3">
        <v>23.0</v>
      </c>
      <c r="U54" s="3">
        <f t="shared" si="2"/>
        <v>12</v>
      </c>
      <c r="V54" s="3"/>
      <c r="W54" s="3">
        <f t="shared" si="3"/>
        <v>11.99102219</v>
      </c>
      <c r="X54" s="3">
        <f t="shared" si="4"/>
        <v>6.170020402</v>
      </c>
      <c r="Y54" s="3">
        <f t="shared" si="5"/>
        <v>6.078692854</v>
      </c>
      <c r="Z54" s="3">
        <f t="shared" ref="Z54:AA54" si="57">_xlfn.NORM.S.DIST(X54)</f>
        <v>0.9999999997</v>
      </c>
      <c r="AA54" s="3">
        <f t="shared" si="57"/>
        <v>0.9999999994</v>
      </c>
    </row>
    <row r="55" ht="14.25" customHeight="1">
      <c r="A55" s="3" t="s">
        <v>154</v>
      </c>
      <c r="B55" s="3" t="s">
        <v>155</v>
      </c>
      <c r="C55" s="3" t="s">
        <v>129</v>
      </c>
      <c r="D55" s="3" t="s">
        <v>29</v>
      </c>
      <c r="E55" s="3">
        <v>16.0</v>
      </c>
      <c r="F55" s="3" t="s">
        <v>27</v>
      </c>
      <c r="G55" s="3">
        <v>12.25</v>
      </c>
      <c r="I55" s="3">
        <v>12.35</v>
      </c>
      <c r="K55" s="3">
        <v>0.0</v>
      </c>
      <c r="L55" s="3">
        <v>42.0</v>
      </c>
      <c r="M55" s="3" t="s">
        <v>84</v>
      </c>
      <c r="N55" s="3">
        <v>0.9995</v>
      </c>
      <c r="O55" s="3">
        <v>0.0</v>
      </c>
      <c r="P55" s="3">
        <v>0.1338</v>
      </c>
      <c r="Q55" s="3">
        <v>0.0</v>
      </c>
      <c r="R55" s="3">
        <v>0.2576</v>
      </c>
      <c r="S55" s="3">
        <v>28.290001</v>
      </c>
      <c r="T55" s="3">
        <v>22.0</v>
      </c>
      <c r="U55" s="3">
        <f t="shared" si="2"/>
        <v>12.3</v>
      </c>
      <c r="V55" s="3"/>
      <c r="W55" s="3">
        <f t="shared" si="3"/>
        <v>12.29097875</v>
      </c>
      <c r="X55" s="3">
        <f t="shared" si="4"/>
        <v>7.526702398</v>
      </c>
      <c r="Y55" s="3">
        <f t="shared" si="5"/>
        <v>7.450589733</v>
      </c>
      <c r="Z55" s="3">
        <f t="shared" ref="Z55:AA55" si="58">_xlfn.NORM.S.DIST(X55)</f>
        <v>1</v>
      </c>
      <c r="AA55" s="3">
        <f t="shared" si="58"/>
        <v>1</v>
      </c>
    </row>
    <row r="56" ht="14.25" customHeight="1">
      <c r="A56" s="3" t="s">
        <v>154</v>
      </c>
      <c r="B56" s="3" t="s">
        <v>155</v>
      </c>
      <c r="C56" s="3" t="s">
        <v>129</v>
      </c>
      <c r="D56" s="3" t="s">
        <v>29</v>
      </c>
      <c r="E56" s="3">
        <v>16.0</v>
      </c>
      <c r="F56" s="3" t="s">
        <v>27</v>
      </c>
      <c r="G56" s="3">
        <v>12.1</v>
      </c>
      <c r="I56" s="3">
        <v>12.15</v>
      </c>
      <c r="K56" s="3">
        <v>0.0</v>
      </c>
      <c r="L56" s="3">
        <v>42.0</v>
      </c>
      <c r="M56" s="3" t="s">
        <v>85</v>
      </c>
      <c r="N56" s="3">
        <v>0.9994</v>
      </c>
      <c r="O56" s="3">
        <v>0.0</v>
      </c>
      <c r="P56" s="3">
        <v>0.1497</v>
      </c>
      <c r="Q56" s="3">
        <v>0.0</v>
      </c>
      <c r="R56" s="3">
        <v>0.1275</v>
      </c>
      <c r="S56" s="3">
        <v>28.110001</v>
      </c>
      <c r="T56" s="3">
        <v>21.0</v>
      </c>
      <c r="U56" s="3">
        <f t="shared" si="2"/>
        <v>12.125</v>
      </c>
      <c r="V56" s="3"/>
      <c r="W56" s="3">
        <f t="shared" si="3"/>
        <v>12.11093431</v>
      </c>
      <c r="X56" s="3">
        <f t="shared" si="4"/>
        <v>15.33095566</v>
      </c>
      <c r="Y56" s="3">
        <f t="shared" si="5"/>
        <v>15.29414958</v>
      </c>
      <c r="Z56" s="3">
        <f t="shared" ref="Z56:AA56" si="59">_xlfn.NORM.S.DIST(X56)</f>
        <v>1</v>
      </c>
      <c r="AA56" s="3">
        <f t="shared" si="59"/>
        <v>1</v>
      </c>
    </row>
    <row r="57" ht="14.25" customHeight="1">
      <c r="A57" s="3" t="s">
        <v>154</v>
      </c>
      <c r="B57" s="3" t="s">
        <v>155</v>
      </c>
      <c r="C57" s="3" t="s">
        <v>129</v>
      </c>
      <c r="D57" s="3" t="s">
        <v>29</v>
      </c>
      <c r="E57" s="3">
        <v>16.0</v>
      </c>
      <c r="F57" s="3" t="s">
        <v>27</v>
      </c>
      <c r="G57" s="3">
        <v>12.35</v>
      </c>
      <c r="I57" s="3">
        <v>12.4</v>
      </c>
      <c r="K57" s="3">
        <v>12.0</v>
      </c>
      <c r="L57" s="3">
        <v>42.0</v>
      </c>
      <c r="M57" s="3" t="s">
        <v>86</v>
      </c>
      <c r="N57" s="3">
        <v>0.9995</v>
      </c>
      <c r="O57" s="3">
        <v>0.0</v>
      </c>
      <c r="P57" s="3">
        <v>0.154</v>
      </c>
      <c r="Q57" s="3">
        <v>0.0</v>
      </c>
      <c r="R57" s="3">
        <v>0.179</v>
      </c>
      <c r="S57" s="3">
        <v>28.379999</v>
      </c>
      <c r="T57" s="3">
        <v>20.0</v>
      </c>
      <c r="U57" s="3">
        <f t="shared" si="2"/>
        <v>12.375</v>
      </c>
      <c r="V57" s="3"/>
      <c r="W57" s="3">
        <f t="shared" si="3"/>
        <v>12.38088786</v>
      </c>
      <c r="X57" s="3">
        <f t="shared" si="4"/>
        <v>11.39105675</v>
      </c>
      <c r="Y57" s="3">
        <f t="shared" si="5"/>
        <v>11.34062921</v>
      </c>
      <c r="Z57" s="3">
        <f t="shared" ref="Z57:AA57" si="60">_xlfn.NORM.S.DIST(X57)</f>
        <v>1</v>
      </c>
      <c r="AA57" s="3">
        <f t="shared" si="60"/>
        <v>1</v>
      </c>
    </row>
    <row r="58" ht="14.25" customHeight="1">
      <c r="A58" s="3" t="s">
        <v>154</v>
      </c>
      <c r="B58" s="3" t="s">
        <v>155</v>
      </c>
      <c r="C58" s="3" t="s">
        <v>129</v>
      </c>
      <c r="D58" s="3" t="s">
        <v>29</v>
      </c>
      <c r="E58" s="3">
        <v>16.0</v>
      </c>
      <c r="F58" s="3" t="s">
        <v>27</v>
      </c>
      <c r="G58" s="3">
        <v>12.15</v>
      </c>
      <c r="I58" s="3">
        <v>12.2</v>
      </c>
      <c r="K58" s="3">
        <v>0.0</v>
      </c>
      <c r="L58" s="3">
        <v>42.0</v>
      </c>
      <c r="M58" s="3" t="s">
        <v>87</v>
      </c>
      <c r="N58" s="3">
        <v>1.0</v>
      </c>
      <c r="O58" s="3">
        <v>0.0</v>
      </c>
      <c r="P58" s="3">
        <v>-0.0451</v>
      </c>
      <c r="Q58" s="3">
        <v>0.0</v>
      </c>
      <c r="R58" s="3">
        <v>0.1899</v>
      </c>
      <c r="S58" s="3">
        <v>28.16</v>
      </c>
      <c r="T58" s="3">
        <v>19.0</v>
      </c>
      <c r="U58" s="3">
        <f t="shared" si="2"/>
        <v>12.175</v>
      </c>
      <c r="V58" s="3"/>
      <c r="W58" s="3">
        <f t="shared" si="3"/>
        <v>12.16084442</v>
      </c>
      <c r="X58" s="3">
        <f t="shared" si="4"/>
        <v>10.86855217</v>
      </c>
      <c r="Y58" s="3">
        <f t="shared" si="5"/>
        <v>10.81640851</v>
      </c>
      <c r="Z58" s="3">
        <f t="shared" ref="Z58:AA58" si="61">_xlfn.NORM.S.DIST(X58)</f>
        <v>1</v>
      </c>
      <c r="AA58" s="3">
        <f t="shared" si="61"/>
        <v>1</v>
      </c>
    </row>
    <row r="59" ht="14.25" customHeight="1">
      <c r="A59" s="3" t="s">
        <v>154</v>
      </c>
      <c r="B59" s="3" t="s">
        <v>155</v>
      </c>
      <c r="C59" s="3" t="s">
        <v>129</v>
      </c>
      <c r="D59" s="3" t="s">
        <v>29</v>
      </c>
      <c r="E59" s="3">
        <v>16.0</v>
      </c>
      <c r="F59" s="3" t="s">
        <v>27</v>
      </c>
      <c r="G59" s="3">
        <v>12.55</v>
      </c>
      <c r="I59" s="3">
        <v>12.65</v>
      </c>
      <c r="K59" s="3">
        <v>0.0</v>
      </c>
      <c r="L59" s="3">
        <v>42.0</v>
      </c>
      <c r="M59" s="3" t="s">
        <v>88</v>
      </c>
      <c r="N59" s="3">
        <v>1.0</v>
      </c>
      <c r="O59" s="3">
        <v>0.0</v>
      </c>
      <c r="P59" s="3">
        <v>-0.0451</v>
      </c>
      <c r="Q59" s="3">
        <v>0.0</v>
      </c>
      <c r="R59" s="3">
        <v>0.197</v>
      </c>
      <c r="S59" s="3">
        <v>28.6</v>
      </c>
      <c r="T59" s="3">
        <v>18.0</v>
      </c>
      <c r="U59" s="3">
        <f t="shared" si="2"/>
        <v>12.6</v>
      </c>
      <c r="V59" s="3"/>
      <c r="W59" s="3">
        <f t="shared" si="3"/>
        <v>12.60079998</v>
      </c>
      <c r="X59" s="3">
        <f t="shared" si="4"/>
        <v>11.05885836</v>
      </c>
      <c r="Y59" s="3">
        <f t="shared" si="5"/>
        <v>11.0062079</v>
      </c>
      <c r="Z59" s="3">
        <f t="shared" ref="Z59:AA59" si="62">_xlfn.NORM.S.DIST(X59)</f>
        <v>1</v>
      </c>
      <c r="AA59" s="3">
        <f t="shared" si="62"/>
        <v>1</v>
      </c>
    </row>
    <row r="60" ht="14.25" customHeight="1">
      <c r="A60" s="3" t="s">
        <v>154</v>
      </c>
      <c r="B60" s="3" t="s">
        <v>155</v>
      </c>
      <c r="C60" s="3" t="s">
        <v>129</v>
      </c>
      <c r="D60" s="3" t="s">
        <v>29</v>
      </c>
      <c r="E60" s="3">
        <v>16.0</v>
      </c>
      <c r="F60" s="3" t="s">
        <v>27</v>
      </c>
      <c r="G60" s="3">
        <v>12.6</v>
      </c>
      <c r="I60" s="3">
        <v>12.65</v>
      </c>
      <c r="K60" s="3">
        <v>0.0</v>
      </c>
      <c r="L60" s="3">
        <v>42.0</v>
      </c>
      <c r="M60" s="3" t="s">
        <v>89</v>
      </c>
      <c r="N60" s="3">
        <v>1.0</v>
      </c>
      <c r="O60" s="3">
        <v>0.0</v>
      </c>
      <c r="P60" s="3">
        <v>-0.0451</v>
      </c>
      <c r="Q60" s="3">
        <v>0.0</v>
      </c>
      <c r="R60" s="3">
        <v>0.1516</v>
      </c>
      <c r="S60" s="3">
        <v>28.639999</v>
      </c>
      <c r="T60" s="3">
        <v>17.0</v>
      </c>
      <c r="U60" s="3">
        <f t="shared" si="2"/>
        <v>12.625</v>
      </c>
      <c r="V60" s="3"/>
      <c r="W60" s="3">
        <f t="shared" si="3"/>
        <v>12.64075454</v>
      </c>
      <c r="X60" s="3">
        <f t="shared" si="4"/>
        <v>14.80721829</v>
      </c>
      <c r="Y60" s="3">
        <f t="shared" si="5"/>
        <v>14.76784304</v>
      </c>
      <c r="Z60" s="3">
        <f t="shared" ref="Z60:AA60" si="63">_xlfn.NORM.S.DIST(X60)</f>
        <v>1</v>
      </c>
      <c r="AA60" s="3">
        <f t="shared" si="63"/>
        <v>1</v>
      </c>
    </row>
    <row r="61" ht="14.25" customHeight="1">
      <c r="A61" s="3" t="s">
        <v>154</v>
      </c>
      <c r="B61" s="3" t="s">
        <v>155</v>
      </c>
      <c r="C61" s="3" t="s">
        <v>129</v>
      </c>
      <c r="D61" s="3" t="s">
        <v>29</v>
      </c>
      <c r="E61" s="3">
        <v>16.0</v>
      </c>
      <c r="F61" s="3" t="s">
        <v>27</v>
      </c>
      <c r="G61" s="3">
        <v>12.8</v>
      </c>
      <c r="I61" s="3">
        <v>12.9</v>
      </c>
      <c r="K61" s="3">
        <v>0.0</v>
      </c>
      <c r="L61" s="3">
        <v>42.0</v>
      </c>
      <c r="M61" s="3" t="s">
        <v>90</v>
      </c>
      <c r="N61" s="3">
        <v>0.9995</v>
      </c>
      <c r="O61" s="3">
        <v>0.0</v>
      </c>
      <c r="P61" s="3">
        <v>0.184</v>
      </c>
      <c r="Q61" s="3">
        <v>0.0</v>
      </c>
      <c r="R61" s="3">
        <v>0.1601</v>
      </c>
      <c r="S61" s="3">
        <v>28.860001</v>
      </c>
      <c r="T61" s="3">
        <v>16.0</v>
      </c>
      <c r="U61" s="3">
        <f t="shared" si="2"/>
        <v>12.85</v>
      </c>
      <c r="V61" s="3"/>
      <c r="W61" s="3">
        <f t="shared" si="3"/>
        <v>12.8607121</v>
      </c>
      <c r="X61" s="3">
        <f t="shared" si="4"/>
        <v>14.64316822</v>
      </c>
      <c r="Y61" s="3">
        <f t="shared" si="5"/>
        <v>14.60282681</v>
      </c>
      <c r="Z61" s="3">
        <f t="shared" ref="Z61:AA61" si="64">_xlfn.NORM.S.DIST(X61)</f>
        <v>1</v>
      </c>
      <c r="AA61" s="3">
        <f t="shared" si="64"/>
        <v>1</v>
      </c>
    </row>
    <row r="62" ht="14.25" customHeight="1">
      <c r="A62" s="3" t="s">
        <v>154</v>
      </c>
      <c r="B62" s="3" t="s">
        <v>155</v>
      </c>
      <c r="C62" s="3" t="s">
        <v>129</v>
      </c>
      <c r="D62" s="3" t="s">
        <v>29</v>
      </c>
      <c r="E62" s="3">
        <v>16.0</v>
      </c>
      <c r="F62" s="3" t="s">
        <v>27</v>
      </c>
      <c r="G62" s="3">
        <v>12.75</v>
      </c>
      <c r="I62" s="3">
        <v>12.85</v>
      </c>
      <c r="K62" s="3">
        <v>0.0</v>
      </c>
      <c r="L62" s="3">
        <v>42.0</v>
      </c>
      <c r="M62" s="3" t="s">
        <v>91</v>
      </c>
      <c r="N62" s="3">
        <v>0.9996</v>
      </c>
      <c r="O62" s="3">
        <v>0.0</v>
      </c>
      <c r="P62" s="3">
        <v>0.2091</v>
      </c>
      <c r="Q62" s="3">
        <v>0.0</v>
      </c>
      <c r="R62" s="3">
        <v>0.1853</v>
      </c>
      <c r="S62" s="3">
        <v>28.84</v>
      </c>
      <c r="T62" s="3">
        <v>15.0</v>
      </c>
      <c r="U62" s="3">
        <f t="shared" si="2"/>
        <v>12.8</v>
      </c>
      <c r="V62" s="3"/>
      <c r="W62" s="3">
        <f t="shared" si="3"/>
        <v>12.84066665</v>
      </c>
      <c r="X62" s="3">
        <f t="shared" si="4"/>
        <v>13.05589079</v>
      </c>
      <c r="Y62" s="3">
        <f t="shared" si="5"/>
        <v>13.01068222</v>
      </c>
      <c r="Z62" s="3">
        <f t="shared" ref="Z62:AA62" si="65">_xlfn.NORM.S.DIST(X62)</f>
        <v>1</v>
      </c>
      <c r="AA62" s="3">
        <f t="shared" si="65"/>
        <v>1</v>
      </c>
    </row>
    <row r="63" ht="14.25" customHeight="1">
      <c r="A63" s="3" t="s">
        <v>154</v>
      </c>
      <c r="B63" s="3" t="s">
        <v>155</v>
      </c>
      <c r="C63" s="3" t="s">
        <v>129</v>
      </c>
      <c r="D63" s="3" t="s">
        <v>29</v>
      </c>
      <c r="E63" s="3">
        <v>16.0</v>
      </c>
      <c r="F63" s="3" t="s">
        <v>27</v>
      </c>
      <c r="G63" s="3">
        <v>13.1</v>
      </c>
      <c r="I63" s="3">
        <v>13.25</v>
      </c>
      <c r="K63" s="3">
        <v>0.0</v>
      </c>
      <c r="L63" s="3">
        <v>42.0</v>
      </c>
      <c r="M63" s="3" t="s">
        <v>92</v>
      </c>
      <c r="N63" s="3">
        <v>0.9996</v>
      </c>
      <c r="O63" s="3">
        <v>0.0</v>
      </c>
      <c r="P63" s="3">
        <v>0.2125</v>
      </c>
      <c r="Q63" s="3">
        <v>0.0</v>
      </c>
      <c r="R63" s="3">
        <v>0.2075</v>
      </c>
      <c r="S63" s="3">
        <v>29.23</v>
      </c>
      <c r="T63" s="3">
        <v>14.0</v>
      </c>
      <c r="U63" s="3">
        <f t="shared" si="2"/>
        <v>13.175</v>
      </c>
      <c r="V63" s="3"/>
      <c r="W63" s="3">
        <f t="shared" si="3"/>
        <v>13.23062221</v>
      </c>
      <c r="X63" s="3">
        <f t="shared" si="4"/>
        <v>12.34642693</v>
      </c>
      <c r="Y63" s="3">
        <f t="shared" si="5"/>
        <v>12.29751871</v>
      </c>
      <c r="Z63" s="3">
        <f t="shared" ref="Z63:AA63" si="66">_xlfn.NORM.S.DIST(X63)</f>
        <v>1</v>
      </c>
      <c r="AA63" s="3">
        <f t="shared" si="66"/>
        <v>1</v>
      </c>
    </row>
    <row r="64" ht="14.25" customHeight="1">
      <c r="A64" s="3" t="s">
        <v>154</v>
      </c>
      <c r="B64" s="3" t="s">
        <v>155</v>
      </c>
      <c r="C64" s="3" t="s">
        <v>129</v>
      </c>
      <c r="D64" s="3" t="s">
        <v>29</v>
      </c>
      <c r="E64" s="3">
        <v>16.0</v>
      </c>
      <c r="F64" s="3" t="s">
        <v>27</v>
      </c>
      <c r="G64" s="3">
        <v>12.95</v>
      </c>
      <c r="I64" s="3">
        <v>13.15</v>
      </c>
      <c r="K64" s="3">
        <v>0.0</v>
      </c>
      <c r="L64" s="3">
        <v>42.0</v>
      </c>
      <c r="M64" s="3" t="s">
        <v>93</v>
      </c>
      <c r="N64" s="3">
        <v>0.9996</v>
      </c>
      <c r="O64" s="3">
        <v>0.0</v>
      </c>
      <c r="P64" s="3">
        <v>0.2108</v>
      </c>
      <c r="Q64" s="3">
        <v>0.0</v>
      </c>
      <c r="R64" s="3">
        <v>0.222</v>
      </c>
      <c r="S64" s="3">
        <v>29.030001</v>
      </c>
      <c r="T64" s="3">
        <v>13.0</v>
      </c>
      <c r="U64" s="3">
        <f t="shared" si="2"/>
        <v>13.05</v>
      </c>
      <c r="V64" s="3"/>
      <c r="W64" s="3">
        <f t="shared" si="3"/>
        <v>13.03057877</v>
      </c>
      <c r="X64" s="3">
        <f t="shared" si="4"/>
        <v>11.84091245</v>
      </c>
      <c r="Y64" s="3">
        <f t="shared" si="5"/>
        <v>11.79048995</v>
      </c>
      <c r="Z64" s="3">
        <f t="shared" ref="Z64:AA64" si="67">_xlfn.NORM.S.DIST(X64)</f>
        <v>1</v>
      </c>
      <c r="AA64" s="3">
        <f t="shared" si="67"/>
        <v>1</v>
      </c>
    </row>
    <row r="65" ht="14.25" customHeight="1">
      <c r="A65" s="3" t="s">
        <v>154</v>
      </c>
      <c r="B65" s="3" t="s">
        <v>155</v>
      </c>
      <c r="C65" s="3" t="s">
        <v>129</v>
      </c>
      <c r="D65" s="3" t="s">
        <v>29</v>
      </c>
      <c r="E65" s="3">
        <v>16.0</v>
      </c>
      <c r="F65" s="3" t="s">
        <v>27</v>
      </c>
      <c r="G65" s="3">
        <v>13.05</v>
      </c>
      <c r="I65" s="3">
        <v>13.2</v>
      </c>
      <c r="K65" s="3">
        <v>0.0</v>
      </c>
      <c r="L65" s="3">
        <v>42.0</v>
      </c>
      <c r="M65" s="3" t="s">
        <v>94</v>
      </c>
      <c r="N65" s="3">
        <v>0.9996</v>
      </c>
      <c r="O65" s="3">
        <v>0.0</v>
      </c>
      <c r="P65" s="3">
        <v>0.2119</v>
      </c>
      <c r="Q65" s="3">
        <v>0.0</v>
      </c>
      <c r="R65" s="3">
        <v>0.2267</v>
      </c>
      <c r="S65" s="3">
        <v>29.16</v>
      </c>
      <c r="T65" s="3">
        <v>12.0</v>
      </c>
      <c r="U65" s="3">
        <f t="shared" si="2"/>
        <v>13.125</v>
      </c>
      <c r="V65" s="3"/>
      <c r="W65" s="3">
        <f t="shared" si="3"/>
        <v>13.16053332</v>
      </c>
      <c r="X65" s="3">
        <f t="shared" si="4"/>
        <v>12.15820114</v>
      </c>
      <c r="Y65" s="3">
        <f t="shared" si="5"/>
        <v>12.10873115</v>
      </c>
      <c r="Z65" s="3">
        <f t="shared" ref="Z65:AA65" si="68">_xlfn.NORM.S.DIST(X65)</f>
        <v>1</v>
      </c>
      <c r="AA65" s="3">
        <f t="shared" si="68"/>
        <v>1</v>
      </c>
    </row>
    <row r="66" ht="14.25" customHeight="1">
      <c r="A66" s="3" t="s">
        <v>154</v>
      </c>
      <c r="B66" s="3" t="s">
        <v>155</v>
      </c>
      <c r="C66" s="3" t="s">
        <v>129</v>
      </c>
      <c r="D66" s="3" t="s">
        <v>29</v>
      </c>
      <c r="E66" s="3">
        <v>16.0</v>
      </c>
      <c r="F66" s="3" t="s">
        <v>27</v>
      </c>
      <c r="G66" s="3">
        <v>12.1</v>
      </c>
      <c r="I66" s="3">
        <v>13.15</v>
      </c>
      <c r="K66" s="3">
        <v>0.0</v>
      </c>
      <c r="L66" s="3">
        <v>42.0</v>
      </c>
      <c r="M66" s="3" t="s">
        <v>95</v>
      </c>
      <c r="N66" s="3">
        <v>0.9997</v>
      </c>
      <c r="O66" s="3">
        <v>0.0</v>
      </c>
      <c r="P66" s="3">
        <v>0.2114</v>
      </c>
      <c r="Q66" s="3">
        <v>0.0</v>
      </c>
      <c r="R66" s="3">
        <v>0.3168</v>
      </c>
      <c r="S66" s="3">
        <v>29.1</v>
      </c>
      <c r="T66" s="3">
        <v>11.0</v>
      </c>
      <c r="U66" s="3">
        <f t="shared" si="2"/>
        <v>12.625</v>
      </c>
      <c r="V66" s="3"/>
      <c r="W66" s="3">
        <f t="shared" si="3"/>
        <v>13.10048888</v>
      </c>
      <c r="X66" s="3">
        <f t="shared" si="4"/>
        <v>9.070642814</v>
      </c>
      <c r="Y66" s="3">
        <f t="shared" si="5"/>
        <v>9.004454511</v>
      </c>
      <c r="Z66" s="3">
        <f t="shared" ref="Z66:AA66" si="69">_xlfn.NORM.S.DIST(X66)</f>
        <v>1</v>
      </c>
      <c r="AA66" s="3">
        <f t="shared" si="69"/>
        <v>1</v>
      </c>
    </row>
    <row r="67" ht="14.25" customHeight="1">
      <c r="A67" s="3" t="s">
        <v>154</v>
      </c>
      <c r="B67" s="3" t="s">
        <v>155</v>
      </c>
      <c r="C67" s="3" t="s">
        <v>129</v>
      </c>
      <c r="D67" s="3" t="s">
        <v>29</v>
      </c>
      <c r="E67" s="3">
        <v>16.0</v>
      </c>
      <c r="F67" s="3" t="s">
        <v>27</v>
      </c>
      <c r="G67" s="3">
        <v>13.15</v>
      </c>
      <c r="I67" s="3">
        <v>13.2</v>
      </c>
      <c r="K67" s="3">
        <v>0.0</v>
      </c>
      <c r="L67" s="3">
        <v>42.0</v>
      </c>
      <c r="M67" s="3" t="s">
        <v>96</v>
      </c>
      <c r="N67" s="3">
        <v>1.0</v>
      </c>
      <c r="O67" s="3">
        <v>0.0</v>
      </c>
      <c r="P67" s="3">
        <v>-0.0444</v>
      </c>
      <c r="Q67" s="3">
        <v>0.0</v>
      </c>
      <c r="R67" s="3">
        <v>0.2485</v>
      </c>
      <c r="S67" s="3">
        <v>29.16</v>
      </c>
      <c r="T67" s="3">
        <v>10.0</v>
      </c>
      <c r="U67" s="3">
        <f t="shared" si="2"/>
        <v>13.175</v>
      </c>
      <c r="V67" s="3"/>
      <c r="W67" s="3">
        <f t="shared" si="3"/>
        <v>13.16044444</v>
      </c>
      <c r="X67" s="3">
        <f t="shared" si="4"/>
        <v>12.15016624</v>
      </c>
      <c r="Y67" s="3">
        <f t="shared" si="5"/>
        <v>12.10066385</v>
      </c>
      <c r="Z67" s="3">
        <f t="shared" ref="Z67:AA67" si="70">_xlfn.NORM.S.DIST(X67)</f>
        <v>1</v>
      </c>
      <c r="AA67" s="3">
        <f t="shared" si="70"/>
        <v>1</v>
      </c>
    </row>
    <row r="68" ht="14.25" customHeight="1">
      <c r="A68" s="3" t="s">
        <v>154</v>
      </c>
      <c r="B68" s="3" t="s">
        <v>155</v>
      </c>
      <c r="C68" s="3" t="s">
        <v>129</v>
      </c>
      <c r="D68" s="3" t="s">
        <v>29</v>
      </c>
      <c r="E68" s="3">
        <v>16.0</v>
      </c>
      <c r="F68" s="3" t="s">
        <v>27</v>
      </c>
      <c r="G68" s="3">
        <v>13.1</v>
      </c>
      <c r="I68" s="3">
        <v>13.15</v>
      </c>
      <c r="K68" s="3">
        <v>0.0</v>
      </c>
      <c r="L68" s="3">
        <v>42.0</v>
      </c>
      <c r="M68" s="3" t="s">
        <v>97</v>
      </c>
      <c r="N68" s="3">
        <v>1.0</v>
      </c>
      <c r="O68" s="3">
        <v>0.0</v>
      </c>
      <c r="P68" s="3">
        <v>-0.0444</v>
      </c>
      <c r="Q68" s="3">
        <v>0.0</v>
      </c>
      <c r="R68" s="3">
        <v>0.3393</v>
      </c>
      <c r="S68" s="3">
        <v>29.110001</v>
      </c>
      <c r="T68" s="3">
        <v>9.0</v>
      </c>
      <c r="U68" s="3">
        <f t="shared" si="2"/>
        <v>13.125</v>
      </c>
      <c r="V68" s="3"/>
      <c r="W68" s="3">
        <f t="shared" si="3"/>
        <v>13.110401</v>
      </c>
      <c r="X68" s="3">
        <f t="shared" si="4"/>
        <v>9.366160265</v>
      </c>
      <c r="Y68" s="3">
        <f t="shared" si="5"/>
        <v>9.302038592</v>
      </c>
      <c r="Z68" s="3">
        <f t="shared" ref="Z68:AA68" si="71">_xlfn.NORM.S.DIST(X68)</f>
        <v>1</v>
      </c>
      <c r="AA68" s="3">
        <f t="shared" si="71"/>
        <v>1</v>
      </c>
    </row>
    <row r="69" ht="14.25" customHeight="1">
      <c r="A69" s="3" t="s">
        <v>154</v>
      </c>
      <c r="B69" s="3" t="s">
        <v>155</v>
      </c>
      <c r="C69" s="3" t="s">
        <v>129</v>
      </c>
      <c r="D69" s="3" t="s">
        <v>29</v>
      </c>
      <c r="E69" s="3">
        <v>16.0</v>
      </c>
      <c r="F69" s="3" t="s">
        <v>27</v>
      </c>
      <c r="G69" s="3">
        <v>13.9</v>
      </c>
      <c r="I69" s="3">
        <v>13.95</v>
      </c>
      <c r="K69" s="3">
        <v>0.0</v>
      </c>
      <c r="L69" s="3">
        <v>42.0</v>
      </c>
      <c r="M69" s="3" t="s">
        <v>98</v>
      </c>
      <c r="N69" s="3">
        <v>1.0</v>
      </c>
      <c r="O69" s="3">
        <v>0.0</v>
      </c>
      <c r="P69" s="3">
        <v>-0.0444</v>
      </c>
      <c r="Q69" s="3">
        <v>0.0</v>
      </c>
      <c r="R69" s="3">
        <v>0.2424</v>
      </c>
      <c r="S69" s="3">
        <v>29.92</v>
      </c>
      <c r="T69" s="3">
        <v>8.0</v>
      </c>
      <c r="U69" s="3">
        <f t="shared" si="2"/>
        <v>13.925</v>
      </c>
      <c r="V69" s="3"/>
      <c r="W69" s="3">
        <f t="shared" si="3"/>
        <v>13.92035555</v>
      </c>
      <c r="X69" s="3">
        <f t="shared" si="4"/>
        <v>14.51497529</v>
      </c>
      <c r="Y69" s="3">
        <f t="shared" si="5"/>
        <v>14.47178587</v>
      </c>
      <c r="Z69" s="3">
        <f t="shared" ref="Z69:AA69" si="72">_xlfn.NORM.S.DIST(X69)</f>
        <v>1</v>
      </c>
      <c r="AA69" s="3">
        <f t="shared" si="72"/>
        <v>1</v>
      </c>
    </row>
    <row r="70" ht="14.25" customHeight="1">
      <c r="A70" s="3" t="s">
        <v>154</v>
      </c>
      <c r="B70" s="3" t="s">
        <v>155</v>
      </c>
      <c r="C70" s="3" t="s">
        <v>129</v>
      </c>
      <c r="D70" s="3" t="s">
        <v>29</v>
      </c>
      <c r="E70" s="3">
        <v>16.0</v>
      </c>
      <c r="F70" s="3" t="s">
        <v>27</v>
      </c>
      <c r="G70" s="3">
        <v>14.6</v>
      </c>
      <c r="I70" s="3">
        <v>14.65</v>
      </c>
      <c r="K70" s="3">
        <v>0.0</v>
      </c>
      <c r="L70" s="3">
        <v>42.0</v>
      </c>
      <c r="M70" s="3" t="s">
        <v>99</v>
      </c>
      <c r="N70" s="3">
        <v>1.0</v>
      </c>
      <c r="O70" s="3">
        <v>0.0</v>
      </c>
      <c r="P70" s="3">
        <v>-0.0444</v>
      </c>
      <c r="Q70" s="3">
        <v>0.0</v>
      </c>
      <c r="R70" s="3">
        <v>0.165</v>
      </c>
      <c r="S70" s="3">
        <v>30.639999</v>
      </c>
      <c r="T70" s="3">
        <v>7.0</v>
      </c>
      <c r="U70" s="3">
        <f t="shared" si="2"/>
        <v>14.625</v>
      </c>
      <c r="V70" s="3"/>
      <c r="W70" s="3">
        <f t="shared" si="3"/>
        <v>14.64031011</v>
      </c>
      <c r="X70" s="3">
        <f t="shared" si="4"/>
        <v>23.64055125</v>
      </c>
      <c r="Y70" s="3">
        <f t="shared" si="5"/>
        <v>23.61305125</v>
      </c>
      <c r="Z70" s="3">
        <f t="shared" ref="Z70:AA70" si="73">_xlfn.NORM.S.DIST(X70)</f>
        <v>1</v>
      </c>
      <c r="AA70" s="3">
        <f t="shared" si="73"/>
        <v>1</v>
      </c>
    </row>
    <row r="71" ht="14.25" customHeight="1">
      <c r="A71" s="3" t="s">
        <v>154</v>
      </c>
      <c r="B71" s="3" t="s">
        <v>155</v>
      </c>
      <c r="C71" s="3" t="s">
        <v>129</v>
      </c>
      <c r="D71" s="3" t="s">
        <v>29</v>
      </c>
      <c r="E71" s="3">
        <v>16.0</v>
      </c>
      <c r="F71" s="3" t="s">
        <v>27</v>
      </c>
      <c r="G71" s="3">
        <v>14.65</v>
      </c>
      <c r="I71" s="3">
        <v>14.7</v>
      </c>
      <c r="K71" s="3">
        <v>0.0</v>
      </c>
      <c r="L71" s="3">
        <v>42.0</v>
      </c>
      <c r="M71" s="3" t="s">
        <v>100</v>
      </c>
      <c r="N71" s="3">
        <v>1.0</v>
      </c>
      <c r="O71" s="3">
        <v>0.0</v>
      </c>
      <c r="P71" s="3">
        <v>-0.0444</v>
      </c>
      <c r="Q71" s="3">
        <v>0.0</v>
      </c>
      <c r="R71" s="3">
        <v>0.1857</v>
      </c>
      <c r="S71" s="3">
        <v>30.67</v>
      </c>
      <c r="T71" s="3">
        <v>6.0</v>
      </c>
      <c r="U71" s="3">
        <f t="shared" si="2"/>
        <v>14.675</v>
      </c>
      <c r="V71" s="3"/>
      <c r="W71" s="3">
        <f t="shared" si="3"/>
        <v>14.67026666</v>
      </c>
      <c r="X71" s="3">
        <f t="shared" si="4"/>
        <v>22.72354473</v>
      </c>
      <c r="Y71" s="3">
        <f t="shared" si="5"/>
        <v>22.6948906</v>
      </c>
      <c r="Z71" s="3">
        <f t="shared" ref="Z71:AA71" si="74">_xlfn.NORM.S.DIST(X71)</f>
        <v>1</v>
      </c>
      <c r="AA71" s="3">
        <f t="shared" si="74"/>
        <v>1</v>
      </c>
    </row>
    <row r="72" ht="14.25" customHeight="1">
      <c r="A72" s="3" t="s">
        <v>154</v>
      </c>
      <c r="B72" s="3" t="s">
        <v>155</v>
      </c>
      <c r="C72" s="3" t="s">
        <v>129</v>
      </c>
      <c r="D72" s="3" t="s">
        <v>29</v>
      </c>
      <c r="E72" s="3">
        <v>16.0</v>
      </c>
      <c r="F72" s="3" t="s">
        <v>27</v>
      </c>
      <c r="G72" s="3">
        <v>14.4</v>
      </c>
      <c r="I72" s="3">
        <v>14.5</v>
      </c>
      <c r="K72" s="3">
        <v>0.0</v>
      </c>
      <c r="L72" s="3">
        <v>42.0</v>
      </c>
      <c r="M72" s="3" t="s">
        <v>101</v>
      </c>
      <c r="N72" s="3">
        <v>1.0</v>
      </c>
      <c r="O72" s="3">
        <v>0.0</v>
      </c>
      <c r="P72" s="3">
        <v>-0.0444</v>
      </c>
      <c r="Q72" s="3">
        <v>0.0</v>
      </c>
      <c r="R72" s="3">
        <v>0.2403</v>
      </c>
      <c r="S72" s="3">
        <v>30.450001</v>
      </c>
      <c r="T72" s="3">
        <v>5.0</v>
      </c>
      <c r="U72" s="3">
        <f t="shared" si="2"/>
        <v>14.45</v>
      </c>
      <c r="V72" s="3"/>
      <c r="W72" s="3">
        <f t="shared" si="3"/>
        <v>14.45022322</v>
      </c>
      <c r="X72" s="3">
        <f t="shared" si="4"/>
        <v>19.02847759</v>
      </c>
      <c r="Y72" s="3">
        <f t="shared" si="5"/>
        <v>18.99462916</v>
      </c>
      <c r="Z72" s="3">
        <f t="shared" ref="Z72:AA72" si="75">_xlfn.NORM.S.DIST(X72)</f>
        <v>1</v>
      </c>
      <c r="AA72" s="3">
        <f t="shared" si="75"/>
        <v>1</v>
      </c>
    </row>
    <row r="73" ht="14.25" customHeight="1">
      <c r="A73" s="3" t="s">
        <v>154</v>
      </c>
      <c r="B73" s="3" t="s">
        <v>155</v>
      </c>
      <c r="C73" s="3" t="s">
        <v>129</v>
      </c>
      <c r="D73" s="3" t="s">
        <v>29</v>
      </c>
      <c r="E73" s="3">
        <v>16.0</v>
      </c>
      <c r="F73" s="3" t="s">
        <v>27</v>
      </c>
      <c r="G73" s="3">
        <v>14.9</v>
      </c>
      <c r="I73" s="3">
        <v>15.0</v>
      </c>
      <c r="K73" s="3">
        <v>0.0</v>
      </c>
      <c r="L73" s="3">
        <v>42.0</v>
      </c>
      <c r="M73" s="3" t="s">
        <v>102</v>
      </c>
      <c r="N73" s="3">
        <v>1.0</v>
      </c>
      <c r="O73" s="3">
        <v>0.0</v>
      </c>
      <c r="P73" s="3">
        <v>-0.0444</v>
      </c>
      <c r="Q73" s="3">
        <v>0.0</v>
      </c>
      <c r="R73" s="3">
        <v>0.2141</v>
      </c>
      <c r="S73" s="3">
        <v>30.940001</v>
      </c>
      <c r="T73" s="3">
        <v>4.0</v>
      </c>
      <c r="U73" s="3">
        <f t="shared" si="2"/>
        <v>14.95</v>
      </c>
      <c r="V73" s="3"/>
      <c r="W73" s="3">
        <f t="shared" si="3"/>
        <v>14.94017878</v>
      </c>
      <c r="X73" s="3">
        <f t="shared" si="4"/>
        <v>24.46187022</v>
      </c>
      <c r="Y73" s="3">
        <f t="shared" si="5"/>
        <v>24.43489615</v>
      </c>
      <c r="Z73" s="3">
        <f t="shared" ref="Z73:AA73" si="76">_xlfn.NORM.S.DIST(X73)</f>
        <v>1</v>
      </c>
      <c r="AA73" s="3">
        <f t="shared" si="76"/>
        <v>1</v>
      </c>
    </row>
    <row r="74" ht="14.25" customHeight="1">
      <c r="A74" s="3" t="s">
        <v>154</v>
      </c>
      <c r="B74" s="3" t="s">
        <v>155</v>
      </c>
      <c r="C74" s="3" t="s">
        <v>129</v>
      </c>
      <c r="D74" s="3" t="s">
        <v>29</v>
      </c>
      <c r="E74" s="3">
        <v>16.0</v>
      </c>
      <c r="F74" s="3" t="s">
        <v>27</v>
      </c>
      <c r="G74" s="3">
        <v>14.8</v>
      </c>
      <c r="I74" s="3">
        <v>14.9</v>
      </c>
      <c r="K74" s="3">
        <v>0.0</v>
      </c>
      <c r="L74" s="3">
        <v>42.0</v>
      </c>
      <c r="M74" s="3" t="s">
        <v>103</v>
      </c>
      <c r="N74" s="3">
        <v>1.0</v>
      </c>
      <c r="O74" s="3">
        <v>0.0</v>
      </c>
      <c r="P74" s="3">
        <v>-0.0444</v>
      </c>
      <c r="Q74" s="3">
        <v>0.0</v>
      </c>
      <c r="R74" s="3">
        <v>0.3348</v>
      </c>
      <c r="S74" s="3">
        <v>30.870001</v>
      </c>
      <c r="T74" s="3">
        <v>3.0</v>
      </c>
      <c r="U74" s="3">
        <f t="shared" si="2"/>
        <v>14.85</v>
      </c>
      <c r="V74" s="3"/>
      <c r="W74" s="3">
        <f t="shared" si="3"/>
        <v>14.87013433</v>
      </c>
      <c r="X74" s="3">
        <f t="shared" si="4"/>
        <v>18.00924026</v>
      </c>
      <c r="Y74" s="3">
        <f t="shared" si="5"/>
        <v>17.97271059</v>
      </c>
      <c r="Z74" s="3">
        <f t="shared" ref="Z74:AA74" si="77">_xlfn.NORM.S.DIST(X74)</f>
        <v>1</v>
      </c>
      <c r="AA74" s="3">
        <f t="shared" si="77"/>
        <v>1</v>
      </c>
    </row>
    <row r="75" ht="14.25" customHeight="1">
      <c r="A75" s="3" t="s">
        <v>154</v>
      </c>
      <c r="B75" s="3" t="s">
        <v>155</v>
      </c>
      <c r="C75" s="3" t="s">
        <v>129</v>
      </c>
      <c r="D75" s="3" t="s">
        <v>29</v>
      </c>
      <c r="E75" s="3">
        <v>16.0</v>
      </c>
      <c r="F75" s="3" t="s">
        <v>27</v>
      </c>
      <c r="G75" s="3">
        <v>14.55</v>
      </c>
      <c r="I75" s="3">
        <v>14.6</v>
      </c>
      <c r="K75" s="3">
        <v>0.0</v>
      </c>
      <c r="L75" s="3">
        <v>30.0</v>
      </c>
      <c r="M75" s="3" t="s">
        <v>104</v>
      </c>
      <c r="N75" s="3">
        <v>1.0</v>
      </c>
      <c r="O75" s="3">
        <v>0.0</v>
      </c>
      <c r="P75" s="3">
        <v>-0.0444</v>
      </c>
      <c r="Q75" s="3">
        <v>0.0</v>
      </c>
      <c r="R75" s="3">
        <v>0.2294</v>
      </c>
      <c r="S75" s="3">
        <v>30.59</v>
      </c>
      <c r="T75" s="3">
        <v>2.0</v>
      </c>
      <c r="U75" s="3">
        <f t="shared" si="2"/>
        <v>14.575</v>
      </c>
      <c r="V75" s="3"/>
      <c r="W75" s="3">
        <f t="shared" si="3"/>
        <v>14.59008889</v>
      </c>
      <c r="X75" s="3">
        <f t="shared" si="4"/>
        <v>31.72247684</v>
      </c>
      <c r="Y75" s="3">
        <f t="shared" si="5"/>
        <v>31.70204026</v>
      </c>
      <c r="Z75" s="3">
        <f t="shared" ref="Z75:AA75" si="78">_xlfn.NORM.S.DIST(X75)</f>
        <v>1</v>
      </c>
      <c r="AA75" s="3">
        <f t="shared" si="78"/>
        <v>1</v>
      </c>
    </row>
    <row r="76" ht="14.25" customHeight="1">
      <c r="A76" s="3" t="s">
        <v>154</v>
      </c>
      <c r="B76" s="3" t="s">
        <v>155</v>
      </c>
      <c r="C76" s="3" t="s">
        <v>129</v>
      </c>
      <c r="D76" s="3" t="s">
        <v>29</v>
      </c>
      <c r="E76" s="3">
        <v>16.0</v>
      </c>
      <c r="F76" s="3" t="s">
        <v>27</v>
      </c>
      <c r="G76" s="3">
        <v>15.0</v>
      </c>
      <c r="I76" s="3">
        <v>15.1</v>
      </c>
      <c r="K76" s="3">
        <v>0.0</v>
      </c>
      <c r="L76" s="3">
        <v>30.0</v>
      </c>
      <c r="M76" s="3" t="s">
        <v>105</v>
      </c>
      <c r="N76" s="3">
        <v>1.0</v>
      </c>
      <c r="O76" s="3">
        <v>0.0</v>
      </c>
      <c r="P76" s="3">
        <v>-0.0444</v>
      </c>
      <c r="Q76" s="3">
        <v>0.0</v>
      </c>
      <c r="R76" s="3">
        <v>0.8204</v>
      </c>
      <c r="S76" s="3">
        <v>31.059999</v>
      </c>
      <c r="T76" s="3">
        <v>1.0</v>
      </c>
      <c r="U76" s="3">
        <f t="shared" si="2"/>
        <v>15.05</v>
      </c>
      <c r="V76" s="3"/>
      <c r="W76" s="3">
        <f t="shared" si="3"/>
        <v>15.06004344</v>
      </c>
      <c r="X76" s="3">
        <f t="shared" si="4"/>
        <v>12.86118165</v>
      </c>
      <c r="Y76" s="3">
        <f t="shared" si="5"/>
        <v>12.80950131</v>
      </c>
      <c r="Z76" s="3">
        <f t="shared" ref="Z76:AA76" si="79">_xlfn.NORM.S.DIST(X76)</f>
        <v>1</v>
      </c>
      <c r="AA76" s="3">
        <f t="shared" si="79"/>
        <v>1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156</v>
      </c>
      <c r="B2" s="3" t="s">
        <v>157</v>
      </c>
      <c r="C2" s="3" t="s">
        <v>132</v>
      </c>
      <c r="D2" s="3" t="s">
        <v>29</v>
      </c>
      <c r="E2" s="3">
        <v>5.0</v>
      </c>
      <c r="F2" s="3" t="s">
        <v>27</v>
      </c>
      <c r="G2" s="3">
        <v>14.5</v>
      </c>
      <c r="I2" s="3">
        <v>17.95</v>
      </c>
      <c r="K2" s="3">
        <v>0.0</v>
      </c>
      <c r="L2" s="3">
        <v>0.0</v>
      </c>
      <c r="M2" s="3" t="s">
        <v>30</v>
      </c>
      <c r="N2" s="3">
        <v>0.9944</v>
      </c>
      <c r="O2" s="3">
        <v>0.0</v>
      </c>
      <c r="P2" s="3">
        <v>0.5827</v>
      </c>
      <c r="Q2" s="3">
        <v>0.0</v>
      </c>
      <c r="R2" s="3">
        <v>0.5474</v>
      </c>
      <c r="S2" s="3">
        <v>21.34</v>
      </c>
      <c r="T2" s="3">
        <v>51.0</v>
      </c>
      <c r="U2" s="3">
        <f t="shared" ref="U2:U52" si="2">(I2+G2)*0.5</f>
        <v>16.225</v>
      </c>
      <c r="V2" s="3"/>
      <c r="W2" s="3">
        <f t="shared" ref="W2:W52" si="3">( S2*Z2 ) - ( E2 * EXP(-0.0007*T2/$AC$2) * AA2)</f>
        <v>16.34070828</v>
      </c>
      <c r="X2" s="3">
        <f t="shared" ref="X2:X52" si="4">((LN(S2/E2) + (0.0007 + (R2^2)/2) * T2/$AC$2)) / (R2 * SQRT(T2/$AC$2))</f>
        <v>6.016498606</v>
      </c>
      <c r="Y2" s="3">
        <f t="shared" ref="Y2:Y52" si="5">X2-(R2*SQRT(T2/$AC$2))</f>
        <v>5.770241024</v>
      </c>
      <c r="Z2" s="3">
        <f t="shared" ref="Z2:AA2" si="1">_xlfn.NORM.S.DIST(X2)</f>
        <v>0.9999999991</v>
      </c>
      <c r="AA2" s="3">
        <f t="shared" si="1"/>
        <v>0.999999996</v>
      </c>
      <c r="AC2" s="6">
        <v>252.0</v>
      </c>
    </row>
    <row r="3" ht="14.25" customHeight="1">
      <c r="A3" s="3" t="s">
        <v>156</v>
      </c>
      <c r="B3" s="3" t="s">
        <v>157</v>
      </c>
      <c r="C3" s="3" t="s">
        <v>132</v>
      </c>
      <c r="D3" s="3" t="s">
        <v>29</v>
      </c>
      <c r="E3" s="3">
        <v>5.0</v>
      </c>
      <c r="F3" s="3" t="s">
        <v>27</v>
      </c>
      <c r="G3" s="3">
        <v>14.65</v>
      </c>
      <c r="I3" s="3">
        <v>18.0</v>
      </c>
      <c r="K3" s="3">
        <v>0.0</v>
      </c>
      <c r="L3" s="3">
        <v>0.0</v>
      </c>
      <c r="M3" s="3" t="s">
        <v>31</v>
      </c>
      <c r="N3" s="3">
        <v>1.0</v>
      </c>
      <c r="O3" s="3">
        <v>0.0</v>
      </c>
      <c r="P3" s="3">
        <v>-0.0151</v>
      </c>
      <c r="Q3" s="3">
        <v>0.0</v>
      </c>
      <c r="R3" s="3">
        <v>0.2421</v>
      </c>
      <c r="S3" s="3">
        <v>21.1</v>
      </c>
      <c r="T3" s="3">
        <v>50.0</v>
      </c>
      <c r="U3" s="3">
        <f t="shared" si="2"/>
        <v>16.325</v>
      </c>
      <c r="V3" s="3"/>
      <c r="W3" s="3">
        <f t="shared" si="3"/>
        <v>16.1006944</v>
      </c>
      <c r="X3" s="3">
        <f t="shared" si="4"/>
        <v>13.40680575</v>
      </c>
      <c r="Y3" s="3">
        <f t="shared" si="5"/>
        <v>13.29896584</v>
      </c>
      <c r="Z3" s="3">
        <f t="shared" ref="Z3:AA3" si="6">_xlfn.NORM.S.DIST(X3)</f>
        <v>1</v>
      </c>
      <c r="AA3" s="3">
        <f t="shared" si="6"/>
        <v>1</v>
      </c>
    </row>
    <row r="4" ht="14.25" customHeight="1">
      <c r="A4" s="3" t="s">
        <v>156</v>
      </c>
      <c r="B4" s="3" t="s">
        <v>157</v>
      </c>
      <c r="C4" s="3" t="s">
        <v>132</v>
      </c>
      <c r="D4" s="3" t="s">
        <v>29</v>
      </c>
      <c r="E4" s="3">
        <v>5.0</v>
      </c>
      <c r="F4" s="3" t="s">
        <v>27</v>
      </c>
      <c r="G4" s="3">
        <v>14.65</v>
      </c>
      <c r="I4" s="3">
        <v>17.8</v>
      </c>
      <c r="K4" s="3">
        <v>0.0</v>
      </c>
      <c r="L4" s="3">
        <v>0.0</v>
      </c>
      <c r="M4" s="3" t="s">
        <v>32</v>
      </c>
      <c r="N4" s="3">
        <v>1.0</v>
      </c>
      <c r="O4" s="3">
        <v>0.0</v>
      </c>
      <c r="P4" s="3">
        <v>-0.0151</v>
      </c>
      <c r="Q4" s="3">
        <v>0.0</v>
      </c>
      <c r="R4" s="3">
        <v>0.2152</v>
      </c>
      <c r="S4" s="3">
        <v>21.200001</v>
      </c>
      <c r="T4" s="3">
        <v>49.0</v>
      </c>
      <c r="U4" s="3">
        <f t="shared" si="2"/>
        <v>16.225</v>
      </c>
      <c r="V4" s="3"/>
      <c r="W4" s="3">
        <f t="shared" si="3"/>
        <v>16.20068151</v>
      </c>
      <c r="X4" s="3">
        <f t="shared" si="4"/>
        <v>15.27175173</v>
      </c>
      <c r="Y4" s="3">
        <f t="shared" si="5"/>
        <v>15.17685744</v>
      </c>
      <c r="Z4" s="3">
        <f t="shared" ref="Z4:AA4" si="7">_xlfn.NORM.S.DIST(X4)</f>
        <v>1</v>
      </c>
      <c r="AA4" s="3">
        <f t="shared" si="7"/>
        <v>1</v>
      </c>
    </row>
    <row r="5" ht="14.25" customHeight="1">
      <c r="A5" s="3" t="s">
        <v>156</v>
      </c>
      <c r="B5" s="3" t="s">
        <v>157</v>
      </c>
      <c r="C5" s="3" t="s">
        <v>132</v>
      </c>
      <c r="D5" s="3" t="s">
        <v>29</v>
      </c>
      <c r="E5" s="3">
        <v>5.0</v>
      </c>
      <c r="F5" s="3" t="s">
        <v>27</v>
      </c>
      <c r="G5" s="3">
        <v>14.55</v>
      </c>
      <c r="I5" s="3">
        <v>17.75</v>
      </c>
      <c r="K5" s="3">
        <v>0.0</v>
      </c>
      <c r="L5" s="3">
        <v>0.0</v>
      </c>
      <c r="M5" s="3" t="s">
        <v>33</v>
      </c>
      <c r="N5" s="3">
        <v>1.0</v>
      </c>
      <c r="O5" s="3">
        <v>0.0</v>
      </c>
      <c r="P5" s="3">
        <v>-0.0151</v>
      </c>
      <c r="Q5" s="3">
        <v>0.0</v>
      </c>
      <c r="R5" s="3">
        <v>0.2139</v>
      </c>
      <c r="S5" s="3">
        <v>21.129999</v>
      </c>
      <c r="T5" s="3">
        <v>48.0</v>
      </c>
      <c r="U5" s="3">
        <f t="shared" si="2"/>
        <v>16.15</v>
      </c>
      <c r="V5" s="3"/>
      <c r="W5" s="3">
        <f t="shared" si="3"/>
        <v>16.13066562</v>
      </c>
      <c r="X5" s="3">
        <f t="shared" si="4"/>
        <v>15.48677765</v>
      </c>
      <c r="Y5" s="3">
        <f t="shared" si="5"/>
        <v>15.39342403</v>
      </c>
      <c r="Z5" s="3">
        <f t="shared" ref="Z5:AA5" si="8">_xlfn.NORM.S.DIST(X5)</f>
        <v>1</v>
      </c>
      <c r="AA5" s="3">
        <f t="shared" si="8"/>
        <v>1</v>
      </c>
    </row>
    <row r="6" ht="14.25" customHeight="1">
      <c r="A6" s="3" t="s">
        <v>156</v>
      </c>
      <c r="B6" s="3" t="s">
        <v>157</v>
      </c>
      <c r="C6" s="3" t="s">
        <v>132</v>
      </c>
      <c r="D6" s="3" t="s">
        <v>29</v>
      </c>
      <c r="E6" s="3">
        <v>5.0</v>
      </c>
      <c r="F6" s="3" t="s">
        <v>27</v>
      </c>
      <c r="G6" s="3">
        <v>14.3</v>
      </c>
      <c r="I6" s="3">
        <v>17.45</v>
      </c>
      <c r="K6" s="3">
        <v>0.0</v>
      </c>
      <c r="L6" s="3">
        <v>0.0</v>
      </c>
      <c r="M6" s="3" t="s">
        <v>34</v>
      </c>
      <c r="N6" s="3">
        <v>1.0</v>
      </c>
      <c r="O6" s="3">
        <v>0.0</v>
      </c>
      <c r="P6" s="3">
        <v>-0.0151</v>
      </c>
      <c r="Q6" s="3">
        <v>0.0</v>
      </c>
      <c r="R6" s="3">
        <v>0.226</v>
      </c>
      <c r="S6" s="3">
        <v>20.9</v>
      </c>
      <c r="T6" s="3">
        <v>47.0</v>
      </c>
      <c r="U6" s="3">
        <f t="shared" si="2"/>
        <v>15.875</v>
      </c>
      <c r="V6" s="3"/>
      <c r="W6" s="3">
        <f t="shared" si="3"/>
        <v>15.90065274</v>
      </c>
      <c r="X6" s="3">
        <f t="shared" si="4"/>
        <v>14.70472114</v>
      </c>
      <c r="Y6" s="3">
        <f t="shared" si="5"/>
        <v>14.60711951</v>
      </c>
      <c r="Z6" s="3">
        <f t="shared" ref="Z6:AA6" si="9">_xlfn.NORM.S.DIST(X6)</f>
        <v>1</v>
      </c>
      <c r="AA6" s="3">
        <f t="shared" si="9"/>
        <v>1</v>
      </c>
    </row>
    <row r="7" ht="14.25" customHeight="1">
      <c r="A7" s="3" t="s">
        <v>156</v>
      </c>
      <c r="B7" s="3" t="s">
        <v>157</v>
      </c>
      <c r="C7" s="3" t="s">
        <v>132</v>
      </c>
      <c r="D7" s="3" t="s">
        <v>29</v>
      </c>
      <c r="E7" s="3">
        <v>5.0</v>
      </c>
      <c r="F7" s="3" t="s">
        <v>27</v>
      </c>
      <c r="G7" s="3">
        <v>14.45</v>
      </c>
      <c r="I7" s="3">
        <v>17.6</v>
      </c>
      <c r="K7" s="3">
        <v>0.0</v>
      </c>
      <c r="L7" s="3">
        <v>0.0</v>
      </c>
      <c r="M7" s="3" t="s">
        <v>35</v>
      </c>
      <c r="N7" s="3">
        <v>1.0</v>
      </c>
      <c r="O7" s="3">
        <v>0.0</v>
      </c>
      <c r="P7" s="3">
        <v>-0.0151</v>
      </c>
      <c r="Q7" s="3">
        <v>0.0</v>
      </c>
      <c r="R7" s="3">
        <v>0.2451</v>
      </c>
      <c r="S7" s="3">
        <v>20.950001</v>
      </c>
      <c r="T7" s="3">
        <v>46.0</v>
      </c>
      <c r="U7" s="3">
        <f t="shared" si="2"/>
        <v>16.025</v>
      </c>
      <c r="V7" s="3"/>
      <c r="W7" s="3">
        <f t="shared" si="3"/>
        <v>15.95063985</v>
      </c>
      <c r="X7" s="3">
        <f t="shared" si="4"/>
        <v>13.73507381</v>
      </c>
      <c r="Y7" s="3">
        <f t="shared" si="5"/>
        <v>13.63035566</v>
      </c>
      <c r="Z7" s="3">
        <f t="shared" ref="Z7:AA7" si="10">_xlfn.NORM.S.DIST(X7)</f>
        <v>1</v>
      </c>
      <c r="AA7" s="3">
        <f t="shared" si="10"/>
        <v>1</v>
      </c>
    </row>
    <row r="8" ht="14.25" customHeight="1">
      <c r="A8" s="3" t="s">
        <v>156</v>
      </c>
      <c r="B8" s="3" t="s">
        <v>157</v>
      </c>
      <c r="C8" s="3" t="s">
        <v>132</v>
      </c>
      <c r="D8" s="3" t="s">
        <v>29</v>
      </c>
      <c r="E8" s="3">
        <v>5.0</v>
      </c>
      <c r="F8" s="3" t="s">
        <v>27</v>
      </c>
      <c r="G8" s="3">
        <v>14.4</v>
      </c>
      <c r="I8" s="3">
        <v>17.7</v>
      </c>
      <c r="K8" s="3">
        <v>0.0</v>
      </c>
      <c r="L8" s="3">
        <v>0.0</v>
      </c>
      <c r="M8" s="3" t="s">
        <v>36</v>
      </c>
      <c r="N8" s="3">
        <v>1.0</v>
      </c>
      <c r="O8" s="3">
        <v>0.0</v>
      </c>
      <c r="P8" s="3">
        <v>-0.0151</v>
      </c>
      <c r="Q8" s="3">
        <v>0.0</v>
      </c>
      <c r="R8" s="3">
        <v>0.2368</v>
      </c>
      <c r="S8" s="3">
        <v>21.17</v>
      </c>
      <c r="T8" s="3">
        <v>45.0</v>
      </c>
      <c r="U8" s="3">
        <f t="shared" si="2"/>
        <v>16.05</v>
      </c>
      <c r="V8" s="3"/>
      <c r="W8" s="3">
        <f t="shared" si="3"/>
        <v>16.17062496</v>
      </c>
      <c r="X8" s="3">
        <f t="shared" si="4"/>
        <v>14.47319753</v>
      </c>
      <c r="Y8" s="3">
        <f t="shared" si="5"/>
        <v>14.37313126</v>
      </c>
      <c r="Z8" s="3">
        <f t="shared" ref="Z8:AA8" si="11">_xlfn.NORM.S.DIST(X8)</f>
        <v>1</v>
      </c>
      <c r="AA8" s="3">
        <f t="shared" si="11"/>
        <v>1</v>
      </c>
    </row>
    <row r="9" ht="14.25" customHeight="1">
      <c r="A9" s="3" t="s">
        <v>156</v>
      </c>
      <c r="B9" s="3" t="s">
        <v>157</v>
      </c>
      <c r="C9" s="3" t="s">
        <v>132</v>
      </c>
      <c r="D9" s="3" t="s">
        <v>29</v>
      </c>
      <c r="E9" s="3">
        <v>5.0</v>
      </c>
      <c r="F9" s="3" t="s">
        <v>27</v>
      </c>
      <c r="G9" s="3">
        <v>15.7</v>
      </c>
      <c r="I9" s="3">
        <v>16.65</v>
      </c>
      <c r="K9" s="3">
        <v>0.0</v>
      </c>
      <c r="L9" s="3">
        <v>0.0</v>
      </c>
      <c r="M9" s="3" t="s">
        <v>37</v>
      </c>
      <c r="N9" s="3">
        <v>1.0</v>
      </c>
      <c r="O9" s="3">
        <v>0.0</v>
      </c>
      <c r="P9" s="3">
        <v>-0.0151</v>
      </c>
      <c r="Q9" s="3">
        <v>0.0</v>
      </c>
      <c r="R9" s="3">
        <v>0.2216</v>
      </c>
      <c r="S9" s="3">
        <v>21.129999</v>
      </c>
      <c r="T9" s="3">
        <v>44.0</v>
      </c>
      <c r="U9" s="3">
        <f t="shared" si="2"/>
        <v>16.175</v>
      </c>
      <c r="V9" s="3"/>
      <c r="W9" s="3">
        <f t="shared" si="3"/>
        <v>16.13061007</v>
      </c>
      <c r="X9" s="3">
        <f t="shared" si="4"/>
        <v>15.61248001</v>
      </c>
      <c r="Y9" s="3">
        <f t="shared" si="5"/>
        <v>15.51988324</v>
      </c>
      <c r="Z9" s="3">
        <f t="shared" ref="Z9:AA9" si="12">_xlfn.NORM.S.DIST(X9)</f>
        <v>1</v>
      </c>
      <c r="AA9" s="3">
        <f t="shared" si="12"/>
        <v>1</v>
      </c>
    </row>
    <row r="10" ht="14.25" customHeight="1">
      <c r="A10" s="3" t="s">
        <v>156</v>
      </c>
      <c r="B10" s="3" t="s">
        <v>157</v>
      </c>
      <c r="C10" s="3" t="s">
        <v>132</v>
      </c>
      <c r="D10" s="3" t="s">
        <v>29</v>
      </c>
      <c r="E10" s="3">
        <v>5.0</v>
      </c>
      <c r="F10" s="3" t="s">
        <v>27</v>
      </c>
      <c r="G10" s="3">
        <v>14.6</v>
      </c>
      <c r="I10" s="3">
        <v>17.75</v>
      </c>
      <c r="K10" s="3">
        <v>0.0</v>
      </c>
      <c r="L10" s="3">
        <v>0.0</v>
      </c>
      <c r="M10" s="3" t="s">
        <v>38</v>
      </c>
      <c r="N10" s="3">
        <v>0.9953</v>
      </c>
      <c r="O10" s="3">
        <v>0.0</v>
      </c>
      <c r="P10" s="3">
        <v>0.5797</v>
      </c>
      <c r="Q10" s="3">
        <v>0.0</v>
      </c>
      <c r="R10" s="3">
        <v>0.5977</v>
      </c>
      <c r="S10" s="3">
        <v>21.120001</v>
      </c>
      <c r="T10" s="3">
        <v>43.0</v>
      </c>
      <c r="U10" s="3">
        <f t="shared" si="2"/>
        <v>16.175</v>
      </c>
      <c r="V10" s="3"/>
      <c r="W10" s="3">
        <f t="shared" si="3"/>
        <v>16.12059819</v>
      </c>
      <c r="X10" s="3">
        <f t="shared" si="4"/>
        <v>5.959475226</v>
      </c>
      <c r="Y10" s="3">
        <f t="shared" si="5"/>
        <v>5.71257743</v>
      </c>
      <c r="Z10" s="3">
        <f t="shared" ref="Z10:AA10" si="13">_xlfn.NORM.S.DIST(X10)</f>
        <v>0.9999999987</v>
      </c>
      <c r="AA10" s="3">
        <f t="shared" si="13"/>
        <v>0.9999999944</v>
      </c>
    </row>
    <row r="11" ht="14.25" customHeight="1">
      <c r="A11" s="3" t="s">
        <v>156</v>
      </c>
      <c r="B11" s="3" t="s">
        <v>157</v>
      </c>
      <c r="C11" s="3" t="s">
        <v>132</v>
      </c>
      <c r="D11" s="3" t="s">
        <v>29</v>
      </c>
      <c r="E11" s="3">
        <v>5.0</v>
      </c>
      <c r="F11" s="3" t="s">
        <v>27</v>
      </c>
      <c r="G11" s="3">
        <v>14.45</v>
      </c>
      <c r="I11" s="3">
        <v>17.25</v>
      </c>
      <c r="K11" s="3">
        <v>0.0</v>
      </c>
      <c r="L11" s="3">
        <v>0.0</v>
      </c>
      <c r="M11" s="3" t="s">
        <v>39</v>
      </c>
      <c r="N11" s="3">
        <v>0.9954</v>
      </c>
      <c r="O11" s="3">
        <v>0.0</v>
      </c>
      <c r="P11" s="3">
        <v>0.589</v>
      </c>
      <c r="Q11" s="3">
        <v>0.0</v>
      </c>
      <c r="R11" s="3">
        <v>0.5237</v>
      </c>
      <c r="S11" s="3">
        <v>21.200001</v>
      </c>
      <c r="T11" s="3">
        <v>42.0</v>
      </c>
      <c r="U11" s="3">
        <f t="shared" si="2"/>
        <v>15.85</v>
      </c>
      <c r="V11" s="3"/>
      <c r="W11" s="3">
        <f t="shared" si="3"/>
        <v>16.2005843</v>
      </c>
      <c r="X11" s="3">
        <f t="shared" si="4"/>
        <v>6.864067659</v>
      </c>
      <c r="Y11" s="3">
        <f t="shared" si="5"/>
        <v>6.65026803</v>
      </c>
      <c r="Z11" s="3">
        <f t="shared" ref="Z11:AA11" si="14">_xlfn.NORM.S.DIST(X11)</f>
        <v>1</v>
      </c>
      <c r="AA11" s="3">
        <f t="shared" si="14"/>
        <v>1</v>
      </c>
    </row>
    <row r="12" ht="14.25" customHeight="1">
      <c r="A12" s="3" t="s">
        <v>156</v>
      </c>
      <c r="B12" s="3" t="s">
        <v>157</v>
      </c>
      <c r="C12" s="3" t="s">
        <v>132</v>
      </c>
      <c r="D12" s="3" t="s">
        <v>29</v>
      </c>
      <c r="E12" s="3">
        <v>5.0</v>
      </c>
      <c r="F12" s="3" t="s">
        <v>27</v>
      </c>
      <c r="G12" s="3">
        <v>14.55</v>
      </c>
      <c r="I12" s="3">
        <v>17.75</v>
      </c>
      <c r="K12" s="3">
        <v>0.0</v>
      </c>
      <c r="L12" s="3">
        <v>0.0</v>
      </c>
      <c r="M12" s="3" t="s">
        <v>40</v>
      </c>
      <c r="N12" s="3">
        <v>0.9954</v>
      </c>
      <c r="O12" s="3">
        <v>0.0</v>
      </c>
      <c r="P12" s="3">
        <v>0.5948</v>
      </c>
      <c r="Q12" s="3">
        <v>0.0</v>
      </c>
      <c r="R12" s="3">
        <v>0.5374</v>
      </c>
      <c r="S12" s="3">
        <v>21.120001</v>
      </c>
      <c r="T12" s="3">
        <v>41.0</v>
      </c>
      <c r="U12" s="3">
        <f t="shared" si="2"/>
        <v>16.15</v>
      </c>
      <c r="V12" s="3"/>
      <c r="W12" s="3">
        <f t="shared" si="3"/>
        <v>16.12057041</v>
      </c>
      <c r="X12" s="3">
        <f t="shared" si="4"/>
        <v>6.75565471</v>
      </c>
      <c r="Y12" s="3">
        <f t="shared" si="5"/>
        <v>6.53888963</v>
      </c>
      <c r="Z12" s="3">
        <f t="shared" ref="Z12:AA12" si="15">_xlfn.NORM.S.DIST(X12)</f>
        <v>1</v>
      </c>
      <c r="AA12" s="3">
        <f t="shared" si="15"/>
        <v>1</v>
      </c>
    </row>
    <row r="13" ht="14.25" customHeight="1">
      <c r="A13" s="3" t="s">
        <v>156</v>
      </c>
      <c r="B13" s="3" t="s">
        <v>157</v>
      </c>
      <c r="C13" s="3" t="s">
        <v>132</v>
      </c>
      <c r="D13" s="3" t="s">
        <v>29</v>
      </c>
      <c r="E13" s="3">
        <v>5.0</v>
      </c>
      <c r="F13" s="3" t="s">
        <v>27</v>
      </c>
      <c r="G13" s="3">
        <v>14.6</v>
      </c>
      <c r="I13" s="3">
        <v>18.0</v>
      </c>
      <c r="K13" s="3">
        <v>0.0</v>
      </c>
      <c r="L13" s="3">
        <v>0.0</v>
      </c>
      <c r="M13" s="3" t="s">
        <v>41</v>
      </c>
      <c r="N13" s="3">
        <v>0.9954</v>
      </c>
      <c r="O13" s="3">
        <v>0.0</v>
      </c>
      <c r="P13" s="3">
        <v>0.6082</v>
      </c>
      <c r="Q13" s="3">
        <v>0.0</v>
      </c>
      <c r="R13" s="3">
        <v>0.6239</v>
      </c>
      <c r="S13" s="3">
        <v>21.299999</v>
      </c>
      <c r="T13" s="3">
        <v>40.0</v>
      </c>
      <c r="U13" s="3">
        <f t="shared" si="2"/>
        <v>16.3</v>
      </c>
      <c r="V13" s="3"/>
      <c r="W13" s="3">
        <f t="shared" si="3"/>
        <v>16.30055453</v>
      </c>
      <c r="X13" s="3">
        <f t="shared" si="4"/>
        <v>5.955211073</v>
      </c>
      <c r="Y13" s="3">
        <f t="shared" si="5"/>
        <v>5.706643363</v>
      </c>
      <c r="Z13" s="3">
        <f t="shared" ref="Z13:AA13" si="16">_xlfn.NORM.S.DIST(X13)</f>
        <v>0.9999999987</v>
      </c>
      <c r="AA13" s="3">
        <f t="shared" si="16"/>
        <v>0.9999999942</v>
      </c>
    </row>
    <row r="14" ht="14.25" customHeight="1">
      <c r="A14" s="3" t="s">
        <v>156</v>
      </c>
      <c r="B14" s="3" t="s">
        <v>157</v>
      </c>
      <c r="C14" s="3" t="s">
        <v>132</v>
      </c>
      <c r="D14" s="3" t="s">
        <v>29</v>
      </c>
      <c r="E14" s="3">
        <v>5.0</v>
      </c>
      <c r="F14" s="3" t="s">
        <v>27</v>
      </c>
      <c r="G14" s="3">
        <v>15.0</v>
      </c>
      <c r="I14" s="3">
        <v>18.55</v>
      </c>
      <c r="K14" s="3">
        <v>0.0</v>
      </c>
      <c r="L14" s="3">
        <v>0.0</v>
      </c>
      <c r="M14" s="3" t="s">
        <v>42</v>
      </c>
      <c r="N14" s="3">
        <v>0.9954</v>
      </c>
      <c r="O14" s="3">
        <v>0.0</v>
      </c>
      <c r="P14" s="3">
        <v>0.6357</v>
      </c>
      <c r="Q14" s="3">
        <v>0.0</v>
      </c>
      <c r="R14" s="3">
        <v>0.6019</v>
      </c>
      <c r="S14" s="3">
        <v>22.040001</v>
      </c>
      <c r="T14" s="3">
        <v>39.0</v>
      </c>
      <c r="U14" s="3">
        <f t="shared" si="2"/>
        <v>16.775</v>
      </c>
      <c r="V14" s="3"/>
      <c r="W14" s="3">
        <f t="shared" si="3"/>
        <v>17.04054264</v>
      </c>
      <c r="X14" s="3">
        <f t="shared" si="4"/>
        <v>6.383663158</v>
      </c>
      <c r="Y14" s="3">
        <f t="shared" si="5"/>
        <v>6.146876964</v>
      </c>
      <c r="Z14" s="3">
        <f t="shared" ref="Z14:AA14" si="17">_xlfn.NORM.S.DIST(X14)</f>
        <v>0.9999999999</v>
      </c>
      <c r="AA14" s="3">
        <f t="shared" si="17"/>
        <v>0.9999999996</v>
      </c>
    </row>
    <row r="15" ht="14.25" customHeight="1">
      <c r="A15" s="3" t="s">
        <v>156</v>
      </c>
      <c r="B15" s="3" t="s">
        <v>157</v>
      </c>
      <c r="C15" s="3" t="s">
        <v>132</v>
      </c>
      <c r="D15" s="3" t="s">
        <v>29</v>
      </c>
      <c r="E15" s="3">
        <v>5.0</v>
      </c>
      <c r="F15" s="3" t="s">
        <v>27</v>
      </c>
      <c r="G15" s="3">
        <v>15.3</v>
      </c>
      <c r="I15" s="3">
        <v>18.7</v>
      </c>
      <c r="K15" s="3">
        <v>0.0</v>
      </c>
      <c r="L15" s="3">
        <v>0.0</v>
      </c>
      <c r="M15" s="3" t="s">
        <v>43</v>
      </c>
      <c r="N15" s="3">
        <v>0.9957</v>
      </c>
      <c r="O15" s="3">
        <v>0.0</v>
      </c>
      <c r="P15" s="3">
        <v>0.6438</v>
      </c>
      <c r="Q15" s="3">
        <v>0.0</v>
      </c>
      <c r="R15" s="3">
        <v>0.5809</v>
      </c>
      <c r="S15" s="3">
        <v>22.01</v>
      </c>
      <c r="T15" s="3">
        <v>38.0</v>
      </c>
      <c r="U15" s="3">
        <f t="shared" si="2"/>
        <v>17</v>
      </c>
      <c r="V15" s="3"/>
      <c r="W15" s="3">
        <f t="shared" si="3"/>
        <v>17.01052775</v>
      </c>
      <c r="X15" s="3">
        <f t="shared" si="4"/>
        <v>6.683365077</v>
      </c>
      <c r="Y15" s="3">
        <f t="shared" si="5"/>
        <v>6.45778907</v>
      </c>
      <c r="Z15" s="3">
        <f t="shared" ref="Z15:AA15" si="18">_xlfn.NORM.S.DIST(X15)</f>
        <v>1</v>
      </c>
      <c r="AA15" s="3">
        <f t="shared" si="18"/>
        <v>0.9999999999</v>
      </c>
    </row>
    <row r="16" ht="14.25" customHeight="1">
      <c r="A16" s="3" t="s">
        <v>156</v>
      </c>
      <c r="B16" s="3" t="s">
        <v>157</v>
      </c>
      <c r="C16" s="3" t="s">
        <v>132</v>
      </c>
      <c r="D16" s="3" t="s">
        <v>29</v>
      </c>
      <c r="E16" s="3">
        <v>5.0</v>
      </c>
      <c r="F16" s="3" t="s">
        <v>27</v>
      </c>
      <c r="G16" s="3">
        <v>15.4</v>
      </c>
      <c r="I16" s="3">
        <v>18.55</v>
      </c>
      <c r="K16" s="3">
        <v>0.0</v>
      </c>
      <c r="L16" s="3">
        <v>0.0</v>
      </c>
      <c r="M16" s="3" t="s">
        <v>44</v>
      </c>
      <c r="N16" s="3">
        <v>0.9958</v>
      </c>
      <c r="O16" s="3">
        <v>0.0</v>
      </c>
      <c r="P16" s="3">
        <v>0.6445</v>
      </c>
      <c r="Q16" s="3">
        <v>0.0</v>
      </c>
      <c r="R16" s="3">
        <v>0.5843</v>
      </c>
      <c r="S16" s="3">
        <v>21.940001</v>
      </c>
      <c r="T16" s="3">
        <v>37.0</v>
      </c>
      <c r="U16" s="3">
        <f t="shared" si="2"/>
        <v>16.975</v>
      </c>
      <c r="V16" s="3"/>
      <c r="W16" s="3">
        <f t="shared" si="3"/>
        <v>16.94051486</v>
      </c>
      <c r="X16" s="3">
        <f t="shared" si="4"/>
        <v>6.71773535</v>
      </c>
      <c r="Y16" s="3">
        <f t="shared" si="5"/>
        <v>6.493844431</v>
      </c>
      <c r="Z16" s="3">
        <f t="shared" ref="Z16:AA16" si="19">_xlfn.NORM.S.DIST(X16)</f>
        <v>1</v>
      </c>
      <c r="AA16" s="3">
        <f t="shared" si="19"/>
        <v>1</v>
      </c>
    </row>
    <row r="17" ht="14.25" customHeight="1">
      <c r="A17" s="3" t="s">
        <v>156</v>
      </c>
      <c r="B17" s="3" t="s">
        <v>157</v>
      </c>
      <c r="C17" s="3" t="s">
        <v>132</v>
      </c>
      <c r="D17" s="3" t="s">
        <v>29</v>
      </c>
      <c r="E17" s="3">
        <v>5.0</v>
      </c>
      <c r="F17" s="3" t="s">
        <v>27</v>
      </c>
      <c r="G17" s="3">
        <v>15.4</v>
      </c>
      <c r="I17" s="3">
        <v>18.05</v>
      </c>
      <c r="K17" s="3">
        <v>0.0</v>
      </c>
      <c r="L17" s="3">
        <v>0.0</v>
      </c>
      <c r="M17" s="3" t="s">
        <v>45</v>
      </c>
      <c r="N17" s="3">
        <v>0.9956</v>
      </c>
      <c r="O17" s="3">
        <v>0.0</v>
      </c>
      <c r="P17" s="3">
        <v>0.6884</v>
      </c>
      <c r="Q17" s="3">
        <v>0.0</v>
      </c>
      <c r="R17" s="3">
        <v>0.6608</v>
      </c>
      <c r="S17" s="3">
        <v>22.049999</v>
      </c>
      <c r="T17" s="3">
        <v>36.0</v>
      </c>
      <c r="U17" s="3">
        <f t="shared" si="2"/>
        <v>16.725</v>
      </c>
      <c r="V17" s="3"/>
      <c r="W17" s="3">
        <f t="shared" si="3"/>
        <v>17.05049898</v>
      </c>
      <c r="X17" s="3">
        <f t="shared" si="4"/>
        <v>6.06650758</v>
      </c>
      <c r="Y17" s="3">
        <f t="shared" si="5"/>
        <v>5.816748656</v>
      </c>
      <c r="Z17" s="3">
        <f t="shared" ref="Z17:AA17" si="20">_xlfn.NORM.S.DIST(X17)</f>
        <v>0.9999999993</v>
      </c>
      <c r="AA17" s="3">
        <f t="shared" si="20"/>
        <v>0.999999997</v>
      </c>
    </row>
    <row r="18" ht="14.25" customHeight="1">
      <c r="A18" s="3" t="s">
        <v>156</v>
      </c>
      <c r="B18" s="3" t="s">
        <v>157</v>
      </c>
      <c r="C18" s="3" t="s">
        <v>132</v>
      </c>
      <c r="D18" s="3" t="s">
        <v>29</v>
      </c>
      <c r="E18" s="3">
        <v>5.0</v>
      </c>
      <c r="F18" s="3" t="s">
        <v>27</v>
      </c>
      <c r="G18" s="3">
        <v>15.6</v>
      </c>
      <c r="I18" s="3">
        <v>18.85</v>
      </c>
      <c r="K18" s="3">
        <v>0.0</v>
      </c>
      <c r="L18" s="3">
        <v>0.0</v>
      </c>
      <c r="M18" s="3" t="s">
        <v>46</v>
      </c>
      <c r="N18" s="3">
        <v>0.9954</v>
      </c>
      <c r="O18" s="3">
        <v>0.0</v>
      </c>
      <c r="P18" s="3">
        <v>0.7435</v>
      </c>
      <c r="Q18" s="3">
        <v>0.0</v>
      </c>
      <c r="R18" s="3">
        <v>0.632</v>
      </c>
      <c r="S18" s="3">
        <v>22.290001</v>
      </c>
      <c r="T18" s="3">
        <v>35.0</v>
      </c>
      <c r="U18" s="3">
        <f t="shared" si="2"/>
        <v>17.225</v>
      </c>
      <c r="V18" s="3"/>
      <c r="W18" s="3">
        <f t="shared" si="3"/>
        <v>17.29048709</v>
      </c>
      <c r="X18" s="3">
        <f t="shared" si="4"/>
        <v>6.464226045</v>
      </c>
      <c r="Y18" s="3">
        <f t="shared" si="5"/>
        <v>6.228693552</v>
      </c>
      <c r="Z18" s="3">
        <f t="shared" ref="Z18:AA18" si="21">_xlfn.NORM.S.DIST(X18)</f>
        <v>0.9999999999</v>
      </c>
      <c r="AA18" s="3">
        <f t="shared" si="21"/>
        <v>0.9999999998</v>
      </c>
    </row>
    <row r="19" ht="14.25" customHeight="1">
      <c r="A19" s="3" t="s">
        <v>156</v>
      </c>
      <c r="B19" s="3" t="s">
        <v>157</v>
      </c>
      <c r="C19" s="3" t="s">
        <v>132</v>
      </c>
      <c r="D19" s="3" t="s">
        <v>29</v>
      </c>
      <c r="E19" s="3">
        <v>5.0</v>
      </c>
      <c r="F19" s="3" t="s">
        <v>27</v>
      </c>
      <c r="G19" s="3">
        <v>15.8</v>
      </c>
      <c r="I19" s="3">
        <v>19.0</v>
      </c>
      <c r="K19" s="3">
        <v>0.0</v>
      </c>
      <c r="L19" s="3">
        <v>0.0</v>
      </c>
      <c r="M19" s="3" t="s">
        <v>47</v>
      </c>
      <c r="N19" s="3">
        <v>0.9951</v>
      </c>
      <c r="O19" s="3">
        <v>0.0</v>
      </c>
      <c r="P19" s="3">
        <v>0.8601</v>
      </c>
      <c r="Q19" s="3">
        <v>0.0</v>
      </c>
      <c r="R19" s="3">
        <v>0.7342</v>
      </c>
      <c r="S19" s="3">
        <v>22.5</v>
      </c>
      <c r="T19" s="3">
        <v>34.0</v>
      </c>
      <c r="U19" s="3">
        <f t="shared" si="2"/>
        <v>17.4</v>
      </c>
      <c r="V19" s="3"/>
      <c r="W19" s="3">
        <f t="shared" si="3"/>
        <v>17.50047221</v>
      </c>
      <c r="X19" s="3">
        <f t="shared" si="4"/>
        <v>5.712396813</v>
      </c>
      <c r="Y19" s="3">
        <f t="shared" si="5"/>
        <v>5.442713814</v>
      </c>
      <c r="Z19" s="3">
        <f t="shared" ref="Z19:AA19" si="22">_xlfn.NORM.S.DIST(X19)</f>
        <v>0.9999999944</v>
      </c>
      <c r="AA19" s="3">
        <f t="shared" si="22"/>
        <v>0.9999999738</v>
      </c>
    </row>
    <row r="20" ht="14.25" customHeight="1">
      <c r="A20" s="3" t="s">
        <v>156</v>
      </c>
      <c r="B20" s="3" t="s">
        <v>157</v>
      </c>
      <c r="C20" s="3" t="s">
        <v>132</v>
      </c>
      <c r="D20" s="3" t="s">
        <v>29</v>
      </c>
      <c r="E20" s="3">
        <v>5.0</v>
      </c>
      <c r="F20" s="3" t="s">
        <v>27</v>
      </c>
      <c r="G20" s="3">
        <v>15.95</v>
      </c>
      <c r="I20" s="3">
        <v>19.05</v>
      </c>
      <c r="K20" s="3">
        <v>0.0</v>
      </c>
      <c r="L20" s="3">
        <v>0.0</v>
      </c>
      <c r="M20" s="3" t="s">
        <v>48</v>
      </c>
      <c r="N20" s="3">
        <v>0.9948</v>
      </c>
      <c r="O20" s="3">
        <v>0.0</v>
      </c>
      <c r="P20" s="3">
        <v>0.9216</v>
      </c>
      <c r="Q20" s="3">
        <v>0.0</v>
      </c>
      <c r="R20" s="3">
        <v>0.7086</v>
      </c>
      <c r="S20" s="3">
        <v>22.5</v>
      </c>
      <c r="T20" s="3">
        <v>33.0</v>
      </c>
      <c r="U20" s="3">
        <f t="shared" si="2"/>
        <v>17.5</v>
      </c>
      <c r="V20" s="3"/>
      <c r="W20" s="3">
        <f t="shared" si="3"/>
        <v>17.50045831</v>
      </c>
      <c r="X20" s="3">
        <f t="shared" si="4"/>
        <v>5.994167806</v>
      </c>
      <c r="Y20" s="3">
        <f t="shared" si="5"/>
        <v>5.737744292</v>
      </c>
      <c r="Z20" s="3">
        <f t="shared" ref="Z20:AA20" si="23">_xlfn.NORM.S.DIST(X20)</f>
        <v>0.999999999</v>
      </c>
      <c r="AA20" s="3">
        <f t="shared" si="23"/>
        <v>0.9999999952</v>
      </c>
    </row>
    <row r="21" ht="14.25" customHeight="1">
      <c r="A21" s="3" t="s">
        <v>156</v>
      </c>
      <c r="B21" s="3" t="s">
        <v>157</v>
      </c>
      <c r="C21" s="3" t="s">
        <v>132</v>
      </c>
      <c r="D21" s="3" t="s">
        <v>29</v>
      </c>
      <c r="E21" s="3">
        <v>5.0</v>
      </c>
      <c r="F21" s="3" t="s">
        <v>27</v>
      </c>
      <c r="G21" s="3">
        <v>15.8</v>
      </c>
      <c r="I21" s="3">
        <v>18.85</v>
      </c>
      <c r="K21" s="3">
        <v>0.0</v>
      </c>
      <c r="L21" s="3">
        <v>0.0</v>
      </c>
      <c r="M21" s="3" t="s">
        <v>49</v>
      </c>
      <c r="N21" s="3">
        <v>0.9948</v>
      </c>
      <c r="O21" s="3">
        <v>0.0</v>
      </c>
      <c r="P21" s="3">
        <v>0.9323</v>
      </c>
      <c r="Q21" s="3">
        <v>0.0</v>
      </c>
      <c r="R21" s="3">
        <v>0.1482</v>
      </c>
      <c r="S21" s="3">
        <v>22.23</v>
      </c>
      <c r="T21" s="3">
        <v>32.0</v>
      </c>
      <c r="U21" s="3">
        <f t="shared" si="2"/>
        <v>17.325</v>
      </c>
      <c r="V21" s="3"/>
      <c r="W21" s="3">
        <f t="shared" si="3"/>
        <v>17.23044442</v>
      </c>
      <c r="X21" s="3">
        <f t="shared" si="4"/>
        <v>28.27996528</v>
      </c>
      <c r="Y21" s="3">
        <f t="shared" si="5"/>
        <v>28.22715446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156</v>
      </c>
      <c r="B22" s="3" t="s">
        <v>157</v>
      </c>
      <c r="C22" s="3" t="s">
        <v>132</v>
      </c>
      <c r="D22" s="3" t="s">
        <v>29</v>
      </c>
      <c r="E22" s="3">
        <v>5.0</v>
      </c>
      <c r="F22" s="3" t="s">
        <v>27</v>
      </c>
      <c r="G22" s="3">
        <v>15.6</v>
      </c>
      <c r="I22" s="3">
        <v>18.85</v>
      </c>
      <c r="K22" s="3">
        <v>0.0</v>
      </c>
      <c r="L22" s="3">
        <v>0.0</v>
      </c>
      <c r="M22" s="3" t="s">
        <v>50</v>
      </c>
      <c r="N22" s="3">
        <v>0.9949</v>
      </c>
      <c r="O22" s="3">
        <v>0.0</v>
      </c>
      <c r="P22" s="3">
        <v>0.9345</v>
      </c>
      <c r="Q22" s="3">
        <v>0.0</v>
      </c>
      <c r="R22" s="3">
        <v>0.7358</v>
      </c>
      <c r="S22" s="3">
        <v>22.280001</v>
      </c>
      <c r="T22" s="3">
        <v>31.0</v>
      </c>
      <c r="U22" s="3">
        <f t="shared" si="2"/>
        <v>17.225</v>
      </c>
      <c r="V22" s="3"/>
      <c r="W22" s="3">
        <f t="shared" si="3"/>
        <v>17.28043154</v>
      </c>
      <c r="X22" s="3">
        <f t="shared" si="4"/>
        <v>5.919433382</v>
      </c>
      <c r="Y22" s="3">
        <f t="shared" si="5"/>
        <v>5.661361696</v>
      </c>
      <c r="Z22" s="3">
        <f t="shared" ref="Z22:AA22" si="25">_xlfn.NORM.S.DIST(X22)</f>
        <v>0.9999999984</v>
      </c>
      <c r="AA22" s="3">
        <f t="shared" si="25"/>
        <v>0.9999999925</v>
      </c>
    </row>
    <row r="23" ht="14.25" customHeight="1">
      <c r="A23" s="3" t="s">
        <v>156</v>
      </c>
      <c r="B23" s="3" t="s">
        <v>157</v>
      </c>
      <c r="C23" s="3" t="s">
        <v>133</v>
      </c>
      <c r="D23" s="3" t="s">
        <v>29</v>
      </c>
      <c r="E23" s="3">
        <v>5.0</v>
      </c>
      <c r="F23" s="3" t="s">
        <v>27</v>
      </c>
      <c r="G23" s="3">
        <v>16.0</v>
      </c>
      <c r="I23" s="3">
        <v>19.05</v>
      </c>
      <c r="K23" s="3">
        <v>0.0</v>
      </c>
      <c r="L23" s="3">
        <v>0.0</v>
      </c>
      <c r="M23" s="3" t="s">
        <v>52</v>
      </c>
      <c r="N23" s="3">
        <v>0.9949</v>
      </c>
      <c r="O23" s="3">
        <v>0.0</v>
      </c>
      <c r="P23" s="3">
        <v>0.9719</v>
      </c>
      <c r="Q23" s="3">
        <v>0.0</v>
      </c>
      <c r="R23" s="3">
        <v>0.1624</v>
      </c>
      <c r="S23" s="3">
        <v>22.620001</v>
      </c>
      <c r="T23" s="3">
        <v>30.0</v>
      </c>
      <c r="U23" s="3">
        <f t="shared" si="2"/>
        <v>17.525</v>
      </c>
      <c r="V23" s="3"/>
      <c r="W23" s="3">
        <f t="shared" si="3"/>
        <v>17.62041765</v>
      </c>
      <c r="X23" s="3">
        <f t="shared" si="4"/>
        <v>26.96698518</v>
      </c>
      <c r="Y23" s="3">
        <f t="shared" si="5"/>
        <v>26.91095186</v>
      </c>
      <c r="Z23" s="3">
        <f t="shared" ref="Z23:AA23" si="26">_xlfn.NORM.S.DIST(X23)</f>
        <v>1</v>
      </c>
      <c r="AA23" s="3">
        <f t="shared" si="26"/>
        <v>1</v>
      </c>
    </row>
    <row r="24" ht="14.25" customHeight="1">
      <c r="A24" s="3" t="s">
        <v>156</v>
      </c>
      <c r="B24" s="3" t="s">
        <v>157</v>
      </c>
      <c r="C24" s="3" t="s">
        <v>133</v>
      </c>
      <c r="D24" s="3" t="s">
        <v>29</v>
      </c>
      <c r="E24" s="3">
        <v>5.0</v>
      </c>
      <c r="F24" s="3" t="s">
        <v>27</v>
      </c>
      <c r="G24" s="3">
        <v>15.8</v>
      </c>
      <c r="I24" s="3">
        <v>18.9</v>
      </c>
      <c r="K24" s="3">
        <v>0.0</v>
      </c>
      <c r="L24" s="3">
        <v>0.0</v>
      </c>
      <c r="M24" s="3" t="s">
        <v>53</v>
      </c>
      <c r="N24" s="3">
        <v>0.9941</v>
      </c>
      <c r="O24" s="3">
        <v>0.0</v>
      </c>
      <c r="P24" s="3">
        <v>1.1951</v>
      </c>
      <c r="Q24" s="3">
        <v>0.0</v>
      </c>
      <c r="R24" s="3">
        <v>0.159</v>
      </c>
      <c r="S24" s="3">
        <v>22.309999</v>
      </c>
      <c r="T24" s="3">
        <v>29.0</v>
      </c>
      <c r="U24" s="3">
        <f t="shared" si="2"/>
        <v>17.35</v>
      </c>
      <c r="V24" s="3"/>
      <c r="W24" s="3">
        <f t="shared" si="3"/>
        <v>17.31040176</v>
      </c>
      <c r="X24" s="3">
        <f t="shared" si="4"/>
        <v>27.75647544</v>
      </c>
      <c r="Y24" s="3">
        <f t="shared" si="5"/>
        <v>27.70253731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156</v>
      </c>
      <c r="B25" s="3" t="s">
        <v>157</v>
      </c>
      <c r="C25" s="3" t="s">
        <v>133</v>
      </c>
      <c r="D25" s="3" t="s">
        <v>29</v>
      </c>
      <c r="E25" s="3">
        <v>5.0</v>
      </c>
      <c r="F25" s="3" t="s">
        <v>27</v>
      </c>
      <c r="G25" s="3">
        <v>16.0</v>
      </c>
      <c r="I25" s="3">
        <v>19.1</v>
      </c>
      <c r="K25" s="3">
        <v>0.0</v>
      </c>
      <c r="L25" s="3">
        <v>0.0</v>
      </c>
      <c r="M25" s="3" t="s">
        <v>54</v>
      </c>
      <c r="N25" s="3">
        <v>0.9939</v>
      </c>
      <c r="O25" s="3">
        <v>0.0</v>
      </c>
      <c r="P25" s="3">
        <v>1.2885</v>
      </c>
      <c r="Q25" s="3">
        <v>0.0</v>
      </c>
      <c r="R25" s="3">
        <v>0.1544</v>
      </c>
      <c r="S25" s="3">
        <v>22.540001</v>
      </c>
      <c r="T25" s="3">
        <v>28.0</v>
      </c>
      <c r="U25" s="3">
        <f t="shared" si="2"/>
        <v>17.55</v>
      </c>
      <c r="V25" s="3"/>
      <c r="W25" s="3">
        <f t="shared" si="3"/>
        <v>17.54038987</v>
      </c>
      <c r="X25" s="3">
        <f t="shared" si="4"/>
        <v>29.28605882</v>
      </c>
      <c r="Y25" s="3">
        <f t="shared" si="5"/>
        <v>29.23459215</v>
      </c>
      <c r="Z25" s="3">
        <f t="shared" ref="Z25:AA25" si="28">_xlfn.NORM.S.DIST(X25)</f>
        <v>1</v>
      </c>
      <c r="AA25" s="3">
        <f t="shared" si="28"/>
        <v>1</v>
      </c>
    </row>
    <row r="26" ht="14.25" customHeight="1">
      <c r="A26" s="3" t="s">
        <v>156</v>
      </c>
      <c r="B26" s="3" t="s">
        <v>157</v>
      </c>
      <c r="C26" s="3" t="s">
        <v>133</v>
      </c>
      <c r="D26" s="3" t="s">
        <v>29</v>
      </c>
      <c r="E26" s="3">
        <v>5.0</v>
      </c>
      <c r="F26" s="3" t="s">
        <v>27</v>
      </c>
      <c r="G26" s="3">
        <v>15.9</v>
      </c>
      <c r="I26" s="3">
        <v>19.0</v>
      </c>
      <c r="K26" s="3">
        <v>0.0</v>
      </c>
      <c r="L26" s="3">
        <v>0.0</v>
      </c>
      <c r="M26" s="3" t="s">
        <v>55</v>
      </c>
      <c r="N26" s="3">
        <v>0.994</v>
      </c>
      <c r="O26" s="3">
        <v>0.0</v>
      </c>
      <c r="P26" s="3">
        <v>1.2936</v>
      </c>
      <c r="Q26" s="3">
        <v>0.0</v>
      </c>
      <c r="R26" s="3">
        <v>0.1539</v>
      </c>
      <c r="S26" s="3">
        <v>22.440001</v>
      </c>
      <c r="T26" s="3">
        <v>27.0</v>
      </c>
      <c r="U26" s="3">
        <f t="shared" si="2"/>
        <v>17.45</v>
      </c>
      <c r="V26" s="3"/>
      <c r="W26" s="3">
        <f t="shared" si="3"/>
        <v>17.44037599</v>
      </c>
      <c r="X26" s="3">
        <f t="shared" si="4"/>
        <v>29.83093133</v>
      </c>
      <c r="Y26" s="3">
        <f t="shared" si="5"/>
        <v>29.78055573</v>
      </c>
      <c r="Z26" s="3">
        <f t="shared" ref="Z26:AA26" si="29">_xlfn.NORM.S.DIST(X26)</f>
        <v>1</v>
      </c>
      <c r="AA26" s="3">
        <f t="shared" si="29"/>
        <v>1</v>
      </c>
    </row>
    <row r="27" ht="14.25" customHeight="1">
      <c r="A27" s="3" t="s">
        <v>156</v>
      </c>
      <c r="B27" s="3" t="s">
        <v>157</v>
      </c>
      <c r="C27" s="3" t="s">
        <v>133</v>
      </c>
      <c r="D27" s="3" t="s">
        <v>29</v>
      </c>
      <c r="E27" s="3">
        <v>5.0</v>
      </c>
      <c r="F27" s="3" t="s">
        <v>27</v>
      </c>
      <c r="G27" s="3">
        <v>15.9</v>
      </c>
      <c r="I27" s="3">
        <v>19.0</v>
      </c>
      <c r="K27" s="3">
        <v>0.0</v>
      </c>
      <c r="L27" s="3">
        <v>0.0</v>
      </c>
      <c r="M27" s="3" t="s">
        <v>56</v>
      </c>
      <c r="N27" s="3">
        <v>0.9941</v>
      </c>
      <c r="O27" s="3">
        <v>0.0</v>
      </c>
      <c r="P27" s="3">
        <v>1.3153</v>
      </c>
      <c r="Q27" s="3">
        <v>0.0</v>
      </c>
      <c r="R27" s="3">
        <v>0.153</v>
      </c>
      <c r="S27" s="3">
        <v>22.48</v>
      </c>
      <c r="T27" s="3">
        <v>26.0</v>
      </c>
      <c r="U27" s="3">
        <f t="shared" si="2"/>
        <v>17.45</v>
      </c>
      <c r="V27" s="3"/>
      <c r="W27" s="3">
        <f t="shared" si="3"/>
        <v>17.4803611</v>
      </c>
      <c r="X27" s="3">
        <f t="shared" si="4"/>
        <v>30.61294446</v>
      </c>
      <c r="Y27" s="3">
        <f t="shared" si="5"/>
        <v>30.56379963</v>
      </c>
      <c r="Z27" s="3">
        <f t="shared" ref="Z27:AA27" si="30">_xlfn.NORM.S.DIST(X27)</f>
        <v>1</v>
      </c>
      <c r="AA27" s="3">
        <f t="shared" si="30"/>
        <v>1</v>
      </c>
    </row>
    <row r="28" ht="14.25" customHeight="1">
      <c r="A28" s="3" t="s">
        <v>156</v>
      </c>
      <c r="B28" s="3" t="s">
        <v>157</v>
      </c>
      <c r="C28" s="3" t="s">
        <v>133</v>
      </c>
      <c r="D28" s="3" t="s">
        <v>29</v>
      </c>
      <c r="E28" s="3">
        <v>5.0</v>
      </c>
      <c r="F28" s="3" t="s">
        <v>27</v>
      </c>
      <c r="G28" s="3">
        <v>15.95</v>
      </c>
      <c r="I28" s="3">
        <v>19.05</v>
      </c>
      <c r="K28" s="3">
        <v>0.0</v>
      </c>
      <c r="L28" s="3">
        <v>0.0</v>
      </c>
      <c r="M28" s="3" t="s">
        <v>57</v>
      </c>
      <c r="N28" s="3">
        <v>0.9942</v>
      </c>
      <c r="O28" s="3">
        <v>0.0</v>
      </c>
      <c r="P28" s="3">
        <v>1.3227</v>
      </c>
      <c r="Q28" s="3">
        <v>4.0E-4</v>
      </c>
      <c r="R28" s="3">
        <v>1.2042</v>
      </c>
      <c r="S28" s="3">
        <v>22.5</v>
      </c>
      <c r="T28" s="3">
        <v>25.0</v>
      </c>
      <c r="U28" s="3">
        <f t="shared" si="2"/>
        <v>17.5</v>
      </c>
      <c r="V28" s="3"/>
      <c r="W28" s="3">
        <f t="shared" si="3"/>
        <v>17.50038011</v>
      </c>
      <c r="X28" s="3">
        <f t="shared" si="4"/>
        <v>4.155362137</v>
      </c>
      <c r="Y28" s="3">
        <f t="shared" si="5"/>
        <v>3.776074788</v>
      </c>
      <c r="Z28" s="3">
        <f t="shared" ref="Z28:AA28" si="31">_xlfn.NORM.S.DIST(X28)</f>
        <v>0.9999837614</v>
      </c>
      <c r="AA28" s="3">
        <f t="shared" si="31"/>
        <v>0.9999203404</v>
      </c>
    </row>
    <row r="29" ht="14.25" customHeight="1">
      <c r="A29" s="3" t="s">
        <v>156</v>
      </c>
      <c r="B29" s="3" t="s">
        <v>157</v>
      </c>
      <c r="C29" s="3" t="s">
        <v>133</v>
      </c>
      <c r="D29" s="3" t="s">
        <v>29</v>
      </c>
      <c r="E29" s="3">
        <v>5.0</v>
      </c>
      <c r="F29" s="3" t="s">
        <v>27</v>
      </c>
      <c r="G29" s="3">
        <v>15.9</v>
      </c>
      <c r="I29" s="3">
        <v>18.95</v>
      </c>
      <c r="K29" s="3">
        <v>0.0</v>
      </c>
      <c r="L29" s="3">
        <v>0.0</v>
      </c>
      <c r="M29" s="3" t="s">
        <v>58</v>
      </c>
      <c r="N29" s="3">
        <v>0.9947</v>
      </c>
      <c r="O29" s="3">
        <v>0.0</v>
      </c>
      <c r="P29" s="3">
        <v>1.3322</v>
      </c>
      <c r="Q29" s="3">
        <v>0.0</v>
      </c>
      <c r="R29" s="3">
        <v>1.094</v>
      </c>
      <c r="S29" s="3">
        <v>22.450001</v>
      </c>
      <c r="T29" s="3">
        <v>24.0</v>
      </c>
      <c r="U29" s="3">
        <f t="shared" si="2"/>
        <v>17.425</v>
      </c>
      <c r="V29" s="3"/>
      <c r="W29" s="3">
        <f t="shared" si="3"/>
        <v>17.45033747</v>
      </c>
      <c r="X29" s="3">
        <f t="shared" si="4"/>
        <v>4.617414019</v>
      </c>
      <c r="Y29" s="3">
        <f t="shared" si="5"/>
        <v>4.279798289</v>
      </c>
      <c r="Z29" s="3">
        <f t="shared" ref="Z29:AA29" si="32">_xlfn.NORM.S.DIST(X29)</f>
        <v>0.9999980572</v>
      </c>
      <c r="AA29" s="3">
        <f t="shared" si="32"/>
        <v>0.9999906469</v>
      </c>
    </row>
    <row r="30" ht="14.25" customHeight="1">
      <c r="A30" s="3" t="s">
        <v>156</v>
      </c>
      <c r="B30" s="3" t="s">
        <v>157</v>
      </c>
      <c r="C30" s="3" t="s">
        <v>133</v>
      </c>
      <c r="D30" s="3" t="s">
        <v>29</v>
      </c>
      <c r="E30" s="3">
        <v>5.0</v>
      </c>
      <c r="F30" s="3" t="s">
        <v>27</v>
      </c>
      <c r="G30" s="3">
        <v>16.0</v>
      </c>
      <c r="I30" s="3">
        <v>18.85</v>
      </c>
      <c r="K30" s="3">
        <v>0.0</v>
      </c>
      <c r="L30" s="3">
        <v>0.0</v>
      </c>
      <c r="M30" s="3" t="s">
        <v>59</v>
      </c>
      <c r="N30" s="3">
        <v>0.9948</v>
      </c>
      <c r="O30" s="3">
        <v>0.0</v>
      </c>
      <c r="P30" s="3">
        <v>1.3496</v>
      </c>
      <c r="Q30" s="3">
        <v>0.0</v>
      </c>
      <c r="R30" s="3">
        <v>0.9548</v>
      </c>
      <c r="S30" s="3">
        <v>22.58</v>
      </c>
      <c r="T30" s="3">
        <v>23.0</v>
      </c>
      <c r="U30" s="3">
        <f t="shared" si="2"/>
        <v>17.425</v>
      </c>
      <c r="V30" s="3"/>
      <c r="W30" s="3">
        <f t="shared" si="3"/>
        <v>17.58031948</v>
      </c>
      <c r="X30" s="3">
        <f t="shared" si="4"/>
        <v>5.371030058</v>
      </c>
      <c r="Y30" s="3">
        <f t="shared" si="5"/>
        <v>5.082576395</v>
      </c>
      <c r="Z30" s="3">
        <f t="shared" ref="Z30:AA30" si="33">_xlfn.NORM.S.DIST(X30)</f>
        <v>0.9999999609</v>
      </c>
      <c r="AA30" s="3">
        <f t="shared" si="33"/>
        <v>0.9999998138</v>
      </c>
    </row>
    <row r="31" ht="14.25" customHeight="1">
      <c r="A31" s="3" t="s">
        <v>156</v>
      </c>
      <c r="B31" s="3" t="s">
        <v>157</v>
      </c>
      <c r="C31" s="3" t="s">
        <v>133</v>
      </c>
      <c r="D31" s="3" t="s">
        <v>29</v>
      </c>
      <c r="E31" s="3">
        <v>5.0</v>
      </c>
      <c r="F31" s="3" t="s">
        <v>27</v>
      </c>
      <c r="G31" s="3">
        <v>16.75</v>
      </c>
      <c r="I31" s="3">
        <v>19.85</v>
      </c>
      <c r="K31" s="3">
        <v>0.0</v>
      </c>
      <c r="L31" s="3">
        <v>0.0</v>
      </c>
      <c r="M31" s="3" t="s">
        <v>60</v>
      </c>
      <c r="N31" s="3">
        <v>0.9949</v>
      </c>
      <c r="O31" s="3">
        <v>0.0</v>
      </c>
      <c r="P31" s="3">
        <v>1.405</v>
      </c>
      <c r="Q31" s="3">
        <v>1.0E-4</v>
      </c>
      <c r="R31" s="3">
        <v>1.2132</v>
      </c>
      <c r="S31" s="3">
        <v>23.389999</v>
      </c>
      <c r="T31" s="3">
        <v>22.0</v>
      </c>
      <c r="U31" s="3">
        <f t="shared" si="2"/>
        <v>18.3</v>
      </c>
      <c r="V31" s="3"/>
      <c r="W31" s="3">
        <f t="shared" si="3"/>
        <v>18.39031133</v>
      </c>
      <c r="X31" s="3">
        <f t="shared" si="4"/>
        <v>4.483538155</v>
      </c>
      <c r="Y31" s="3">
        <f t="shared" si="5"/>
        <v>4.125075867</v>
      </c>
      <c r="Z31" s="3">
        <f t="shared" ref="Z31:AA31" si="34">_xlfn.NORM.S.DIST(X31)</f>
        <v>0.9999963292</v>
      </c>
      <c r="AA31" s="3">
        <f t="shared" si="34"/>
        <v>0.9999814694</v>
      </c>
    </row>
    <row r="32" ht="14.25" customHeight="1">
      <c r="A32" s="3" t="s">
        <v>156</v>
      </c>
      <c r="B32" s="3" t="s">
        <v>157</v>
      </c>
      <c r="C32" s="3" t="s">
        <v>133</v>
      </c>
      <c r="D32" s="3" t="s">
        <v>29</v>
      </c>
      <c r="E32" s="3">
        <v>5.0</v>
      </c>
      <c r="F32" s="3" t="s">
        <v>27</v>
      </c>
      <c r="G32" s="3">
        <v>16.8</v>
      </c>
      <c r="I32" s="3">
        <v>19.8</v>
      </c>
      <c r="K32" s="3">
        <v>0.0</v>
      </c>
      <c r="L32" s="3">
        <v>0.0</v>
      </c>
      <c r="M32" s="3" t="s">
        <v>61</v>
      </c>
      <c r="N32" s="3">
        <v>0.9951</v>
      </c>
      <c r="O32" s="3">
        <v>0.0</v>
      </c>
      <c r="P32" s="3">
        <v>1.4136</v>
      </c>
      <c r="Q32" s="3">
        <v>0.0</v>
      </c>
      <c r="R32" s="3">
        <v>0.9268</v>
      </c>
      <c r="S32" s="3">
        <v>23.41</v>
      </c>
      <c r="T32" s="3">
        <v>21.0</v>
      </c>
      <c r="U32" s="3">
        <f t="shared" si="2"/>
        <v>18.3</v>
      </c>
      <c r="V32" s="3"/>
      <c r="W32" s="3">
        <f t="shared" si="3"/>
        <v>18.41029166</v>
      </c>
      <c r="X32" s="3">
        <f t="shared" si="4"/>
        <v>5.903974493</v>
      </c>
      <c r="Y32" s="3">
        <f t="shared" si="5"/>
        <v>5.636430378</v>
      </c>
      <c r="Z32" s="3">
        <f t="shared" ref="Z32:AA32" si="35">_xlfn.NORM.S.DIST(X32)</f>
        <v>0.9999999982</v>
      </c>
      <c r="AA32" s="3">
        <f t="shared" si="35"/>
        <v>0.9999999913</v>
      </c>
    </row>
    <row r="33" ht="14.25" customHeight="1">
      <c r="A33" s="3" t="s">
        <v>156</v>
      </c>
      <c r="B33" s="3" t="s">
        <v>157</v>
      </c>
      <c r="C33" s="3" t="s">
        <v>133</v>
      </c>
      <c r="D33" s="3" t="s">
        <v>29</v>
      </c>
      <c r="E33" s="3">
        <v>5.0</v>
      </c>
      <c r="F33" s="3" t="s">
        <v>27</v>
      </c>
      <c r="G33" s="3">
        <v>16.85</v>
      </c>
      <c r="I33" s="3">
        <v>19.85</v>
      </c>
      <c r="K33" s="3">
        <v>0.0</v>
      </c>
      <c r="L33" s="3">
        <v>0.0</v>
      </c>
      <c r="M33" s="3" t="s">
        <v>62</v>
      </c>
      <c r="N33" s="3">
        <v>0.9952</v>
      </c>
      <c r="O33" s="3">
        <v>0.0</v>
      </c>
      <c r="P33" s="3">
        <v>1.4276</v>
      </c>
      <c r="Q33" s="3">
        <v>0.0</v>
      </c>
      <c r="R33" s="3">
        <v>0.1671</v>
      </c>
      <c r="S33" s="3">
        <v>23.290001</v>
      </c>
      <c r="T33" s="3">
        <v>20.0</v>
      </c>
      <c r="U33" s="3">
        <f t="shared" si="2"/>
        <v>18.35</v>
      </c>
      <c r="V33" s="3"/>
      <c r="W33" s="3">
        <f t="shared" si="3"/>
        <v>18.29027877</v>
      </c>
      <c r="X33" s="3">
        <f t="shared" si="4"/>
        <v>32.70837585</v>
      </c>
      <c r="Y33" s="3">
        <f t="shared" si="5"/>
        <v>32.66130076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156</v>
      </c>
      <c r="B34" s="3" t="s">
        <v>157</v>
      </c>
      <c r="C34" s="3" t="s">
        <v>133</v>
      </c>
      <c r="D34" s="3" t="s">
        <v>29</v>
      </c>
      <c r="E34" s="3">
        <v>5.0</v>
      </c>
      <c r="F34" s="3" t="s">
        <v>27</v>
      </c>
      <c r="G34" s="3">
        <v>17.15</v>
      </c>
      <c r="I34" s="3">
        <v>20.3</v>
      </c>
      <c r="K34" s="3">
        <v>0.0</v>
      </c>
      <c r="L34" s="3">
        <v>0.0</v>
      </c>
      <c r="M34" s="3" t="s">
        <v>63</v>
      </c>
      <c r="N34" s="3">
        <v>0.9979</v>
      </c>
      <c r="O34" s="3">
        <v>0.0</v>
      </c>
      <c r="P34" s="3">
        <v>0.7336</v>
      </c>
      <c r="Q34" s="3">
        <v>0.0</v>
      </c>
      <c r="R34" s="3">
        <v>0.2505</v>
      </c>
      <c r="S34" s="3">
        <v>23.75</v>
      </c>
      <c r="T34" s="3">
        <v>19.0</v>
      </c>
      <c r="U34" s="3">
        <f t="shared" si="2"/>
        <v>18.725</v>
      </c>
      <c r="V34" s="3"/>
      <c r="W34" s="3">
        <f t="shared" si="3"/>
        <v>18.75026388</v>
      </c>
      <c r="X34" s="3">
        <f t="shared" si="4"/>
        <v>22.68804319</v>
      </c>
      <c r="Y34" s="3">
        <f t="shared" si="5"/>
        <v>22.61925969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156</v>
      </c>
      <c r="B35" s="3" t="s">
        <v>157</v>
      </c>
      <c r="C35" s="3" t="s">
        <v>133</v>
      </c>
      <c r="D35" s="3" t="s">
        <v>29</v>
      </c>
      <c r="E35" s="3">
        <v>5.0</v>
      </c>
      <c r="F35" s="3" t="s">
        <v>27</v>
      </c>
      <c r="G35" s="3">
        <v>16.95</v>
      </c>
      <c r="I35" s="3">
        <v>19.95</v>
      </c>
      <c r="K35" s="3">
        <v>0.0</v>
      </c>
      <c r="L35" s="3">
        <v>0.0</v>
      </c>
      <c r="M35" s="3" t="s">
        <v>64</v>
      </c>
      <c r="N35" s="3">
        <v>0.996</v>
      </c>
      <c r="O35" s="3">
        <v>0.0</v>
      </c>
      <c r="P35" s="3">
        <v>1.4574</v>
      </c>
      <c r="Q35" s="3">
        <v>0.0</v>
      </c>
      <c r="R35" s="3">
        <v>0.5938</v>
      </c>
      <c r="S35" s="3">
        <v>23.41</v>
      </c>
      <c r="T35" s="3">
        <v>18.0</v>
      </c>
      <c r="U35" s="3">
        <f t="shared" si="2"/>
        <v>18.45</v>
      </c>
      <c r="V35" s="3"/>
      <c r="W35" s="3">
        <f t="shared" si="3"/>
        <v>18.41024999</v>
      </c>
      <c r="X35" s="3">
        <f t="shared" si="4"/>
        <v>9.806999767</v>
      </c>
      <c r="Y35" s="3">
        <f t="shared" si="5"/>
        <v>9.648300042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156</v>
      </c>
      <c r="B36" s="3" t="s">
        <v>157</v>
      </c>
      <c r="C36" s="3" t="s">
        <v>133</v>
      </c>
      <c r="D36" s="3" t="s">
        <v>29</v>
      </c>
      <c r="E36" s="3">
        <v>5.0</v>
      </c>
      <c r="F36" s="3" t="s">
        <v>27</v>
      </c>
      <c r="G36" s="3">
        <v>16.7</v>
      </c>
      <c r="I36" s="3">
        <v>19.75</v>
      </c>
      <c r="K36" s="3">
        <v>0.0</v>
      </c>
      <c r="L36" s="3">
        <v>0.0</v>
      </c>
      <c r="M36" s="3" t="s">
        <v>65</v>
      </c>
      <c r="N36" s="3">
        <v>1.0</v>
      </c>
      <c r="O36" s="3">
        <v>0.0</v>
      </c>
      <c r="P36" s="3">
        <v>-0.0145</v>
      </c>
      <c r="Q36" s="3">
        <v>0.0</v>
      </c>
      <c r="R36" s="3">
        <v>0.3956</v>
      </c>
      <c r="S36" s="3">
        <v>23.26</v>
      </c>
      <c r="T36" s="3">
        <v>17.0</v>
      </c>
      <c r="U36" s="3">
        <f t="shared" si="2"/>
        <v>18.225</v>
      </c>
      <c r="V36" s="3"/>
      <c r="W36" s="3">
        <f t="shared" si="3"/>
        <v>18.26023611</v>
      </c>
      <c r="X36" s="3">
        <f t="shared" si="4"/>
        <v>15.01341145</v>
      </c>
      <c r="Y36" s="3">
        <f t="shared" si="5"/>
        <v>14.91066177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156</v>
      </c>
      <c r="B37" s="3" t="s">
        <v>157</v>
      </c>
      <c r="C37" s="3" t="s">
        <v>133</v>
      </c>
      <c r="D37" s="3" t="s">
        <v>29</v>
      </c>
      <c r="E37" s="3">
        <v>5.0</v>
      </c>
      <c r="F37" s="3" t="s">
        <v>27</v>
      </c>
      <c r="G37" s="3">
        <v>16.8</v>
      </c>
      <c r="I37" s="3">
        <v>19.95</v>
      </c>
      <c r="K37" s="3">
        <v>0.0</v>
      </c>
      <c r="L37" s="3">
        <v>0.0</v>
      </c>
      <c r="M37" s="3" t="s">
        <v>66</v>
      </c>
      <c r="N37" s="3">
        <v>0.9983</v>
      </c>
      <c r="O37" s="3">
        <v>0.0</v>
      </c>
      <c r="P37" s="3">
        <v>0.6662</v>
      </c>
      <c r="Q37" s="3">
        <v>0.0</v>
      </c>
      <c r="R37" s="3">
        <v>0.7762</v>
      </c>
      <c r="S37" s="3">
        <v>23.389999</v>
      </c>
      <c r="T37" s="3">
        <v>16.0</v>
      </c>
      <c r="U37" s="3">
        <f t="shared" si="2"/>
        <v>18.375</v>
      </c>
      <c r="V37" s="3"/>
      <c r="W37" s="3">
        <f t="shared" si="3"/>
        <v>18.39022122</v>
      </c>
      <c r="X37" s="3">
        <f t="shared" si="4"/>
        <v>7.986550515</v>
      </c>
      <c r="Y37" s="3">
        <f t="shared" si="5"/>
        <v>7.790966499</v>
      </c>
      <c r="Z37" s="3">
        <f t="shared" ref="Z37:AA37" si="40">_xlfn.NORM.S.DIST(X37)</f>
        <v>1</v>
      </c>
      <c r="AA37" s="3">
        <f t="shared" si="40"/>
        <v>1</v>
      </c>
    </row>
    <row r="38" ht="14.25" customHeight="1">
      <c r="A38" s="3" t="s">
        <v>156</v>
      </c>
      <c r="B38" s="3" t="s">
        <v>157</v>
      </c>
      <c r="C38" s="3" t="s">
        <v>133</v>
      </c>
      <c r="D38" s="3" t="s">
        <v>29</v>
      </c>
      <c r="E38" s="3">
        <v>5.0</v>
      </c>
      <c r="F38" s="3" t="s">
        <v>27</v>
      </c>
      <c r="G38" s="3">
        <v>16.25</v>
      </c>
      <c r="I38" s="3">
        <v>19.4</v>
      </c>
      <c r="K38" s="3">
        <v>0.0</v>
      </c>
      <c r="L38" s="3">
        <v>0.0</v>
      </c>
      <c r="M38" s="3" t="s">
        <v>67</v>
      </c>
      <c r="N38" s="3">
        <v>0.9986</v>
      </c>
      <c r="O38" s="3">
        <v>0.0</v>
      </c>
      <c r="P38" s="3">
        <v>0.607</v>
      </c>
      <c r="Q38" s="3">
        <v>0.0</v>
      </c>
      <c r="R38" s="3">
        <v>0.755</v>
      </c>
      <c r="S38" s="3">
        <v>22.809999</v>
      </c>
      <c r="T38" s="3">
        <v>15.0</v>
      </c>
      <c r="U38" s="3">
        <f t="shared" si="2"/>
        <v>17.825</v>
      </c>
      <c r="V38" s="3"/>
      <c r="W38" s="3">
        <f t="shared" si="3"/>
        <v>17.81020733</v>
      </c>
      <c r="X38" s="3">
        <f t="shared" si="4"/>
        <v>8.332021109</v>
      </c>
      <c r="Y38" s="3">
        <f t="shared" si="5"/>
        <v>8.14781997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156</v>
      </c>
      <c r="B39" s="3" t="s">
        <v>157</v>
      </c>
      <c r="C39" s="3" t="s">
        <v>133</v>
      </c>
      <c r="D39" s="3" t="s">
        <v>29</v>
      </c>
      <c r="E39" s="3">
        <v>5.0</v>
      </c>
      <c r="F39" s="3" t="s">
        <v>27</v>
      </c>
      <c r="G39" s="3">
        <v>16.5</v>
      </c>
      <c r="I39" s="3">
        <v>19.6</v>
      </c>
      <c r="K39" s="3">
        <v>0.0</v>
      </c>
      <c r="L39" s="3">
        <v>0.0</v>
      </c>
      <c r="M39" s="3" t="s">
        <v>68</v>
      </c>
      <c r="N39" s="3">
        <v>1.0</v>
      </c>
      <c r="O39" s="3">
        <v>0.0</v>
      </c>
      <c r="P39" s="3">
        <v>-0.0145</v>
      </c>
      <c r="Q39" s="3">
        <v>0.0</v>
      </c>
      <c r="R39" s="3">
        <v>0.3219</v>
      </c>
      <c r="S39" s="3">
        <v>23.049999</v>
      </c>
      <c r="T39" s="3">
        <v>14.0</v>
      </c>
      <c r="U39" s="3">
        <f t="shared" si="2"/>
        <v>18.05</v>
      </c>
      <c r="V39" s="3"/>
      <c r="W39" s="3">
        <f t="shared" si="3"/>
        <v>18.05019344</v>
      </c>
      <c r="X39" s="3">
        <f t="shared" si="4"/>
        <v>20.18048518</v>
      </c>
      <c r="Y39" s="3">
        <f t="shared" si="5"/>
        <v>20.10461263</v>
      </c>
      <c r="Z39" s="3">
        <f t="shared" ref="Z39:AA39" si="42">_xlfn.NORM.S.DIST(X39)</f>
        <v>1</v>
      </c>
      <c r="AA39" s="3">
        <f t="shared" si="42"/>
        <v>1</v>
      </c>
    </row>
    <row r="40" ht="14.25" customHeight="1">
      <c r="A40" s="3" t="s">
        <v>156</v>
      </c>
      <c r="B40" s="3" t="s">
        <v>157</v>
      </c>
      <c r="C40" s="3" t="s">
        <v>133</v>
      </c>
      <c r="D40" s="3" t="s">
        <v>29</v>
      </c>
      <c r="E40" s="3">
        <v>5.0</v>
      </c>
      <c r="F40" s="3" t="s">
        <v>27</v>
      </c>
      <c r="G40" s="3">
        <v>16.8</v>
      </c>
      <c r="I40" s="3">
        <v>19.9</v>
      </c>
      <c r="K40" s="3">
        <v>0.0</v>
      </c>
      <c r="L40" s="3">
        <v>0.0</v>
      </c>
      <c r="M40" s="3" t="s">
        <v>69</v>
      </c>
      <c r="N40" s="3">
        <v>0.9988</v>
      </c>
      <c r="O40" s="3">
        <v>0.0</v>
      </c>
      <c r="P40" s="3">
        <v>0.6223</v>
      </c>
      <c r="Q40" s="3">
        <v>0.0</v>
      </c>
      <c r="R40" s="3">
        <v>0.3968</v>
      </c>
      <c r="S40" s="3">
        <v>23.370001</v>
      </c>
      <c r="T40" s="3">
        <v>13.0</v>
      </c>
      <c r="U40" s="3">
        <f t="shared" si="2"/>
        <v>18.35</v>
      </c>
      <c r="V40" s="3"/>
      <c r="W40" s="3">
        <f t="shared" si="3"/>
        <v>18.37018155</v>
      </c>
      <c r="X40" s="3">
        <f t="shared" si="4"/>
        <v>17.15528953</v>
      </c>
      <c r="Y40" s="3">
        <f t="shared" si="5"/>
        <v>17.06516499</v>
      </c>
      <c r="Z40" s="3">
        <f t="shared" ref="Z40:AA40" si="43">_xlfn.NORM.S.DIST(X40)</f>
        <v>1</v>
      </c>
      <c r="AA40" s="3">
        <f t="shared" si="43"/>
        <v>1</v>
      </c>
    </row>
    <row r="41" ht="14.25" customHeight="1">
      <c r="A41" s="3" t="s">
        <v>156</v>
      </c>
      <c r="B41" s="3" t="s">
        <v>157</v>
      </c>
      <c r="C41" s="3" t="s">
        <v>133</v>
      </c>
      <c r="D41" s="3" t="s">
        <v>29</v>
      </c>
      <c r="E41" s="3">
        <v>5.0</v>
      </c>
      <c r="F41" s="3" t="s">
        <v>27</v>
      </c>
      <c r="G41" s="3">
        <v>16.8</v>
      </c>
      <c r="I41" s="3">
        <v>19.8</v>
      </c>
      <c r="K41" s="3">
        <v>0.0</v>
      </c>
      <c r="L41" s="3">
        <v>0.0</v>
      </c>
      <c r="M41" s="3" t="s">
        <v>70</v>
      </c>
      <c r="N41" s="3">
        <v>0.998</v>
      </c>
      <c r="O41" s="3">
        <v>0.0</v>
      </c>
      <c r="P41" s="3">
        <v>1.0875</v>
      </c>
      <c r="Q41" s="3">
        <v>0.0</v>
      </c>
      <c r="R41" s="3">
        <v>0.6979</v>
      </c>
      <c r="S41" s="3">
        <v>23.219999</v>
      </c>
      <c r="T41" s="3">
        <v>12.0</v>
      </c>
      <c r="U41" s="3">
        <f t="shared" si="2"/>
        <v>18.3</v>
      </c>
      <c r="V41" s="3"/>
      <c r="W41" s="3">
        <f t="shared" si="3"/>
        <v>18.22016566</v>
      </c>
      <c r="X41" s="3">
        <f t="shared" si="4"/>
        <v>10.15931965</v>
      </c>
      <c r="Y41" s="3">
        <f t="shared" si="5"/>
        <v>10.00702539</v>
      </c>
      <c r="Z41" s="3">
        <f t="shared" ref="Z41:AA41" si="44">_xlfn.NORM.S.DIST(X41)</f>
        <v>1</v>
      </c>
      <c r="AA41" s="3">
        <f t="shared" si="44"/>
        <v>1</v>
      </c>
    </row>
    <row r="42" ht="14.25" customHeight="1">
      <c r="A42" s="3" t="s">
        <v>156</v>
      </c>
      <c r="B42" s="3" t="s">
        <v>157</v>
      </c>
      <c r="C42" s="3" t="s">
        <v>133</v>
      </c>
      <c r="D42" s="3" t="s">
        <v>29</v>
      </c>
      <c r="E42" s="3">
        <v>5.0</v>
      </c>
      <c r="F42" s="3" t="s">
        <v>27</v>
      </c>
      <c r="G42" s="3">
        <v>16.6</v>
      </c>
      <c r="I42" s="3">
        <v>19.75</v>
      </c>
      <c r="K42" s="3">
        <v>0.0</v>
      </c>
      <c r="L42" s="3">
        <v>0.0</v>
      </c>
      <c r="M42" s="3" t="s">
        <v>71</v>
      </c>
      <c r="N42" s="3">
        <v>0.9984</v>
      </c>
      <c r="O42" s="3">
        <v>0.0</v>
      </c>
      <c r="P42" s="3">
        <v>0.9248</v>
      </c>
      <c r="Q42" s="3">
        <v>0.0</v>
      </c>
      <c r="R42" s="3">
        <v>0.3705</v>
      </c>
      <c r="S42" s="3">
        <v>23.190001</v>
      </c>
      <c r="T42" s="3">
        <v>11.0</v>
      </c>
      <c r="U42" s="3">
        <f t="shared" si="2"/>
        <v>18.175</v>
      </c>
      <c r="V42" s="3"/>
      <c r="W42" s="3">
        <f t="shared" si="3"/>
        <v>18.19015378</v>
      </c>
      <c r="X42" s="3">
        <f t="shared" si="4"/>
        <v>19.85990266</v>
      </c>
      <c r="Y42" s="3">
        <f t="shared" si="5"/>
        <v>19.78249494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156</v>
      </c>
      <c r="B43" s="3" t="s">
        <v>157</v>
      </c>
      <c r="C43" s="3" t="s">
        <v>133</v>
      </c>
      <c r="D43" s="3" t="s">
        <v>29</v>
      </c>
      <c r="E43" s="3">
        <v>5.0</v>
      </c>
      <c r="F43" s="3" t="s">
        <v>27</v>
      </c>
      <c r="G43" s="3">
        <v>16.7</v>
      </c>
      <c r="I43" s="3">
        <v>19.7</v>
      </c>
      <c r="K43" s="3">
        <v>0.0</v>
      </c>
      <c r="L43" s="3">
        <v>0.0</v>
      </c>
      <c r="M43" s="3" t="s">
        <v>72</v>
      </c>
      <c r="N43" s="3">
        <v>0.9992</v>
      </c>
      <c r="O43" s="3">
        <v>0.0</v>
      </c>
      <c r="P43" s="3">
        <v>0.555</v>
      </c>
      <c r="Q43" s="3">
        <v>0.0</v>
      </c>
      <c r="R43" s="3">
        <v>0.3524</v>
      </c>
      <c r="S43" s="3">
        <v>23.27</v>
      </c>
      <c r="T43" s="3">
        <v>10.0</v>
      </c>
      <c r="U43" s="3">
        <f t="shared" si="2"/>
        <v>18.2</v>
      </c>
      <c r="V43" s="3"/>
      <c r="W43" s="3">
        <f t="shared" si="3"/>
        <v>18.27013889</v>
      </c>
      <c r="X43" s="3">
        <f t="shared" si="4"/>
        <v>21.94051431</v>
      </c>
      <c r="Y43" s="3">
        <f t="shared" si="5"/>
        <v>21.87031455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156</v>
      </c>
      <c r="B44" s="3" t="s">
        <v>157</v>
      </c>
      <c r="C44" s="3" t="s">
        <v>133</v>
      </c>
      <c r="D44" s="3" t="s">
        <v>29</v>
      </c>
      <c r="E44" s="3">
        <v>5.0</v>
      </c>
      <c r="F44" s="3" t="s">
        <v>27</v>
      </c>
      <c r="G44" s="3">
        <v>17.05</v>
      </c>
      <c r="I44" s="3">
        <v>20.15</v>
      </c>
      <c r="K44" s="3">
        <v>0.0</v>
      </c>
      <c r="L44" s="3">
        <v>0.0</v>
      </c>
      <c r="M44" s="3" t="s">
        <v>73</v>
      </c>
      <c r="N44" s="3">
        <v>0.9995</v>
      </c>
      <c r="O44" s="3">
        <v>0.0</v>
      </c>
      <c r="P44" s="3">
        <v>0.381</v>
      </c>
      <c r="Q44" s="3">
        <v>0.0</v>
      </c>
      <c r="R44" s="3">
        <v>0.4187</v>
      </c>
      <c r="S44" s="3">
        <v>23.59</v>
      </c>
      <c r="T44" s="3">
        <v>9.0</v>
      </c>
      <c r="U44" s="3">
        <f t="shared" si="2"/>
        <v>18.6</v>
      </c>
      <c r="V44" s="3"/>
      <c r="W44" s="3">
        <f t="shared" si="3"/>
        <v>18.590125</v>
      </c>
      <c r="X44" s="3">
        <f t="shared" si="4"/>
        <v>19.6461791</v>
      </c>
      <c r="Y44" s="3">
        <f t="shared" si="5"/>
        <v>19.56705224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156</v>
      </c>
      <c r="B45" s="3" t="s">
        <v>157</v>
      </c>
      <c r="C45" s="3" t="s">
        <v>133</v>
      </c>
      <c r="D45" s="3" t="s">
        <v>29</v>
      </c>
      <c r="E45" s="3">
        <v>5.0</v>
      </c>
      <c r="F45" s="3" t="s">
        <v>27</v>
      </c>
      <c r="G45" s="3">
        <v>17.2</v>
      </c>
      <c r="I45" s="3">
        <v>20.25</v>
      </c>
      <c r="K45" s="3">
        <v>0.0</v>
      </c>
      <c r="L45" s="3">
        <v>0.0</v>
      </c>
      <c r="M45" s="3" t="s">
        <v>74</v>
      </c>
      <c r="N45" s="3">
        <v>0.9998</v>
      </c>
      <c r="O45" s="3">
        <v>0.0</v>
      </c>
      <c r="P45" s="3">
        <v>0.1842</v>
      </c>
      <c r="Q45" s="3">
        <v>0.0</v>
      </c>
      <c r="R45" s="3">
        <v>0.432</v>
      </c>
      <c r="S45" s="3">
        <v>23.67</v>
      </c>
      <c r="T45" s="3">
        <v>8.0</v>
      </c>
      <c r="U45" s="3">
        <f t="shared" si="2"/>
        <v>18.725</v>
      </c>
      <c r="V45" s="3"/>
      <c r="W45" s="3">
        <f t="shared" si="3"/>
        <v>18.67011111</v>
      </c>
      <c r="X45" s="3">
        <f t="shared" si="4"/>
        <v>20.23814435</v>
      </c>
      <c r="Y45" s="3">
        <f t="shared" si="5"/>
        <v>20.16117312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156</v>
      </c>
      <c r="B46" s="3" t="s">
        <v>157</v>
      </c>
      <c r="C46" s="3" t="s">
        <v>133</v>
      </c>
      <c r="D46" s="3" t="s">
        <v>29</v>
      </c>
      <c r="E46" s="3">
        <v>5.0</v>
      </c>
      <c r="F46" s="3" t="s">
        <v>27</v>
      </c>
      <c r="G46" s="3">
        <v>17.15</v>
      </c>
      <c r="I46" s="3">
        <v>20.3</v>
      </c>
      <c r="K46" s="3">
        <v>0.0</v>
      </c>
      <c r="L46" s="3">
        <v>0.0</v>
      </c>
      <c r="M46" s="3" t="s">
        <v>75</v>
      </c>
      <c r="N46" s="3">
        <v>0.9998</v>
      </c>
      <c r="O46" s="3">
        <v>0.0</v>
      </c>
      <c r="P46" s="3">
        <v>0.1842</v>
      </c>
      <c r="Q46" s="3">
        <v>0.0</v>
      </c>
      <c r="R46" s="3">
        <v>0.4691</v>
      </c>
      <c r="S46" s="3">
        <v>23.68</v>
      </c>
      <c r="T46" s="3">
        <v>7.0</v>
      </c>
      <c r="U46" s="3">
        <f t="shared" si="2"/>
        <v>18.725</v>
      </c>
      <c r="V46" s="3"/>
      <c r="W46" s="3">
        <f t="shared" si="3"/>
        <v>18.68009722</v>
      </c>
      <c r="X46" s="3">
        <f t="shared" si="4"/>
        <v>19.93095705</v>
      </c>
      <c r="Y46" s="3">
        <f t="shared" si="5"/>
        <v>19.85277372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156</v>
      </c>
      <c r="B47" s="3" t="s">
        <v>157</v>
      </c>
      <c r="C47" s="3" t="s">
        <v>133</v>
      </c>
      <c r="D47" s="3" t="s">
        <v>29</v>
      </c>
      <c r="E47" s="3">
        <v>5.0</v>
      </c>
      <c r="F47" s="3" t="s">
        <v>27</v>
      </c>
      <c r="G47" s="3">
        <v>17.2</v>
      </c>
      <c r="I47" s="3">
        <v>20.3</v>
      </c>
      <c r="K47" s="3">
        <v>0.0</v>
      </c>
      <c r="L47" s="3">
        <v>0.0</v>
      </c>
      <c r="M47" s="3" t="s">
        <v>76</v>
      </c>
      <c r="N47" s="3">
        <v>1.0</v>
      </c>
      <c r="O47" s="3">
        <v>0.0</v>
      </c>
      <c r="P47" s="3">
        <v>-0.0141</v>
      </c>
      <c r="Q47" s="3">
        <v>0.0</v>
      </c>
      <c r="R47" s="3">
        <v>0.1684</v>
      </c>
      <c r="S47" s="3">
        <v>23.77</v>
      </c>
      <c r="T47" s="3">
        <v>6.0</v>
      </c>
      <c r="U47" s="3">
        <f t="shared" si="2"/>
        <v>18.75</v>
      </c>
      <c r="V47" s="3"/>
      <c r="W47" s="3">
        <f t="shared" si="3"/>
        <v>18.77008333</v>
      </c>
      <c r="X47" s="3">
        <f t="shared" si="4"/>
        <v>60.0099901</v>
      </c>
      <c r="Y47" s="3">
        <f t="shared" si="5"/>
        <v>59.98400541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156</v>
      </c>
      <c r="B48" s="3" t="s">
        <v>157</v>
      </c>
      <c r="C48" s="3" t="s">
        <v>133</v>
      </c>
      <c r="D48" s="3" t="s">
        <v>29</v>
      </c>
      <c r="E48" s="3">
        <v>5.0</v>
      </c>
      <c r="F48" s="3" t="s">
        <v>27</v>
      </c>
      <c r="G48" s="3">
        <v>17.8</v>
      </c>
      <c r="I48" s="3">
        <v>19.35</v>
      </c>
      <c r="K48" s="3">
        <v>0.0</v>
      </c>
      <c r="L48" s="3">
        <v>0.0</v>
      </c>
      <c r="M48" s="3" t="s">
        <v>77</v>
      </c>
      <c r="N48" s="3">
        <v>1.0</v>
      </c>
      <c r="O48" s="3">
        <v>0.0</v>
      </c>
      <c r="P48" s="3">
        <v>-0.0141</v>
      </c>
      <c r="Q48" s="3">
        <v>0.0</v>
      </c>
      <c r="R48" s="3">
        <v>0.1885</v>
      </c>
      <c r="S48" s="3">
        <v>23.620001</v>
      </c>
      <c r="T48" s="3">
        <v>5.0</v>
      </c>
      <c r="U48" s="3">
        <f t="shared" si="2"/>
        <v>18.575</v>
      </c>
      <c r="V48" s="3"/>
      <c r="W48" s="3">
        <f t="shared" si="3"/>
        <v>18.62007044</v>
      </c>
      <c r="X48" s="3">
        <f t="shared" si="4"/>
        <v>58.48999907</v>
      </c>
      <c r="Y48" s="3">
        <f t="shared" si="5"/>
        <v>58.46344715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156</v>
      </c>
      <c r="B49" s="3" t="s">
        <v>157</v>
      </c>
      <c r="C49" s="3" t="s">
        <v>133</v>
      </c>
      <c r="D49" s="3" t="s">
        <v>29</v>
      </c>
      <c r="E49" s="3">
        <v>5.0</v>
      </c>
      <c r="F49" s="3" t="s">
        <v>27</v>
      </c>
      <c r="G49" s="3">
        <v>16.85</v>
      </c>
      <c r="I49" s="3">
        <v>19.95</v>
      </c>
      <c r="K49" s="3">
        <v>0.0</v>
      </c>
      <c r="L49" s="3">
        <v>0.0</v>
      </c>
      <c r="M49" s="3" t="s">
        <v>78</v>
      </c>
      <c r="N49" s="3">
        <v>1.0</v>
      </c>
      <c r="O49" s="3">
        <v>0.0</v>
      </c>
      <c r="P49" s="3">
        <v>-0.0141</v>
      </c>
      <c r="Q49" s="3">
        <v>0.0</v>
      </c>
      <c r="R49" s="3">
        <v>0.1521</v>
      </c>
      <c r="S49" s="3">
        <v>23.41</v>
      </c>
      <c r="T49" s="3">
        <v>4.0</v>
      </c>
      <c r="U49" s="3">
        <f t="shared" si="2"/>
        <v>18.4</v>
      </c>
      <c r="V49" s="3"/>
      <c r="W49" s="3">
        <f t="shared" si="3"/>
        <v>18.41005556</v>
      </c>
      <c r="X49" s="3">
        <f t="shared" si="4"/>
        <v>80.56861131</v>
      </c>
      <c r="Y49" s="3">
        <f t="shared" si="5"/>
        <v>80.54944851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156</v>
      </c>
      <c r="B50" s="3" t="s">
        <v>157</v>
      </c>
      <c r="C50" s="3" t="s">
        <v>133</v>
      </c>
      <c r="D50" s="3" t="s">
        <v>29</v>
      </c>
      <c r="E50" s="3">
        <v>5.0</v>
      </c>
      <c r="F50" s="3" t="s">
        <v>27</v>
      </c>
      <c r="G50" s="3">
        <v>16.95</v>
      </c>
      <c r="I50" s="3">
        <v>20.0</v>
      </c>
      <c r="K50" s="3">
        <v>0.0</v>
      </c>
      <c r="L50" s="3">
        <v>0.0</v>
      </c>
      <c r="M50" s="3" t="s">
        <v>79</v>
      </c>
      <c r="N50" s="3">
        <v>1.0</v>
      </c>
      <c r="O50" s="3">
        <v>0.0</v>
      </c>
      <c r="P50" s="3">
        <v>-0.0141</v>
      </c>
      <c r="Q50" s="3">
        <v>0.0</v>
      </c>
      <c r="R50" s="3">
        <v>0.1964</v>
      </c>
      <c r="S50" s="3">
        <v>23.49</v>
      </c>
      <c r="T50" s="3">
        <v>3.0</v>
      </c>
      <c r="U50" s="3">
        <f t="shared" si="2"/>
        <v>18.475</v>
      </c>
      <c r="V50" s="3"/>
      <c r="W50" s="3">
        <f t="shared" si="3"/>
        <v>18.49004167</v>
      </c>
      <c r="X50" s="3">
        <f t="shared" si="4"/>
        <v>72.20939148</v>
      </c>
      <c r="Y50" s="3">
        <f t="shared" si="5"/>
        <v>72.18796248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156</v>
      </c>
      <c r="B51" s="3" t="s">
        <v>157</v>
      </c>
      <c r="C51" s="3" t="s">
        <v>133</v>
      </c>
      <c r="D51" s="3" t="s">
        <v>29</v>
      </c>
      <c r="E51" s="3">
        <v>5.0</v>
      </c>
      <c r="F51" s="3" t="s">
        <v>27</v>
      </c>
      <c r="G51" s="3">
        <v>16.95</v>
      </c>
      <c r="I51" s="3">
        <v>20.2</v>
      </c>
      <c r="K51" s="3">
        <v>0.0</v>
      </c>
      <c r="L51" s="3">
        <v>0.0</v>
      </c>
      <c r="M51" s="3" t="s">
        <v>80</v>
      </c>
      <c r="N51" s="3">
        <v>1.0</v>
      </c>
      <c r="O51" s="3">
        <v>0.0</v>
      </c>
      <c r="P51" s="3">
        <v>-0.0141</v>
      </c>
      <c r="Q51" s="3">
        <v>0.0</v>
      </c>
      <c r="R51" s="3">
        <v>0.1423</v>
      </c>
      <c r="S51" s="3">
        <v>23.690001</v>
      </c>
      <c r="T51" s="3">
        <v>2.0</v>
      </c>
      <c r="U51" s="3">
        <f t="shared" si="2"/>
        <v>18.575</v>
      </c>
      <c r="V51" s="3"/>
      <c r="W51" s="3">
        <f t="shared" si="3"/>
        <v>18.69002878</v>
      </c>
      <c r="X51" s="3">
        <f t="shared" si="4"/>
        <v>122.7175057</v>
      </c>
      <c r="Y51" s="3">
        <f t="shared" si="5"/>
        <v>122.7048286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156</v>
      </c>
      <c r="B52" s="3" t="s">
        <v>157</v>
      </c>
      <c r="C52" s="3" t="s">
        <v>133</v>
      </c>
      <c r="D52" s="3" t="s">
        <v>29</v>
      </c>
      <c r="E52" s="3">
        <v>5.0</v>
      </c>
      <c r="F52" s="3" t="s">
        <v>27</v>
      </c>
      <c r="G52" s="3">
        <v>17.55</v>
      </c>
      <c r="I52" s="3">
        <v>20.0</v>
      </c>
      <c r="K52" s="3">
        <v>0.0</v>
      </c>
      <c r="L52" s="3">
        <v>0.0</v>
      </c>
      <c r="M52" s="3" t="s">
        <v>81</v>
      </c>
      <c r="N52" s="3">
        <v>0.0</v>
      </c>
      <c r="O52" s="3">
        <v>0.0</v>
      </c>
      <c r="P52" s="3">
        <v>0.0</v>
      </c>
      <c r="Q52" s="3">
        <v>0.0</v>
      </c>
      <c r="R52" s="4">
        <v>0.001</v>
      </c>
      <c r="S52" s="3">
        <v>23.440001</v>
      </c>
      <c r="T52" s="3">
        <v>1.0</v>
      </c>
      <c r="U52" s="3">
        <f t="shared" si="2"/>
        <v>18.775</v>
      </c>
      <c r="V52" s="3"/>
      <c r="W52" s="3">
        <f t="shared" si="3"/>
        <v>18.44001489</v>
      </c>
      <c r="X52" s="3">
        <f t="shared" si="4"/>
        <v>24526.25554</v>
      </c>
      <c r="Y52" s="3">
        <f t="shared" si="5"/>
        <v>24526.25547</v>
      </c>
      <c r="Z52" s="3">
        <f t="shared" ref="Z52:AA52" si="55">_xlfn.NORM.S.DIST(X52)</f>
        <v>1</v>
      </c>
      <c r="AA52" s="3">
        <f t="shared" si="55"/>
        <v>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158</v>
      </c>
      <c r="B2" s="3" t="s">
        <v>159</v>
      </c>
      <c r="C2" s="3" t="s">
        <v>128</v>
      </c>
      <c r="D2" s="3" t="s">
        <v>29</v>
      </c>
      <c r="E2" s="3">
        <v>22.0</v>
      </c>
      <c r="F2" s="3" t="s">
        <v>27</v>
      </c>
      <c r="G2" s="3">
        <v>22.45</v>
      </c>
      <c r="I2" s="3">
        <v>22.75</v>
      </c>
      <c r="K2" s="3">
        <v>0.0</v>
      </c>
      <c r="L2" s="3">
        <v>0.0</v>
      </c>
      <c r="M2" s="3" t="s">
        <v>30</v>
      </c>
      <c r="N2" s="3">
        <v>0.9953</v>
      </c>
      <c r="O2" s="3">
        <v>0.0</v>
      </c>
      <c r="P2" s="3">
        <v>0.6362</v>
      </c>
      <c r="Q2" s="3">
        <v>0.0047</v>
      </c>
      <c r="R2" s="3">
        <v>0.341</v>
      </c>
      <c r="S2" s="3">
        <v>44.66</v>
      </c>
      <c r="T2" s="3">
        <v>75.0</v>
      </c>
      <c r="U2" s="3">
        <f t="shared" ref="U2:U76" si="2">(I2+G2)*0.5</f>
        <v>22.6</v>
      </c>
      <c r="V2" s="3"/>
      <c r="W2" s="3">
        <f t="shared" ref="W2:W76" si="3">( S2*Z2 ) - ( E2 * EXP(-0.0007*T2/$AC$2) * AA2)</f>
        <v>22.66467878</v>
      </c>
      <c r="X2" s="3">
        <f t="shared" ref="X2:X76" si="4">((LN(S2/E2) + (0.0007 + (R2^2)/2) * T2/$AC$2)) / (R2 * SQRT(T2/$AC$2))</f>
        <v>3.900150062</v>
      </c>
      <c r="Y2" s="3">
        <f t="shared" ref="Y2:Y76" si="5">X2-(R2*SQRT(T2/$AC$2))</f>
        <v>3.71411931</v>
      </c>
      <c r="Z2" s="3">
        <f t="shared" ref="Z2:AA2" si="1">_xlfn.NORM.S.DIST(X2)</f>
        <v>0.9999519335</v>
      </c>
      <c r="AA2" s="3">
        <f t="shared" si="1"/>
        <v>0.9998980437</v>
      </c>
      <c r="AC2" s="6">
        <v>252.0</v>
      </c>
    </row>
    <row r="3" ht="14.25" customHeight="1">
      <c r="A3" s="3" t="s">
        <v>158</v>
      </c>
      <c r="B3" s="3" t="s">
        <v>159</v>
      </c>
      <c r="C3" s="3" t="s">
        <v>128</v>
      </c>
      <c r="D3" s="3" t="s">
        <v>29</v>
      </c>
      <c r="E3" s="3">
        <v>22.0</v>
      </c>
      <c r="F3" s="3" t="s">
        <v>27</v>
      </c>
      <c r="G3" s="3">
        <v>22.45</v>
      </c>
      <c r="I3" s="3">
        <v>23.9</v>
      </c>
      <c r="K3" s="3">
        <v>0.0</v>
      </c>
      <c r="L3" s="3">
        <v>0.0</v>
      </c>
      <c r="M3" s="3" t="s">
        <v>31</v>
      </c>
      <c r="N3" s="3">
        <v>0.9952</v>
      </c>
      <c r="O3" s="3">
        <v>1.0E-4</v>
      </c>
      <c r="P3" s="3">
        <v>0.6293</v>
      </c>
      <c r="Q3" s="3">
        <v>0.0131</v>
      </c>
      <c r="R3" s="3">
        <v>0.3684</v>
      </c>
      <c r="S3" s="3">
        <v>44.57</v>
      </c>
      <c r="T3" s="3">
        <v>74.0</v>
      </c>
      <c r="U3" s="3">
        <f t="shared" si="2"/>
        <v>23.175</v>
      </c>
      <c r="V3" s="3"/>
      <c r="W3" s="3">
        <f t="shared" si="3"/>
        <v>22.57483494</v>
      </c>
      <c r="X3" s="3">
        <f t="shared" si="4"/>
        <v>3.637405684</v>
      </c>
      <c r="Y3" s="3">
        <f t="shared" si="5"/>
        <v>3.437771361</v>
      </c>
      <c r="Z3" s="3">
        <f t="shared" ref="Z3:AA3" si="6">_xlfn.NORM.S.DIST(X3)</f>
        <v>0.999862301</v>
      </c>
      <c r="AA3" s="3">
        <f t="shared" si="6"/>
        <v>0.9997067386</v>
      </c>
    </row>
    <row r="4" ht="14.25" customHeight="1">
      <c r="A4" s="3" t="s">
        <v>158</v>
      </c>
      <c r="B4" s="3" t="s">
        <v>159</v>
      </c>
      <c r="C4" s="3" t="s">
        <v>128</v>
      </c>
      <c r="D4" s="3" t="s">
        <v>29</v>
      </c>
      <c r="E4" s="3">
        <v>22.0</v>
      </c>
      <c r="F4" s="3" t="s">
        <v>27</v>
      </c>
      <c r="G4" s="3">
        <v>22.15</v>
      </c>
      <c r="I4" s="3">
        <v>24.05</v>
      </c>
      <c r="K4" s="3">
        <v>0.0</v>
      </c>
      <c r="L4" s="3">
        <v>0.0</v>
      </c>
      <c r="M4" s="3" t="s">
        <v>32</v>
      </c>
      <c r="N4" s="3">
        <v>0.9977</v>
      </c>
      <c r="O4" s="3">
        <v>0.0</v>
      </c>
      <c r="P4" s="3">
        <v>0.2926</v>
      </c>
      <c r="Q4" s="3">
        <v>0.0</v>
      </c>
      <c r="R4" s="3">
        <v>0.2727</v>
      </c>
      <c r="S4" s="3">
        <v>45.360001</v>
      </c>
      <c r="T4" s="3">
        <v>73.0</v>
      </c>
      <c r="U4" s="3">
        <f t="shared" si="2"/>
        <v>23.1</v>
      </c>
      <c r="V4" s="3"/>
      <c r="W4" s="3">
        <f t="shared" si="3"/>
        <v>23.36446202</v>
      </c>
      <c r="X4" s="3">
        <f t="shared" si="4"/>
        <v>5.004748524</v>
      </c>
      <c r="Y4" s="3">
        <f t="shared" si="5"/>
        <v>4.857975481</v>
      </c>
      <c r="Z4" s="3">
        <f t="shared" ref="Z4:AA4" si="7">_xlfn.NORM.S.DIST(X4)</f>
        <v>0.9999997203</v>
      </c>
      <c r="AA4" s="3">
        <f t="shared" si="7"/>
        <v>0.999999407</v>
      </c>
    </row>
    <row r="5" ht="14.25" customHeight="1">
      <c r="A5" s="3" t="s">
        <v>158</v>
      </c>
      <c r="B5" s="3" t="s">
        <v>159</v>
      </c>
      <c r="C5" s="3" t="s">
        <v>128</v>
      </c>
      <c r="D5" s="3" t="s">
        <v>29</v>
      </c>
      <c r="E5" s="3">
        <v>22.0</v>
      </c>
      <c r="F5" s="3" t="s">
        <v>27</v>
      </c>
      <c r="G5" s="3">
        <v>23.3</v>
      </c>
      <c r="I5" s="3">
        <v>23.6</v>
      </c>
      <c r="K5" s="3">
        <v>0.0</v>
      </c>
      <c r="L5" s="3">
        <v>0.0</v>
      </c>
      <c r="M5" s="3" t="s">
        <v>33</v>
      </c>
      <c r="N5" s="3">
        <v>1.0</v>
      </c>
      <c r="O5" s="3">
        <v>0.0</v>
      </c>
      <c r="P5" s="3">
        <v>-0.0668</v>
      </c>
      <c r="Q5" s="3">
        <v>4.0E-4</v>
      </c>
      <c r="R5" s="3">
        <v>0.3106</v>
      </c>
      <c r="S5" s="3">
        <v>45.41</v>
      </c>
      <c r="T5" s="3">
        <v>72.0</v>
      </c>
      <c r="U5" s="3">
        <f t="shared" si="2"/>
        <v>23.45</v>
      </c>
      <c r="V5" s="3"/>
      <c r="W5" s="3">
        <f t="shared" si="3"/>
        <v>23.41440649</v>
      </c>
      <c r="X5" s="3">
        <f t="shared" si="4"/>
        <v>4.449221287</v>
      </c>
      <c r="Y5" s="3">
        <f t="shared" si="5"/>
        <v>4.283198604</v>
      </c>
      <c r="Z5" s="3">
        <f t="shared" ref="Z5:AA5" si="8">_xlfn.NORM.S.DIST(X5)</f>
        <v>0.9999956909</v>
      </c>
      <c r="AA5" s="3">
        <f t="shared" si="8"/>
        <v>0.9999907887</v>
      </c>
    </row>
    <row r="6" ht="14.25" customHeight="1">
      <c r="A6" s="3" t="s">
        <v>158</v>
      </c>
      <c r="B6" s="3" t="s">
        <v>159</v>
      </c>
      <c r="C6" s="3" t="s">
        <v>128</v>
      </c>
      <c r="D6" s="3" t="s">
        <v>29</v>
      </c>
      <c r="E6" s="3">
        <v>22.0</v>
      </c>
      <c r="F6" s="3" t="s">
        <v>27</v>
      </c>
      <c r="G6" s="3">
        <v>23.3</v>
      </c>
      <c r="I6" s="3">
        <v>23.6</v>
      </c>
      <c r="K6" s="3">
        <v>0.0</v>
      </c>
      <c r="L6" s="3">
        <v>0.0</v>
      </c>
      <c r="M6" s="3" t="s">
        <v>34</v>
      </c>
      <c r="N6" s="3">
        <v>1.0</v>
      </c>
      <c r="O6" s="3">
        <v>0.0</v>
      </c>
      <c r="P6" s="3">
        <v>-0.0667</v>
      </c>
      <c r="Q6" s="3">
        <v>1.0E-4</v>
      </c>
      <c r="R6" s="3">
        <v>0.295</v>
      </c>
      <c r="S6" s="3">
        <v>45.5</v>
      </c>
      <c r="T6" s="3">
        <v>71.0</v>
      </c>
      <c r="U6" s="3">
        <f t="shared" si="2"/>
        <v>23.45</v>
      </c>
      <c r="V6" s="3"/>
      <c r="W6" s="3">
        <f t="shared" si="3"/>
        <v>23.50434016</v>
      </c>
      <c r="X6" s="3">
        <f t="shared" si="4"/>
        <v>4.720281444</v>
      </c>
      <c r="Y6" s="3">
        <f t="shared" si="5"/>
        <v>4.563696169</v>
      </c>
      <c r="Z6" s="3">
        <f t="shared" ref="Z6:AA6" si="9">_xlfn.NORM.S.DIST(X6)</f>
        <v>0.9999988224</v>
      </c>
      <c r="AA6" s="3">
        <f t="shared" si="9"/>
        <v>0.999997487</v>
      </c>
    </row>
    <row r="7" ht="14.25" customHeight="1">
      <c r="A7" s="3" t="s">
        <v>158</v>
      </c>
      <c r="B7" s="3" t="s">
        <v>159</v>
      </c>
      <c r="C7" s="3" t="s">
        <v>128</v>
      </c>
      <c r="D7" s="3" t="s">
        <v>29</v>
      </c>
      <c r="E7" s="3">
        <v>22.0</v>
      </c>
      <c r="F7" s="3" t="s">
        <v>27</v>
      </c>
      <c r="G7" s="3">
        <v>23.3</v>
      </c>
      <c r="I7" s="3">
        <v>23.55</v>
      </c>
      <c r="K7" s="3">
        <v>0.0</v>
      </c>
      <c r="L7" s="3">
        <v>0.0</v>
      </c>
      <c r="M7" s="3" t="s">
        <v>35</v>
      </c>
      <c r="N7" s="3">
        <v>1.0</v>
      </c>
      <c r="O7" s="3">
        <v>0.0</v>
      </c>
      <c r="P7" s="3">
        <v>-0.0667</v>
      </c>
      <c r="Q7" s="3">
        <v>2.0E-4</v>
      </c>
      <c r="R7" s="3">
        <v>0.3024</v>
      </c>
      <c r="S7" s="3">
        <v>45.470001</v>
      </c>
      <c r="T7" s="3">
        <v>70.0</v>
      </c>
      <c r="U7" s="3">
        <f t="shared" si="2"/>
        <v>23.425</v>
      </c>
      <c r="V7" s="3"/>
      <c r="W7" s="3">
        <f t="shared" si="3"/>
        <v>23.474281</v>
      </c>
      <c r="X7" s="3">
        <f t="shared" si="4"/>
        <v>4.636159943</v>
      </c>
      <c r="Y7" s="3">
        <f t="shared" si="5"/>
        <v>4.476781149</v>
      </c>
      <c r="Z7" s="3">
        <f t="shared" ref="Z7:AA7" si="10">_xlfn.NORM.S.DIST(X7)</f>
        <v>0.9999982253</v>
      </c>
      <c r="AA7" s="3">
        <f t="shared" si="10"/>
        <v>0.9999962112</v>
      </c>
    </row>
    <row r="8" ht="14.25" customHeight="1">
      <c r="A8" s="3" t="s">
        <v>158</v>
      </c>
      <c r="B8" s="3" t="s">
        <v>159</v>
      </c>
      <c r="C8" s="3" t="s">
        <v>128</v>
      </c>
      <c r="D8" s="3" t="s">
        <v>29</v>
      </c>
      <c r="E8" s="3">
        <v>22.0</v>
      </c>
      <c r="F8" s="3" t="s">
        <v>27</v>
      </c>
      <c r="G8" s="3">
        <v>23.95</v>
      </c>
      <c r="I8" s="3">
        <v>24.25</v>
      </c>
      <c r="K8" s="3">
        <v>0.0</v>
      </c>
      <c r="L8" s="3">
        <v>0.0</v>
      </c>
      <c r="M8" s="3" t="s">
        <v>36</v>
      </c>
      <c r="N8" s="3">
        <v>0.9981</v>
      </c>
      <c r="O8" s="3">
        <v>0.0</v>
      </c>
      <c r="P8" s="3">
        <v>0.2551</v>
      </c>
      <c r="Q8" s="3">
        <v>2.0E-4</v>
      </c>
      <c r="R8" s="3">
        <v>0.316</v>
      </c>
      <c r="S8" s="3">
        <v>46.150002</v>
      </c>
      <c r="T8" s="3">
        <v>69.0</v>
      </c>
      <c r="U8" s="3">
        <f t="shared" si="2"/>
        <v>24.1</v>
      </c>
      <c r="V8" s="3"/>
      <c r="W8" s="3">
        <f t="shared" si="3"/>
        <v>24.15422225</v>
      </c>
      <c r="X8" s="3">
        <f t="shared" si="4"/>
        <v>4.564285091</v>
      </c>
      <c r="Y8" s="3">
        <f t="shared" si="5"/>
        <v>4.398932366</v>
      </c>
      <c r="Z8" s="3">
        <f t="shared" ref="Z8:AA8" si="11">_xlfn.NORM.S.DIST(X8)</f>
        <v>0.999997494</v>
      </c>
      <c r="AA8" s="3">
        <f t="shared" si="11"/>
        <v>0.9999945608</v>
      </c>
    </row>
    <row r="9" ht="14.25" customHeight="1">
      <c r="A9" s="3" t="s">
        <v>158</v>
      </c>
      <c r="B9" s="3" t="s">
        <v>159</v>
      </c>
      <c r="C9" s="3" t="s">
        <v>128</v>
      </c>
      <c r="D9" s="3" t="s">
        <v>29</v>
      </c>
      <c r="E9" s="3">
        <v>22.0</v>
      </c>
      <c r="F9" s="3" t="s">
        <v>27</v>
      </c>
      <c r="G9" s="3">
        <v>23.95</v>
      </c>
      <c r="I9" s="3">
        <v>24.25</v>
      </c>
      <c r="K9" s="3">
        <v>0.0</v>
      </c>
      <c r="L9" s="3">
        <v>0.0</v>
      </c>
      <c r="M9" s="3" t="s">
        <v>37</v>
      </c>
      <c r="N9" s="3">
        <v>0.9962</v>
      </c>
      <c r="O9" s="3">
        <v>0.0</v>
      </c>
      <c r="P9" s="3">
        <v>0.5745</v>
      </c>
      <c r="Q9" s="3">
        <v>0.0011</v>
      </c>
      <c r="R9" s="3">
        <v>0.3431</v>
      </c>
      <c r="S9" s="3">
        <v>46.139999</v>
      </c>
      <c r="T9" s="3">
        <v>68.0</v>
      </c>
      <c r="U9" s="3">
        <f t="shared" si="2"/>
        <v>24.1</v>
      </c>
      <c r="V9" s="3"/>
      <c r="W9" s="3">
        <f t="shared" si="3"/>
        <v>24.14417413</v>
      </c>
      <c r="X9" s="3">
        <f t="shared" si="4"/>
        <v>4.245746994</v>
      </c>
      <c r="Y9" s="3">
        <f t="shared" si="5"/>
        <v>4.067519417</v>
      </c>
      <c r="Z9" s="3">
        <f t="shared" ref="Z9:AA9" si="12">_xlfn.NORM.S.DIST(X9)</f>
        <v>0.9999891067</v>
      </c>
      <c r="AA9" s="3">
        <f t="shared" si="12"/>
        <v>0.9999762419</v>
      </c>
    </row>
    <row r="10" ht="14.25" customHeight="1">
      <c r="A10" s="3" t="s">
        <v>158</v>
      </c>
      <c r="B10" s="3" t="s">
        <v>159</v>
      </c>
      <c r="C10" s="3" t="s">
        <v>128</v>
      </c>
      <c r="D10" s="3" t="s">
        <v>29</v>
      </c>
      <c r="E10" s="3">
        <v>22.0</v>
      </c>
      <c r="F10" s="3" t="s">
        <v>27</v>
      </c>
      <c r="G10" s="3">
        <v>23.8</v>
      </c>
      <c r="I10" s="3">
        <v>24.05</v>
      </c>
      <c r="K10" s="3">
        <v>0.0</v>
      </c>
      <c r="L10" s="3">
        <v>0.0</v>
      </c>
      <c r="M10" s="3" t="s">
        <v>38</v>
      </c>
      <c r="N10" s="3">
        <v>0.9769</v>
      </c>
      <c r="O10" s="3">
        <v>0.0027</v>
      </c>
      <c r="P10" s="3">
        <v>-1.1465</v>
      </c>
      <c r="Q10" s="3">
        <v>1.1231</v>
      </c>
      <c r="R10" s="3">
        <v>0.7703</v>
      </c>
      <c r="S10" s="3">
        <v>45.880001</v>
      </c>
      <c r="T10" s="3">
        <v>67.0</v>
      </c>
      <c r="U10" s="3">
        <f t="shared" si="2"/>
        <v>23.925</v>
      </c>
      <c r="V10" s="3"/>
      <c r="W10" s="3">
        <f t="shared" si="3"/>
        <v>24.03999604</v>
      </c>
      <c r="X10" s="3">
        <f t="shared" si="4"/>
        <v>2.049535108</v>
      </c>
      <c r="Y10" s="3">
        <f t="shared" si="5"/>
        <v>1.652346276</v>
      </c>
      <c r="Z10" s="3">
        <f t="shared" ref="Z10:AA10" si="13">_xlfn.NORM.S.DIST(X10)</f>
        <v>0.9797950908</v>
      </c>
      <c r="AA10" s="3">
        <f t="shared" si="13"/>
        <v>0.9507680096</v>
      </c>
    </row>
    <row r="11" ht="14.25" customHeight="1">
      <c r="A11" s="3" t="s">
        <v>158</v>
      </c>
      <c r="B11" s="3" t="s">
        <v>159</v>
      </c>
      <c r="C11" s="3" t="s">
        <v>128</v>
      </c>
      <c r="D11" s="3" t="s">
        <v>29</v>
      </c>
      <c r="E11" s="3">
        <v>22.0</v>
      </c>
      <c r="F11" s="3" t="s">
        <v>27</v>
      </c>
      <c r="G11" s="3">
        <v>23.8</v>
      </c>
      <c r="I11" s="3">
        <v>24.5</v>
      </c>
      <c r="K11" s="3">
        <v>0.0</v>
      </c>
      <c r="L11" s="3">
        <v>0.0</v>
      </c>
      <c r="M11" s="3" t="s">
        <v>39</v>
      </c>
      <c r="N11" s="3">
        <v>0.9967</v>
      </c>
      <c r="O11" s="3">
        <v>0.0</v>
      </c>
      <c r="P11" s="3">
        <v>0.5266</v>
      </c>
      <c r="Q11" s="3">
        <v>1.0E-4</v>
      </c>
      <c r="R11" s="3">
        <v>0.3106</v>
      </c>
      <c r="S11" s="3">
        <v>46.349998</v>
      </c>
      <c r="T11" s="3">
        <v>66.0</v>
      </c>
      <c r="U11" s="3">
        <f t="shared" si="2"/>
        <v>24.15</v>
      </c>
      <c r="V11" s="3"/>
      <c r="W11" s="3">
        <f t="shared" si="3"/>
        <v>24.35403233</v>
      </c>
      <c r="X11" s="3">
        <f t="shared" si="4"/>
        <v>4.768627834</v>
      </c>
      <c r="Y11" s="3">
        <f t="shared" si="5"/>
        <v>4.609673216</v>
      </c>
      <c r="Z11" s="3">
        <f t="shared" ref="Z11:AA11" si="14">_xlfn.NORM.S.DIST(X11)</f>
        <v>0.9999990726</v>
      </c>
      <c r="AA11" s="3">
        <f t="shared" si="14"/>
        <v>0.9999979835</v>
      </c>
    </row>
    <row r="12" ht="14.25" customHeight="1">
      <c r="A12" s="3" t="s">
        <v>158</v>
      </c>
      <c r="B12" s="3" t="s">
        <v>159</v>
      </c>
      <c r="C12" s="3" t="s">
        <v>128</v>
      </c>
      <c r="D12" s="3" t="s">
        <v>29</v>
      </c>
      <c r="E12" s="3">
        <v>22.0</v>
      </c>
      <c r="F12" s="3" t="s">
        <v>27</v>
      </c>
      <c r="G12" s="3">
        <v>23.25</v>
      </c>
      <c r="I12" s="3">
        <v>25.4</v>
      </c>
      <c r="K12" s="3">
        <v>0.0</v>
      </c>
      <c r="L12" s="3">
        <v>0.0</v>
      </c>
      <c r="M12" s="3" t="s">
        <v>40</v>
      </c>
      <c r="N12" s="3">
        <v>0.9966</v>
      </c>
      <c r="O12" s="3">
        <v>0.0</v>
      </c>
      <c r="P12" s="3">
        <v>0.5588</v>
      </c>
      <c r="Q12" s="3">
        <v>0.0</v>
      </c>
      <c r="R12" s="3">
        <v>0.2655</v>
      </c>
      <c r="S12" s="3">
        <v>46.82</v>
      </c>
      <c r="T12" s="3">
        <v>65.0</v>
      </c>
      <c r="U12" s="3">
        <f t="shared" si="2"/>
        <v>24.325</v>
      </c>
      <c r="V12" s="3"/>
      <c r="W12" s="3">
        <f t="shared" si="3"/>
        <v>24.82397187</v>
      </c>
      <c r="X12" s="3">
        <f t="shared" si="4"/>
        <v>5.669947451</v>
      </c>
      <c r="Y12" s="3">
        <f t="shared" si="5"/>
        <v>5.535106771</v>
      </c>
      <c r="Z12" s="3">
        <f t="shared" ref="Z12:AA12" si="15">_xlfn.NORM.S.DIST(X12)</f>
        <v>0.9999999929</v>
      </c>
      <c r="AA12" s="3">
        <f t="shared" si="15"/>
        <v>0.9999999844</v>
      </c>
    </row>
    <row r="13" ht="14.25" customHeight="1">
      <c r="A13" s="3" t="s">
        <v>158</v>
      </c>
      <c r="B13" s="3" t="s">
        <v>159</v>
      </c>
      <c r="C13" s="3" t="s">
        <v>128</v>
      </c>
      <c r="D13" s="3" t="s">
        <v>29</v>
      </c>
      <c r="E13" s="3">
        <v>22.0</v>
      </c>
      <c r="F13" s="3" t="s">
        <v>27</v>
      </c>
      <c r="G13" s="3">
        <v>24.0</v>
      </c>
      <c r="I13" s="3">
        <v>25.9</v>
      </c>
      <c r="K13" s="3">
        <v>0.0</v>
      </c>
      <c r="L13" s="3">
        <v>0.0</v>
      </c>
      <c r="M13" s="3" t="s">
        <v>41</v>
      </c>
      <c r="N13" s="3">
        <v>0.9949</v>
      </c>
      <c r="O13" s="3">
        <v>5.0E-4</v>
      </c>
      <c r="P13" s="3">
        <v>0.3807</v>
      </c>
      <c r="Q13" s="3">
        <v>0.1384</v>
      </c>
      <c r="R13" s="3">
        <v>0.5353</v>
      </c>
      <c r="S13" s="3">
        <v>46.439999</v>
      </c>
      <c r="T13" s="3">
        <v>64.0</v>
      </c>
      <c r="U13" s="3">
        <f t="shared" si="2"/>
        <v>24.95</v>
      </c>
      <c r="V13" s="3"/>
      <c r="W13" s="3">
        <f t="shared" si="3"/>
        <v>24.45110434</v>
      </c>
      <c r="X13" s="3">
        <f t="shared" si="4"/>
        <v>2.905050007</v>
      </c>
      <c r="Y13" s="3">
        <f t="shared" si="5"/>
        <v>2.635284164</v>
      </c>
      <c r="Z13" s="3">
        <f t="shared" ref="Z13:AA13" si="16">_xlfn.NORM.S.DIST(X13)</f>
        <v>0.9981640279</v>
      </c>
      <c r="AA13" s="3">
        <f t="shared" si="16"/>
        <v>0.9957966564</v>
      </c>
    </row>
    <row r="14" ht="14.25" customHeight="1">
      <c r="A14" s="3" t="s">
        <v>158</v>
      </c>
      <c r="B14" s="3" t="s">
        <v>159</v>
      </c>
      <c r="C14" s="3" t="s">
        <v>128</v>
      </c>
      <c r="D14" s="3" t="s">
        <v>29</v>
      </c>
      <c r="E14" s="3">
        <v>22.0</v>
      </c>
      <c r="F14" s="3" t="s">
        <v>27</v>
      </c>
      <c r="G14" s="3">
        <v>22.8</v>
      </c>
      <c r="I14" s="3">
        <v>26.0</v>
      </c>
      <c r="K14" s="3">
        <v>0.0</v>
      </c>
      <c r="L14" s="3">
        <v>0.0</v>
      </c>
      <c r="M14" s="3" t="s">
        <v>42</v>
      </c>
      <c r="N14" s="3">
        <v>0.9968</v>
      </c>
      <c r="O14" s="3">
        <v>0.0</v>
      </c>
      <c r="P14" s="3">
        <v>0.5256</v>
      </c>
      <c r="Q14" s="3">
        <v>0.0</v>
      </c>
      <c r="R14" s="3">
        <v>0.3015</v>
      </c>
      <c r="S14" s="3">
        <v>46.459999</v>
      </c>
      <c r="T14" s="3">
        <v>63.0</v>
      </c>
      <c r="U14" s="3">
        <f t="shared" si="2"/>
        <v>24.4</v>
      </c>
      <c r="V14" s="3"/>
      <c r="W14" s="3">
        <f t="shared" si="3"/>
        <v>24.46384898</v>
      </c>
      <c r="X14" s="3">
        <f t="shared" si="4"/>
        <v>5.035403209</v>
      </c>
      <c r="Y14" s="3">
        <f t="shared" si="5"/>
        <v>4.884653209</v>
      </c>
      <c r="Z14" s="3">
        <f t="shared" ref="Z14:AA14" si="17">_xlfn.NORM.S.DIST(X14)</f>
        <v>0.9999997616</v>
      </c>
      <c r="AA14" s="3">
        <f t="shared" si="17"/>
        <v>0.9999994819</v>
      </c>
    </row>
    <row r="15" ht="14.25" customHeight="1">
      <c r="A15" s="3" t="s">
        <v>158</v>
      </c>
      <c r="B15" s="3" t="s">
        <v>159</v>
      </c>
      <c r="C15" s="3" t="s">
        <v>128</v>
      </c>
      <c r="D15" s="3" t="s">
        <v>29</v>
      </c>
      <c r="E15" s="3">
        <v>22.0</v>
      </c>
      <c r="F15" s="3" t="s">
        <v>27</v>
      </c>
      <c r="G15" s="3">
        <v>22.7</v>
      </c>
      <c r="I15" s="3">
        <v>26.15</v>
      </c>
      <c r="K15" s="3">
        <v>0.0</v>
      </c>
      <c r="L15" s="3">
        <v>0.0</v>
      </c>
      <c r="M15" s="3" t="s">
        <v>43</v>
      </c>
      <c r="N15" s="3">
        <v>0.997</v>
      </c>
      <c r="O15" s="3">
        <v>0.0</v>
      </c>
      <c r="P15" s="3">
        <v>0.5177</v>
      </c>
      <c r="Q15" s="3">
        <v>0.0</v>
      </c>
      <c r="R15" s="3">
        <v>0.2486</v>
      </c>
      <c r="S15" s="3">
        <v>46.540001</v>
      </c>
      <c r="T15" s="3">
        <v>62.0</v>
      </c>
      <c r="U15" s="3">
        <f t="shared" si="2"/>
        <v>24.425</v>
      </c>
      <c r="V15" s="3"/>
      <c r="W15" s="3">
        <f t="shared" si="3"/>
        <v>24.54378956</v>
      </c>
      <c r="X15" s="3">
        <f t="shared" si="4"/>
        <v>6.139383325</v>
      </c>
      <c r="Y15" s="3">
        <f t="shared" si="5"/>
        <v>6.016073779</v>
      </c>
      <c r="Z15" s="3">
        <f t="shared" ref="Z15:AA15" si="18">_xlfn.NORM.S.DIST(X15)</f>
        <v>0.9999999996</v>
      </c>
      <c r="AA15" s="3">
        <f t="shared" si="18"/>
        <v>0.9999999991</v>
      </c>
    </row>
    <row r="16" ht="14.25" customHeight="1">
      <c r="A16" s="3" t="s">
        <v>158</v>
      </c>
      <c r="B16" s="3" t="s">
        <v>159</v>
      </c>
      <c r="C16" s="3" t="s">
        <v>128</v>
      </c>
      <c r="D16" s="3" t="s">
        <v>29</v>
      </c>
      <c r="E16" s="3">
        <v>22.0</v>
      </c>
      <c r="F16" s="3" t="s">
        <v>27</v>
      </c>
      <c r="G16" s="3">
        <v>22.25</v>
      </c>
      <c r="I16" s="3">
        <v>26.0</v>
      </c>
      <c r="K16" s="3">
        <v>0.0</v>
      </c>
      <c r="L16" s="3">
        <v>0.0</v>
      </c>
      <c r="M16" s="3" t="s">
        <v>44</v>
      </c>
      <c r="N16" s="3">
        <v>0.997</v>
      </c>
      <c r="O16" s="3">
        <v>0.0</v>
      </c>
      <c r="P16" s="3">
        <v>0.5096</v>
      </c>
      <c r="Q16" s="3">
        <v>0.0042</v>
      </c>
      <c r="R16" s="3">
        <v>0.3985</v>
      </c>
      <c r="S16" s="3">
        <v>46.23</v>
      </c>
      <c r="T16" s="3">
        <v>61.0</v>
      </c>
      <c r="U16" s="3">
        <f t="shared" si="2"/>
        <v>24.125</v>
      </c>
      <c r="V16" s="3"/>
      <c r="W16" s="3">
        <f t="shared" si="3"/>
        <v>24.2338388</v>
      </c>
      <c r="X16" s="3">
        <f t="shared" si="4"/>
        <v>3.886407576</v>
      </c>
      <c r="Y16" s="3">
        <f t="shared" si="5"/>
        <v>3.690345782</v>
      </c>
      <c r="Z16" s="3">
        <f t="shared" ref="Z16:AA16" si="19">_xlfn.NORM.S.DIST(X16)</f>
        <v>0.9999491307</v>
      </c>
      <c r="AA16" s="3">
        <f t="shared" si="19"/>
        <v>0.9998880253</v>
      </c>
    </row>
    <row r="17" ht="14.25" customHeight="1">
      <c r="A17" s="3" t="s">
        <v>158</v>
      </c>
      <c r="B17" s="3" t="s">
        <v>159</v>
      </c>
      <c r="C17" s="3" t="s">
        <v>128</v>
      </c>
      <c r="D17" s="3" t="s">
        <v>29</v>
      </c>
      <c r="E17" s="3">
        <v>22.0</v>
      </c>
      <c r="F17" s="3" t="s">
        <v>27</v>
      </c>
      <c r="G17" s="3">
        <v>22.45</v>
      </c>
      <c r="I17" s="3">
        <v>26.05</v>
      </c>
      <c r="K17" s="3">
        <v>0.0</v>
      </c>
      <c r="L17" s="3">
        <v>0.0</v>
      </c>
      <c r="M17" s="3" t="s">
        <v>45</v>
      </c>
      <c r="N17" s="3">
        <v>0.9971</v>
      </c>
      <c r="O17" s="3">
        <v>0.0</v>
      </c>
      <c r="P17" s="3">
        <v>0.5139</v>
      </c>
      <c r="Q17" s="3">
        <v>0.0011</v>
      </c>
      <c r="R17" s="3">
        <v>0.3721</v>
      </c>
      <c r="S17" s="3">
        <v>46.369999</v>
      </c>
      <c r="T17" s="3">
        <v>60.0</v>
      </c>
      <c r="U17" s="3">
        <f t="shared" si="2"/>
        <v>24.25</v>
      </c>
      <c r="V17" s="3"/>
      <c r="W17" s="3">
        <f t="shared" si="3"/>
        <v>24.37369086</v>
      </c>
      <c r="X17" s="3">
        <f t="shared" si="4"/>
        <v>4.198248343</v>
      </c>
      <c r="Y17" s="3">
        <f t="shared" si="5"/>
        <v>4.016682134</v>
      </c>
      <c r="Z17" s="3">
        <f t="shared" ref="Z17:AA17" si="20">_xlfn.NORM.S.DIST(X17)</f>
        <v>0.9999865506</v>
      </c>
      <c r="AA17" s="3">
        <f t="shared" si="20"/>
        <v>0.9999704884</v>
      </c>
    </row>
    <row r="18" ht="14.25" customHeight="1">
      <c r="A18" s="3" t="s">
        <v>158</v>
      </c>
      <c r="B18" s="3" t="s">
        <v>159</v>
      </c>
      <c r="C18" s="3" t="s">
        <v>128</v>
      </c>
      <c r="D18" s="3" t="s">
        <v>29</v>
      </c>
      <c r="E18" s="3">
        <v>22.0</v>
      </c>
      <c r="F18" s="3" t="s">
        <v>27</v>
      </c>
      <c r="G18" s="3">
        <v>22.9</v>
      </c>
      <c r="I18" s="3">
        <v>26.7</v>
      </c>
      <c r="K18" s="3">
        <v>0.0</v>
      </c>
      <c r="L18" s="3">
        <v>0.0</v>
      </c>
      <c r="M18" s="3" t="s">
        <v>46</v>
      </c>
      <c r="N18" s="3">
        <v>0.9971</v>
      </c>
      <c r="O18" s="3">
        <v>0.0</v>
      </c>
      <c r="P18" s="3">
        <v>0.5182</v>
      </c>
      <c r="Q18" s="3">
        <v>2.0E-4</v>
      </c>
      <c r="R18" s="3">
        <v>0.3525</v>
      </c>
      <c r="S18" s="3">
        <v>47.16</v>
      </c>
      <c r="T18" s="3">
        <v>59.0</v>
      </c>
      <c r="U18" s="3">
        <f t="shared" si="2"/>
        <v>24.8</v>
      </c>
      <c r="V18" s="3"/>
      <c r="W18" s="3">
        <f t="shared" si="3"/>
        <v>25.16360963</v>
      </c>
      <c r="X18" s="3">
        <f t="shared" si="4"/>
        <v>4.556752208</v>
      </c>
      <c r="Y18" s="3">
        <f t="shared" si="5"/>
        <v>4.386189196</v>
      </c>
      <c r="Z18" s="3">
        <f t="shared" ref="Z18:AA18" si="21">_xlfn.NORM.S.DIST(X18)</f>
        <v>0.9999974025</v>
      </c>
      <c r="AA18" s="3">
        <f t="shared" si="21"/>
        <v>0.9999942323</v>
      </c>
    </row>
    <row r="19" ht="14.25" customHeight="1">
      <c r="A19" s="3" t="s">
        <v>158</v>
      </c>
      <c r="B19" s="3" t="s">
        <v>159</v>
      </c>
      <c r="C19" s="3" t="s">
        <v>128</v>
      </c>
      <c r="D19" s="3" t="s">
        <v>29</v>
      </c>
      <c r="E19" s="3">
        <v>22.0</v>
      </c>
      <c r="F19" s="3" t="s">
        <v>27</v>
      </c>
      <c r="G19" s="3">
        <v>23.25</v>
      </c>
      <c r="I19" s="3">
        <v>26.25</v>
      </c>
      <c r="K19" s="3">
        <v>0.0</v>
      </c>
      <c r="L19" s="3">
        <v>0.0</v>
      </c>
      <c r="M19" s="3" t="s">
        <v>47</v>
      </c>
      <c r="N19" s="3">
        <v>0.9986</v>
      </c>
      <c r="O19" s="3">
        <v>0.0</v>
      </c>
      <c r="P19" s="3">
        <v>0.2255</v>
      </c>
      <c r="Q19" s="3">
        <v>0.001</v>
      </c>
      <c r="R19" s="3">
        <v>0.3803</v>
      </c>
      <c r="S19" s="3">
        <v>46.639999</v>
      </c>
      <c r="T19" s="3">
        <v>58.0</v>
      </c>
      <c r="U19" s="3">
        <f t="shared" si="2"/>
        <v>24.75</v>
      </c>
      <c r="V19" s="3"/>
      <c r="W19" s="3">
        <f t="shared" si="3"/>
        <v>24.6435675</v>
      </c>
      <c r="X19" s="3">
        <f t="shared" si="4"/>
        <v>4.210620099</v>
      </c>
      <c r="Y19" s="3">
        <f t="shared" si="5"/>
        <v>4.028171702</v>
      </c>
      <c r="Z19" s="3">
        <f t="shared" ref="Z19:AA19" si="22">_xlfn.NORM.S.DIST(X19)</f>
        <v>0.9999872665</v>
      </c>
      <c r="AA19" s="3">
        <f t="shared" si="22"/>
        <v>0.9999718939</v>
      </c>
    </row>
    <row r="20" ht="14.25" customHeight="1">
      <c r="A20" s="3" t="s">
        <v>158</v>
      </c>
      <c r="B20" s="3" t="s">
        <v>159</v>
      </c>
      <c r="C20" s="3" t="s">
        <v>128</v>
      </c>
      <c r="D20" s="3" t="s">
        <v>29</v>
      </c>
      <c r="E20" s="3">
        <v>22.0</v>
      </c>
      <c r="F20" s="3" t="s">
        <v>27</v>
      </c>
      <c r="G20" s="3">
        <v>23.05</v>
      </c>
      <c r="I20" s="3">
        <v>26.6</v>
      </c>
      <c r="K20" s="3">
        <v>0.0</v>
      </c>
      <c r="L20" s="3">
        <v>0.0</v>
      </c>
      <c r="M20" s="3" t="s">
        <v>48</v>
      </c>
      <c r="N20" s="3">
        <v>1.0</v>
      </c>
      <c r="O20" s="3">
        <v>0.0</v>
      </c>
      <c r="P20" s="3">
        <v>-0.0667</v>
      </c>
      <c r="Q20" s="3">
        <v>0.0</v>
      </c>
      <c r="R20" s="3">
        <v>0.2703</v>
      </c>
      <c r="S20" s="3">
        <v>47.119999</v>
      </c>
      <c r="T20" s="3">
        <v>57.0</v>
      </c>
      <c r="U20" s="3">
        <f t="shared" si="2"/>
        <v>24.825</v>
      </c>
      <c r="V20" s="3"/>
      <c r="W20" s="3">
        <f t="shared" si="3"/>
        <v>25.12348206</v>
      </c>
      <c r="X20" s="3">
        <f t="shared" si="4"/>
        <v>5.990327899</v>
      </c>
      <c r="Y20" s="3">
        <f t="shared" si="5"/>
        <v>5.861774606</v>
      </c>
      <c r="Z20" s="3">
        <f t="shared" ref="Z20:AA20" si="23">_xlfn.NORM.S.DIST(X20)</f>
        <v>0.999999999</v>
      </c>
      <c r="AA20" s="3">
        <f t="shared" si="23"/>
        <v>0.9999999977</v>
      </c>
    </row>
    <row r="21" ht="14.25" customHeight="1">
      <c r="A21" s="3" t="s">
        <v>158</v>
      </c>
      <c r="B21" s="3" t="s">
        <v>159</v>
      </c>
      <c r="C21" s="3" t="s">
        <v>128</v>
      </c>
      <c r="D21" s="3" t="s">
        <v>29</v>
      </c>
      <c r="E21" s="3">
        <v>22.0</v>
      </c>
      <c r="F21" s="3" t="s">
        <v>27</v>
      </c>
      <c r="G21" s="3">
        <v>24.55</v>
      </c>
      <c r="I21" s="3">
        <v>26.5</v>
      </c>
      <c r="K21" s="3">
        <v>0.0</v>
      </c>
      <c r="L21" s="3">
        <v>0.0</v>
      </c>
      <c r="M21" s="3" t="s">
        <v>49</v>
      </c>
      <c r="N21" s="3">
        <v>1.0</v>
      </c>
      <c r="O21" s="3">
        <v>0.0</v>
      </c>
      <c r="P21" s="3">
        <v>-0.0667</v>
      </c>
      <c r="Q21" s="3">
        <v>0.0</v>
      </c>
      <c r="R21" s="3">
        <v>0.2938</v>
      </c>
      <c r="S21" s="3">
        <v>47.130001</v>
      </c>
      <c r="T21" s="3">
        <v>56.0</v>
      </c>
      <c r="U21" s="3">
        <f t="shared" si="2"/>
        <v>25.525</v>
      </c>
      <c r="V21" s="3"/>
      <c r="W21" s="3">
        <f t="shared" si="3"/>
        <v>25.13342297</v>
      </c>
      <c r="X21" s="3">
        <f t="shared" si="4"/>
        <v>5.571273165</v>
      </c>
      <c r="Y21" s="3">
        <f t="shared" si="5"/>
        <v>5.432774517</v>
      </c>
      <c r="Z21" s="3">
        <f t="shared" ref="Z21:AA21" si="24">_xlfn.NORM.S.DIST(X21)</f>
        <v>0.9999999874</v>
      </c>
      <c r="AA21" s="3">
        <f t="shared" si="24"/>
        <v>0.9999999723</v>
      </c>
    </row>
    <row r="22" ht="14.25" customHeight="1">
      <c r="A22" s="3" t="s">
        <v>158</v>
      </c>
      <c r="B22" s="3" t="s">
        <v>159</v>
      </c>
      <c r="C22" s="3" t="s">
        <v>128</v>
      </c>
      <c r="D22" s="3" t="s">
        <v>29</v>
      </c>
      <c r="E22" s="3">
        <v>22.0</v>
      </c>
      <c r="F22" s="3" t="s">
        <v>27</v>
      </c>
      <c r="G22" s="3">
        <v>24.55</v>
      </c>
      <c r="I22" s="3">
        <v>26.45</v>
      </c>
      <c r="K22" s="3">
        <v>0.0</v>
      </c>
      <c r="L22" s="3">
        <v>0.0</v>
      </c>
      <c r="M22" s="3" t="s">
        <v>50</v>
      </c>
      <c r="N22" s="3">
        <v>0.9986</v>
      </c>
      <c r="O22" s="3">
        <v>0.0</v>
      </c>
      <c r="P22" s="3">
        <v>0.2318</v>
      </c>
      <c r="Q22" s="3">
        <v>1.0E-4</v>
      </c>
      <c r="R22" s="3">
        <v>0.3488</v>
      </c>
      <c r="S22" s="3">
        <v>47.049999</v>
      </c>
      <c r="T22" s="3">
        <v>55.0</v>
      </c>
      <c r="U22" s="3">
        <f t="shared" si="2"/>
        <v>25.5</v>
      </c>
      <c r="V22" s="3"/>
      <c r="W22" s="3">
        <f t="shared" si="3"/>
        <v>25.05336144</v>
      </c>
      <c r="X22" s="3">
        <f t="shared" si="4"/>
        <v>4.747419702</v>
      </c>
      <c r="Y22" s="3">
        <f t="shared" si="5"/>
        <v>4.584468507</v>
      </c>
      <c r="Z22" s="3">
        <f t="shared" ref="Z22:AA22" si="25">_xlfn.NORM.S.DIST(X22)</f>
        <v>0.9999989699</v>
      </c>
      <c r="AA22" s="3">
        <f t="shared" si="25"/>
        <v>0.9999977243</v>
      </c>
    </row>
    <row r="23" ht="14.25" customHeight="1">
      <c r="A23" s="3" t="s">
        <v>158</v>
      </c>
      <c r="B23" s="3" t="s">
        <v>159</v>
      </c>
      <c r="C23" s="3" t="s">
        <v>129</v>
      </c>
      <c r="D23" s="3" t="s">
        <v>29</v>
      </c>
      <c r="E23" s="3">
        <v>22.0</v>
      </c>
      <c r="F23" s="3" t="s">
        <v>27</v>
      </c>
      <c r="G23" s="3">
        <v>24.4</v>
      </c>
      <c r="I23" s="3">
        <v>27.0</v>
      </c>
      <c r="K23" s="3">
        <v>0.0</v>
      </c>
      <c r="L23" s="3">
        <v>0.0</v>
      </c>
      <c r="M23" s="3" t="s">
        <v>52</v>
      </c>
      <c r="N23" s="3">
        <v>0.9973</v>
      </c>
      <c r="O23" s="3">
        <v>0.0</v>
      </c>
      <c r="P23" s="3">
        <v>0.5424</v>
      </c>
      <c r="Q23" s="3">
        <v>0.0</v>
      </c>
      <c r="R23" s="3">
        <v>0.3446</v>
      </c>
      <c r="S23" s="3">
        <v>47.849998</v>
      </c>
      <c r="T23" s="3">
        <v>54.0</v>
      </c>
      <c r="U23" s="3">
        <f t="shared" si="2"/>
        <v>25.7</v>
      </c>
      <c r="V23" s="3"/>
      <c r="W23" s="3">
        <f t="shared" si="3"/>
        <v>25.8532983</v>
      </c>
      <c r="X23" s="3">
        <f t="shared" si="4"/>
        <v>4.951778293</v>
      </c>
      <c r="Y23" s="3">
        <f t="shared" si="5"/>
        <v>4.79225949</v>
      </c>
      <c r="Z23" s="3">
        <f t="shared" ref="Z23:AA23" si="26">_xlfn.NORM.S.DIST(X23)</f>
        <v>0.9999996323</v>
      </c>
      <c r="AA23" s="3">
        <f t="shared" si="26"/>
        <v>0.9999991754</v>
      </c>
    </row>
    <row r="24" ht="14.25" customHeight="1">
      <c r="A24" s="3" t="s">
        <v>158</v>
      </c>
      <c r="B24" s="3" t="s">
        <v>159</v>
      </c>
      <c r="C24" s="3" t="s">
        <v>129</v>
      </c>
      <c r="D24" s="3" t="s">
        <v>29</v>
      </c>
      <c r="E24" s="3">
        <v>22.0</v>
      </c>
      <c r="F24" s="3" t="s">
        <v>27</v>
      </c>
      <c r="G24" s="3">
        <v>25.5</v>
      </c>
      <c r="I24" s="3">
        <v>25.95</v>
      </c>
      <c r="K24" s="3">
        <v>0.0</v>
      </c>
      <c r="L24" s="3">
        <v>0.0</v>
      </c>
      <c r="M24" s="3" t="s">
        <v>53</v>
      </c>
      <c r="N24" s="3">
        <v>0.9971</v>
      </c>
      <c r="O24" s="3">
        <v>0.0</v>
      </c>
      <c r="P24" s="3">
        <v>0.6077</v>
      </c>
      <c r="Q24" s="3">
        <v>8.0E-4</v>
      </c>
      <c r="R24" s="3">
        <v>0.4056</v>
      </c>
      <c r="S24" s="3">
        <v>47.68</v>
      </c>
      <c r="T24" s="3">
        <v>53.0</v>
      </c>
      <c r="U24" s="3">
        <f t="shared" si="2"/>
        <v>25.725</v>
      </c>
      <c r="V24" s="3"/>
      <c r="W24" s="3">
        <f t="shared" si="3"/>
        <v>25.68325959</v>
      </c>
      <c r="X24" s="3">
        <f t="shared" si="4"/>
        <v>4.252017845</v>
      </c>
      <c r="Y24" s="3">
        <f t="shared" si="5"/>
        <v>4.066008137</v>
      </c>
      <c r="Z24" s="3">
        <f t="shared" ref="Z24:AA24" si="27">_xlfn.NORM.S.DIST(X24)</f>
        <v>0.9999894074</v>
      </c>
      <c r="AA24" s="3">
        <f t="shared" si="27"/>
        <v>0.9999760874</v>
      </c>
    </row>
    <row r="25" ht="14.25" customHeight="1">
      <c r="A25" s="3" t="s">
        <v>158</v>
      </c>
      <c r="B25" s="3" t="s">
        <v>159</v>
      </c>
      <c r="C25" s="3" t="s">
        <v>129</v>
      </c>
      <c r="D25" s="3" t="s">
        <v>29</v>
      </c>
      <c r="E25" s="3">
        <v>22.0</v>
      </c>
      <c r="F25" s="3" t="s">
        <v>27</v>
      </c>
      <c r="G25" s="3">
        <v>25.2</v>
      </c>
      <c r="I25" s="3">
        <v>27.45</v>
      </c>
      <c r="K25" s="3">
        <v>0.0</v>
      </c>
      <c r="L25" s="3">
        <v>0.0</v>
      </c>
      <c r="M25" s="3" t="s">
        <v>54</v>
      </c>
      <c r="N25" s="3">
        <v>0.9971</v>
      </c>
      <c r="O25" s="3">
        <v>0.0</v>
      </c>
      <c r="P25" s="3">
        <v>0.6296</v>
      </c>
      <c r="Q25" s="3">
        <v>0.0</v>
      </c>
      <c r="R25" s="3">
        <v>0.3164</v>
      </c>
      <c r="S25" s="3">
        <v>48.790001</v>
      </c>
      <c r="T25" s="3">
        <v>52.0</v>
      </c>
      <c r="U25" s="3">
        <f t="shared" si="2"/>
        <v>26.325</v>
      </c>
      <c r="V25" s="3"/>
      <c r="W25" s="3">
        <f t="shared" si="3"/>
        <v>26.79317856</v>
      </c>
      <c r="X25" s="3">
        <f t="shared" si="4"/>
        <v>5.61451215</v>
      </c>
      <c r="Y25" s="3">
        <f t="shared" si="5"/>
        <v>5.47078531</v>
      </c>
      <c r="Z25" s="3">
        <f t="shared" ref="Z25:AA25" si="28">_xlfn.NORM.S.DIST(X25)</f>
        <v>0.9999999901</v>
      </c>
      <c r="AA25" s="3">
        <f t="shared" si="28"/>
        <v>0.9999999776</v>
      </c>
    </row>
    <row r="26" ht="14.25" customHeight="1">
      <c r="A26" s="3" t="s">
        <v>158</v>
      </c>
      <c r="B26" s="3" t="s">
        <v>159</v>
      </c>
      <c r="C26" s="3" t="s">
        <v>129</v>
      </c>
      <c r="D26" s="3" t="s">
        <v>29</v>
      </c>
      <c r="E26" s="3">
        <v>22.0</v>
      </c>
      <c r="F26" s="3" t="s">
        <v>27</v>
      </c>
      <c r="G26" s="3">
        <v>25.05</v>
      </c>
      <c r="I26" s="3">
        <v>28.1</v>
      </c>
      <c r="K26" s="3">
        <v>0.0</v>
      </c>
      <c r="L26" s="3">
        <v>0.0</v>
      </c>
      <c r="M26" s="3" t="s">
        <v>55</v>
      </c>
      <c r="N26" s="3">
        <v>0.9972</v>
      </c>
      <c r="O26" s="3">
        <v>0.0</v>
      </c>
      <c r="P26" s="3">
        <v>0.6296</v>
      </c>
      <c r="Q26" s="3">
        <v>0.0</v>
      </c>
      <c r="R26" s="3">
        <v>0.3425</v>
      </c>
      <c r="S26" s="3">
        <v>48.610001</v>
      </c>
      <c r="T26" s="3">
        <v>51.0</v>
      </c>
      <c r="U26" s="3">
        <f t="shared" si="2"/>
        <v>26.575</v>
      </c>
      <c r="V26" s="3"/>
      <c r="W26" s="3">
        <f t="shared" si="3"/>
        <v>26.61311757</v>
      </c>
      <c r="X26" s="3">
        <f t="shared" si="4"/>
        <v>5.223263267</v>
      </c>
      <c r="Y26" s="3">
        <f t="shared" si="5"/>
        <v>5.069183577</v>
      </c>
      <c r="Z26" s="3">
        <f t="shared" ref="Z26:AA26" si="29">_xlfn.NORM.S.DIST(X26)</f>
        <v>0.9999999121</v>
      </c>
      <c r="AA26" s="3">
        <f t="shared" si="29"/>
        <v>0.9999998002</v>
      </c>
    </row>
    <row r="27" ht="14.25" customHeight="1">
      <c r="A27" s="3" t="s">
        <v>158</v>
      </c>
      <c r="B27" s="3" t="s">
        <v>159</v>
      </c>
      <c r="C27" s="3" t="s">
        <v>129</v>
      </c>
      <c r="D27" s="3" t="s">
        <v>29</v>
      </c>
      <c r="E27" s="3">
        <v>22.0</v>
      </c>
      <c r="F27" s="3" t="s">
        <v>27</v>
      </c>
      <c r="G27" s="3">
        <v>25.25</v>
      </c>
      <c r="I27" s="3">
        <v>27.8</v>
      </c>
      <c r="K27" s="3">
        <v>0.0</v>
      </c>
      <c r="L27" s="3">
        <v>0.0</v>
      </c>
      <c r="M27" s="3" t="s">
        <v>56</v>
      </c>
      <c r="N27" s="3">
        <v>0.9972</v>
      </c>
      <c r="O27" s="3">
        <v>0.0</v>
      </c>
      <c r="P27" s="3">
        <v>0.6241</v>
      </c>
      <c r="Q27" s="3">
        <v>2.0E-4</v>
      </c>
      <c r="R27" s="3">
        <v>0.386</v>
      </c>
      <c r="S27" s="3">
        <v>48.23</v>
      </c>
      <c r="T27" s="3">
        <v>50.0</v>
      </c>
      <c r="U27" s="3">
        <f t="shared" si="2"/>
        <v>26.525</v>
      </c>
      <c r="V27" s="3"/>
      <c r="W27" s="3">
        <f t="shared" si="3"/>
        <v>26.23305814</v>
      </c>
      <c r="X27" s="3">
        <f t="shared" si="4"/>
        <v>4.652018248</v>
      </c>
      <c r="Y27" s="3">
        <f t="shared" si="5"/>
        <v>4.480080182</v>
      </c>
      <c r="Z27" s="3">
        <f t="shared" ref="Z27:AA27" si="30">_xlfn.NORM.S.DIST(X27)</f>
        <v>0.9999983565</v>
      </c>
      <c r="AA27" s="3">
        <f t="shared" si="30"/>
        <v>0.9999962692</v>
      </c>
    </row>
    <row r="28" ht="14.25" customHeight="1">
      <c r="A28" s="3" t="s">
        <v>158</v>
      </c>
      <c r="B28" s="3" t="s">
        <v>159</v>
      </c>
      <c r="C28" s="3" t="s">
        <v>129</v>
      </c>
      <c r="D28" s="3" t="s">
        <v>29</v>
      </c>
      <c r="E28" s="3">
        <v>22.0</v>
      </c>
      <c r="F28" s="3" t="s">
        <v>27</v>
      </c>
      <c r="G28" s="3">
        <v>26.25</v>
      </c>
      <c r="I28" s="3">
        <v>27.0</v>
      </c>
      <c r="K28" s="3">
        <v>0.0</v>
      </c>
      <c r="L28" s="3">
        <v>0.0</v>
      </c>
      <c r="M28" s="3" t="s">
        <v>57</v>
      </c>
      <c r="N28" s="3">
        <v>1.0</v>
      </c>
      <c r="O28" s="3">
        <v>0.0</v>
      </c>
      <c r="P28" s="3">
        <v>-0.0639</v>
      </c>
      <c r="Q28" s="3">
        <v>0.0</v>
      </c>
      <c r="R28" s="3">
        <v>0.2609</v>
      </c>
      <c r="S28" s="3">
        <v>48.630001</v>
      </c>
      <c r="T28" s="3">
        <v>49.0</v>
      </c>
      <c r="U28" s="3">
        <f t="shared" si="2"/>
        <v>26.625</v>
      </c>
      <c r="V28" s="3"/>
      <c r="W28" s="3">
        <f t="shared" si="3"/>
        <v>26.63299524</v>
      </c>
      <c r="X28" s="3">
        <f t="shared" si="4"/>
        <v>6.953318712</v>
      </c>
      <c r="Y28" s="3">
        <f t="shared" si="5"/>
        <v>6.838272625</v>
      </c>
      <c r="Z28" s="3">
        <f t="shared" ref="Z28:AA28" si="31">_xlfn.NORM.S.DIST(X28)</f>
        <v>1</v>
      </c>
      <c r="AA28" s="3">
        <f t="shared" si="31"/>
        <v>1</v>
      </c>
    </row>
    <row r="29" ht="14.25" customHeight="1">
      <c r="A29" s="3" t="s">
        <v>158</v>
      </c>
      <c r="B29" s="3" t="s">
        <v>159</v>
      </c>
      <c r="C29" s="3" t="s">
        <v>129</v>
      </c>
      <c r="D29" s="3" t="s">
        <v>29</v>
      </c>
      <c r="E29" s="3">
        <v>22.0</v>
      </c>
      <c r="F29" s="3" t="s">
        <v>27</v>
      </c>
      <c r="G29" s="3">
        <v>26.2</v>
      </c>
      <c r="I29" s="3">
        <v>27.15</v>
      </c>
      <c r="K29" s="3">
        <v>0.0</v>
      </c>
      <c r="L29" s="3">
        <v>0.0</v>
      </c>
      <c r="M29" s="3" t="s">
        <v>58</v>
      </c>
      <c r="N29" s="3">
        <v>0.9972</v>
      </c>
      <c r="O29" s="3">
        <v>0.0</v>
      </c>
      <c r="P29" s="3">
        <v>0.6843</v>
      </c>
      <c r="Q29" s="3">
        <v>4.0E-4</v>
      </c>
      <c r="R29" s="3">
        <v>0.4214</v>
      </c>
      <c r="S29" s="3">
        <v>48.66</v>
      </c>
      <c r="T29" s="3">
        <v>48.0</v>
      </c>
      <c r="U29" s="3">
        <f t="shared" si="2"/>
        <v>26.675</v>
      </c>
      <c r="V29" s="3"/>
      <c r="W29" s="3">
        <f t="shared" si="3"/>
        <v>26.66294317</v>
      </c>
      <c r="X29" s="3">
        <f t="shared" si="4"/>
        <v>4.4089098</v>
      </c>
      <c r="Y29" s="3">
        <f t="shared" si="5"/>
        <v>4.224995762</v>
      </c>
      <c r="Z29" s="3">
        <f t="shared" ref="Z29:AA29" si="32">_xlfn.NORM.S.DIST(X29)</f>
        <v>0.9999948054</v>
      </c>
      <c r="AA29" s="3">
        <f t="shared" si="32"/>
        <v>0.9999880527</v>
      </c>
    </row>
    <row r="30" ht="14.25" customHeight="1">
      <c r="A30" s="3" t="s">
        <v>158</v>
      </c>
      <c r="B30" s="3" t="s">
        <v>159</v>
      </c>
      <c r="C30" s="3" t="s">
        <v>129</v>
      </c>
      <c r="D30" s="3" t="s">
        <v>29</v>
      </c>
      <c r="E30" s="3">
        <v>22.0</v>
      </c>
      <c r="F30" s="3" t="s">
        <v>27</v>
      </c>
      <c r="G30" s="3">
        <v>26.7</v>
      </c>
      <c r="I30" s="3">
        <v>27.6</v>
      </c>
      <c r="K30" s="3">
        <v>0.0</v>
      </c>
      <c r="L30" s="3">
        <v>0.0</v>
      </c>
      <c r="M30" s="3" t="s">
        <v>59</v>
      </c>
      <c r="N30" s="3">
        <v>0.9972</v>
      </c>
      <c r="O30" s="3">
        <v>0.0</v>
      </c>
      <c r="P30" s="3">
        <v>0.6979</v>
      </c>
      <c r="Q30" s="3">
        <v>0.0</v>
      </c>
      <c r="R30" s="3">
        <v>0.381</v>
      </c>
      <c r="S30" s="3">
        <v>49.139999</v>
      </c>
      <c r="T30" s="3">
        <v>47.0</v>
      </c>
      <c r="U30" s="3">
        <f t="shared" si="2"/>
        <v>27.15</v>
      </c>
      <c r="V30" s="3"/>
      <c r="W30" s="3">
        <f t="shared" si="3"/>
        <v>27.14287157</v>
      </c>
      <c r="X30" s="3">
        <f t="shared" si="4"/>
        <v>4.967146339</v>
      </c>
      <c r="Y30" s="3">
        <f t="shared" si="5"/>
        <v>4.802605527</v>
      </c>
      <c r="Z30" s="3">
        <f t="shared" ref="Z30:AA30" si="33">_xlfn.NORM.S.DIST(X30)</f>
        <v>0.9999996603</v>
      </c>
      <c r="AA30" s="3">
        <f t="shared" si="33"/>
        <v>0.9999992169</v>
      </c>
    </row>
    <row r="31" ht="14.25" customHeight="1">
      <c r="A31" s="3" t="s">
        <v>158</v>
      </c>
      <c r="B31" s="3" t="s">
        <v>159</v>
      </c>
      <c r="C31" s="3" t="s">
        <v>129</v>
      </c>
      <c r="D31" s="3" t="s">
        <v>29</v>
      </c>
      <c r="E31" s="3">
        <v>22.0</v>
      </c>
      <c r="F31" s="3" t="s">
        <v>27</v>
      </c>
      <c r="G31" s="3">
        <v>25.2</v>
      </c>
      <c r="I31" s="3">
        <v>29.05</v>
      </c>
      <c r="K31" s="3">
        <v>0.0</v>
      </c>
      <c r="L31" s="3">
        <v>0.0</v>
      </c>
      <c r="M31" s="3" t="s">
        <v>60</v>
      </c>
      <c r="N31" s="3">
        <v>0.9985</v>
      </c>
      <c r="O31" s="3">
        <v>0.0</v>
      </c>
      <c r="P31" s="3">
        <v>0.3411</v>
      </c>
      <c r="Q31" s="3">
        <v>0.0</v>
      </c>
      <c r="R31" s="3">
        <v>0.2844</v>
      </c>
      <c r="S31" s="3">
        <v>48.68</v>
      </c>
      <c r="T31" s="3">
        <v>46.0</v>
      </c>
      <c r="U31" s="3">
        <f t="shared" si="2"/>
        <v>27.125</v>
      </c>
      <c r="V31" s="3"/>
      <c r="W31" s="3">
        <f t="shared" si="3"/>
        <v>26.68281093</v>
      </c>
      <c r="X31" s="3">
        <f t="shared" si="4"/>
        <v>6.598163018</v>
      </c>
      <c r="Y31" s="3">
        <f t="shared" si="5"/>
        <v>6.476654077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158</v>
      </c>
      <c r="B32" s="3" t="s">
        <v>159</v>
      </c>
      <c r="C32" s="3" t="s">
        <v>129</v>
      </c>
      <c r="D32" s="3" t="s">
        <v>29</v>
      </c>
      <c r="E32" s="3">
        <v>22.0</v>
      </c>
      <c r="F32" s="3" t="s">
        <v>27</v>
      </c>
      <c r="G32" s="3">
        <v>25.5</v>
      </c>
      <c r="I32" s="3">
        <v>27.95</v>
      </c>
      <c r="K32" s="3">
        <v>0.0</v>
      </c>
      <c r="L32" s="3">
        <v>0.0</v>
      </c>
      <c r="M32" s="3" t="s">
        <v>61</v>
      </c>
      <c r="N32" s="3">
        <v>0.9971</v>
      </c>
      <c r="O32" s="3">
        <v>0.0</v>
      </c>
      <c r="P32" s="3">
        <v>0.7538</v>
      </c>
      <c r="Q32" s="3">
        <v>0.0</v>
      </c>
      <c r="R32" s="3">
        <v>0.3437</v>
      </c>
      <c r="S32" s="3">
        <v>49.220001</v>
      </c>
      <c r="T32" s="3">
        <v>45.0</v>
      </c>
      <c r="U32" s="3">
        <f t="shared" si="2"/>
        <v>26.725</v>
      </c>
      <c r="V32" s="3"/>
      <c r="W32" s="3">
        <f t="shared" si="3"/>
        <v>27.22275084</v>
      </c>
      <c r="X32" s="3">
        <f t="shared" si="4"/>
        <v>5.617813697</v>
      </c>
      <c r="Y32" s="3">
        <f t="shared" si="5"/>
        <v>5.472573939</v>
      </c>
      <c r="Z32" s="3">
        <f t="shared" ref="Z32:AA32" si="35">_xlfn.NORM.S.DIST(X32)</f>
        <v>0.9999999903</v>
      </c>
      <c r="AA32" s="3">
        <f t="shared" si="35"/>
        <v>0.9999999778</v>
      </c>
    </row>
    <row r="33" ht="14.25" customHeight="1">
      <c r="A33" s="3" t="s">
        <v>158</v>
      </c>
      <c r="B33" s="3" t="s">
        <v>159</v>
      </c>
      <c r="C33" s="3" t="s">
        <v>129</v>
      </c>
      <c r="D33" s="3" t="s">
        <v>29</v>
      </c>
      <c r="E33" s="3">
        <v>22.0</v>
      </c>
      <c r="F33" s="3" t="s">
        <v>27</v>
      </c>
      <c r="G33" s="3">
        <v>25.85</v>
      </c>
      <c r="I33" s="3">
        <v>28.45</v>
      </c>
      <c r="K33" s="3">
        <v>0.0</v>
      </c>
      <c r="L33" s="3">
        <v>0.0</v>
      </c>
      <c r="M33" s="3" t="s">
        <v>62</v>
      </c>
      <c r="N33" s="3">
        <v>0.9971</v>
      </c>
      <c r="O33" s="3">
        <v>0.0</v>
      </c>
      <c r="P33" s="3">
        <v>0.7537</v>
      </c>
      <c r="Q33" s="3">
        <v>0.0</v>
      </c>
      <c r="R33" s="3">
        <v>0.3652</v>
      </c>
      <c r="S33" s="3">
        <v>48.880001</v>
      </c>
      <c r="T33" s="3">
        <v>44.0</v>
      </c>
      <c r="U33" s="3">
        <f t="shared" si="2"/>
        <v>27.15</v>
      </c>
      <c r="V33" s="3"/>
      <c r="W33" s="3">
        <f t="shared" si="3"/>
        <v>26.8826898</v>
      </c>
      <c r="X33" s="3">
        <f t="shared" si="4"/>
        <v>5.308566918</v>
      </c>
      <c r="Y33" s="3">
        <f t="shared" si="5"/>
        <v>5.155966109</v>
      </c>
      <c r="Z33" s="3">
        <f t="shared" ref="Z33:AA33" si="36">_xlfn.NORM.S.DIST(X33)</f>
        <v>0.9999999448</v>
      </c>
      <c r="AA33" s="3">
        <f t="shared" si="36"/>
        <v>0.9999998738</v>
      </c>
    </row>
    <row r="34" ht="14.25" customHeight="1">
      <c r="A34" s="3" t="s">
        <v>158</v>
      </c>
      <c r="B34" s="3" t="s">
        <v>159</v>
      </c>
      <c r="C34" s="3" t="s">
        <v>129</v>
      </c>
      <c r="D34" s="3" t="s">
        <v>29</v>
      </c>
      <c r="E34" s="3">
        <v>22.0</v>
      </c>
      <c r="F34" s="3" t="s">
        <v>27</v>
      </c>
      <c r="G34" s="3">
        <v>25.8</v>
      </c>
      <c r="I34" s="3">
        <v>27.5</v>
      </c>
      <c r="K34" s="3">
        <v>0.0</v>
      </c>
      <c r="L34" s="3">
        <v>0.0</v>
      </c>
      <c r="M34" s="3" t="s">
        <v>63</v>
      </c>
      <c r="N34" s="3">
        <v>0.9971</v>
      </c>
      <c r="O34" s="3">
        <v>0.0</v>
      </c>
      <c r="P34" s="3">
        <v>0.8052</v>
      </c>
      <c r="Q34" s="3">
        <v>0.0</v>
      </c>
      <c r="R34" s="3">
        <v>0.1778</v>
      </c>
      <c r="S34" s="3">
        <v>49.450001</v>
      </c>
      <c r="T34" s="3">
        <v>43.0</v>
      </c>
      <c r="U34" s="3">
        <f t="shared" si="2"/>
        <v>26.65</v>
      </c>
      <c r="V34" s="3"/>
      <c r="W34" s="3">
        <f t="shared" si="3"/>
        <v>27.45262862</v>
      </c>
      <c r="X34" s="3">
        <f t="shared" si="4"/>
        <v>11.0658273</v>
      </c>
      <c r="Y34" s="3">
        <f t="shared" si="5"/>
        <v>10.99238172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158</v>
      </c>
      <c r="B35" s="3" t="s">
        <v>159</v>
      </c>
      <c r="C35" s="3" t="s">
        <v>129</v>
      </c>
      <c r="D35" s="3" t="s">
        <v>29</v>
      </c>
      <c r="E35" s="3">
        <v>22.0</v>
      </c>
      <c r="F35" s="3" t="s">
        <v>27</v>
      </c>
      <c r="G35" s="3">
        <v>24.9</v>
      </c>
      <c r="I35" s="3">
        <v>28.15</v>
      </c>
      <c r="K35" s="3">
        <v>0.0</v>
      </c>
      <c r="L35" s="3">
        <v>0.0</v>
      </c>
      <c r="M35" s="3" t="s">
        <v>64</v>
      </c>
      <c r="N35" s="3">
        <v>0.9972</v>
      </c>
      <c r="O35" s="3">
        <v>0.0</v>
      </c>
      <c r="P35" s="3">
        <v>0.7907</v>
      </c>
      <c r="Q35" s="3">
        <v>0.0</v>
      </c>
      <c r="R35" s="3">
        <v>0.4046</v>
      </c>
      <c r="S35" s="3">
        <v>48.610001</v>
      </c>
      <c r="T35" s="3">
        <v>42.0</v>
      </c>
      <c r="U35" s="3">
        <f t="shared" si="2"/>
        <v>26.525</v>
      </c>
      <c r="V35" s="3"/>
      <c r="W35" s="3">
        <f t="shared" si="3"/>
        <v>26.61256834</v>
      </c>
      <c r="X35" s="3">
        <f t="shared" si="4"/>
        <v>4.882907468</v>
      </c>
      <c r="Y35" s="3">
        <f t="shared" si="5"/>
        <v>4.71773021</v>
      </c>
      <c r="Z35" s="3">
        <f t="shared" ref="Z35:AA35" si="38">_xlfn.NORM.S.DIST(X35)</f>
        <v>0.9999994773</v>
      </c>
      <c r="AA35" s="3">
        <f t="shared" si="38"/>
        <v>0.9999988075</v>
      </c>
    </row>
    <row r="36" ht="14.25" customHeight="1">
      <c r="A36" s="3" t="s">
        <v>158</v>
      </c>
      <c r="B36" s="3" t="s">
        <v>159</v>
      </c>
      <c r="C36" s="3" t="s">
        <v>129</v>
      </c>
      <c r="D36" s="3" t="s">
        <v>29</v>
      </c>
      <c r="E36" s="3">
        <v>22.0</v>
      </c>
      <c r="F36" s="3" t="s">
        <v>27</v>
      </c>
      <c r="G36" s="3">
        <v>24.45</v>
      </c>
      <c r="I36" s="3">
        <v>26.4</v>
      </c>
      <c r="K36" s="3">
        <v>0.0</v>
      </c>
      <c r="L36" s="3">
        <v>0.0</v>
      </c>
      <c r="M36" s="3" t="s">
        <v>65</v>
      </c>
      <c r="N36" s="3">
        <v>0.9972</v>
      </c>
      <c r="O36" s="3">
        <v>0.0</v>
      </c>
      <c r="P36" s="3">
        <v>0.7844</v>
      </c>
      <c r="Q36" s="3">
        <v>0.0</v>
      </c>
      <c r="R36" s="3">
        <v>0.4036</v>
      </c>
      <c r="S36" s="3">
        <v>48.25</v>
      </c>
      <c r="T36" s="3">
        <v>41.0</v>
      </c>
      <c r="U36" s="3">
        <f t="shared" si="2"/>
        <v>25.425</v>
      </c>
      <c r="V36" s="3"/>
      <c r="W36" s="3">
        <f t="shared" si="3"/>
        <v>26.25250613</v>
      </c>
      <c r="X36" s="3">
        <f t="shared" si="4"/>
        <v>4.906264022</v>
      </c>
      <c r="Y36" s="3">
        <f t="shared" si="5"/>
        <v>4.743468365</v>
      </c>
      <c r="Z36" s="3">
        <f t="shared" ref="Z36:AA36" si="39">_xlfn.NORM.S.DIST(X36)</f>
        <v>0.9999995359</v>
      </c>
      <c r="AA36" s="3">
        <f t="shared" si="39"/>
        <v>0.9999989496</v>
      </c>
    </row>
    <row r="37" ht="14.25" customHeight="1">
      <c r="A37" s="3" t="s">
        <v>158</v>
      </c>
      <c r="B37" s="3" t="s">
        <v>159</v>
      </c>
      <c r="C37" s="3" t="s">
        <v>129</v>
      </c>
      <c r="D37" s="3" t="s">
        <v>29</v>
      </c>
      <c r="E37" s="3">
        <v>22.0</v>
      </c>
      <c r="F37" s="3" t="s">
        <v>27</v>
      </c>
      <c r="G37" s="3">
        <v>25.05</v>
      </c>
      <c r="I37" s="3">
        <v>28.45</v>
      </c>
      <c r="K37" s="3">
        <v>0.0</v>
      </c>
      <c r="L37" s="3">
        <v>0.0</v>
      </c>
      <c r="M37" s="3" t="s">
        <v>66</v>
      </c>
      <c r="N37" s="3">
        <v>0.9973</v>
      </c>
      <c r="O37" s="3">
        <v>0.0</v>
      </c>
      <c r="P37" s="3">
        <v>0.7957</v>
      </c>
      <c r="Q37" s="3">
        <v>0.0</v>
      </c>
      <c r="R37" s="3">
        <v>0.417</v>
      </c>
      <c r="S37" s="3">
        <v>48.91</v>
      </c>
      <c r="T37" s="3">
        <v>40.0</v>
      </c>
      <c r="U37" s="3">
        <f t="shared" si="2"/>
        <v>26.75</v>
      </c>
      <c r="V37" s="3"/>
      <c r="W37" s="3">
        <f t="shared" si="3"/>
        <v>26.9124451</v>
      </c>
      <c r="X37" s="3">
        <f t="shared" si="4"/>
        <v>4.892662918</v>
      </c>
      <c r="Y37" s="3">
        <f t="shared" si="5"/>
        <v>4.726526141</v>
      </c>
      <c r="Z37" s="3">
        <f t="shared" ref="Z37:AA37" si="40">_xlfn.NORM.S.DIST(X37)</f>
        <v>0.9999995026</v>
      </c>
      <c r="AA37" s="3">
        <f t="shared" si="40"/>
        <v>0.999998858</v>
      </c>
    </row>
    <row r="38" ht="14.25" customHeight="1">
      <c r="A38" s="3" t="s">
        <v>158</v>
      </c>
      <c r="B38" s="3" t="s">
        <v>159</v>
      </c>
      <c r="C38" s="3" t="s">
        <v>129</v>
      </c>
      <c r="D38" s="3" t="s">
        <v>29</v>
      </c>
      <c r="E38" s="3">
        <v>22.0</v>
      </c>
      <c r="F38" s="3" t="s">
        <v>27</v>
      </c>
      <c r="G38" s="3">
        <v>24.15</v>
      </c>
      <c r="I38" s="3">
        <v>27.25</v>
      </c>
      <c r="K38" s="3">
        <v>0.0</v>
      </c>
      <c r="L38" s="3">
        <v>0.0</v>
      </c>
      <c r="M38" s="3" t="s">
        <v>67</v>
      </c>
      <c r="N38" s="3">
        <v>0.9973</v>
      </c>
      <c r="O38" s="3">
        <v>0.0</v>
      </c>
      <c r="P38" s="3">
        <v>0.8072</v>
      </c>
      <c r="Q38" s="3">
        <v>0.0</v>
      </c>
      <c r="R38" s="3">
        <v>0.2085</v>
      </c>
      <c r="S38" s="3">
        <v>47.700001</v>
      </c>
      <c r="T38" s="3">
        <v>39.0</v>
      </c>
      <c r="U38" s="3">
        <f t="shared" si="2"/>
        <v>25.7</v>
      </c>
      <c r="V38" s="3"/>
      <c r="W38" s="3">
        <f t="shared" si="3"/>
        <v>25.7023842</v>
      </c>
      <c r="X38" s="3">
        <f t="shared" si="4"/>
        <v>9.477303323</v>
      </c>
      <c r="Y38" s="3">
        <f t="shared" si="5"/>
        <v>9.395279861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158</v>
      </c>
      <c r="B39" s="3" t="s">
        <v>159</v>
      </c>
      <c r="C39" s="3" t="s">
        <v>129</v>
      </c>
      <c r="D39" s="3" t="s">
        <v>29</v>
      </c>
      <c r="E39" s="3">
        <v>22.0</v>
      </c>
      <c r="F39" s="3" t="s">
        <v>27</v>
      </c>
      <c r="G39" s="3">
        <v>23.65</v>
      </c>
      <c r="I39" s="3">
        <v>27.7</v>
      </c>
      <c r="K39" s="3">
        <v>0.0</v>
      </c>
      <c r="L39" s="3">
        <v>0.0</v>
      </c>
      <c r="M39" s="3" t="s">
        <v>68</v>
      </c>
      <c r="N39" s="3">
        <v>0.9974</v>
      </c>
      <c r="O39" s="3">
        <v>0.0</v>
      </c>
      <c r="P39" s="3">
        <v>0.8098</v>
      </c>
      <c r="Q39" s="3">
        <v>0.0</v>
      </c>
      <c r="R39" s="3">
        <v>0.2087</v>
      </c>
      <c r="S39" s="3">
        <v>47.599998</v>
      </c>
      <c r="T39" s="3">
        <v>38.0</v>
      </c>
      <c r="U39" s="3">
        <f t="shared" si="2"/>
        <v>25.675</v>
      </c>
      <c r="V39" s="3"/>
      <c r="W39" s="3">
        <f t="shared" si="3"/>
        <v>25.6023201</v>
      </c>
      <c r="X39" s="3">
        <f t="shared" si="4"/>
        <v>9.565076772</v>
      </c>
      <c r="Y39" s="3">
        <f t="shared" si="5"/>
        <v>9.484034058</v>
      </c>
      <c r="Z39" s="3">
        <f t="shared" ref="Z39:AA39" si="42">_xlfn.NORM.S.DIST(X39)</f>
        <v>1</v>
      </c>
      <c r="AA39" s="3">
        <f t="shared" si="42"/>
        <v>1</v>
      </c>
    </row>
    <row r="40" ht="14.25" customHeight="1">
      <c r="A40" s="3" t="s">
        <v>158</v>
      </c>
      <c r="B40" s="3" t="s">
        <v>159</v>
      </c>
      <c r="C40" s="3" t="s">
        <v>129</v>
      </c>
      <c r="D40" s="3" t="s">
        <v>29</v>
      </c>
      <c r="E40" s="3">
        <v>22.0</v>
      </c>
      <c r="F40" s="3" t="s">
        <v>27</v>
      </c>
      <c r="G40" s="3">
        <v>25.45</v>
      </c>
      <c r="I40" s="3">
        <v>28.3</v>
      </c>
      <c r="K40" s="3">
        <v>0.0</v>
      </c>
      <c r="L40" s="3">
        <v>0.0</v>
      </c>
      <c r="M40" s="3" t="s">
        <v>69</v>
      </c>
      <c r="N40" s="3">
        <v>0.9973</v>
      </c>
      <c r="O40" s="3">
        <v>0.0</v>
      </c>
      <c r="P40" s="3">
        <v>0.8686</v>
      </c>
      <c r="Q40" s="3">
        <v>0.0</v>
      </c>
      <c r="R40" s="3">
        <v>0.202</v>
      </c>
      <c r="S40" s="3">
        <v>49.279999</v>
      </c>
      <c r="T40" s="3">
        <v>37.0</v>
      </c>
      <c r="U40" s="3">
        <f t="shared" si="2"/>
        <v>26.875</v>
      </c>
      <c r="V40" s="3"/>
      <c r="W40" s="3">
        <f t="shared" si="3"/>
        <v>27.28225999</v>
      </c>
      <c r="X40" s="3">
        <f t="shared" si="4"/>
        <v>10.45934947</v>
      </c>
      <c r="Y40" s="3">
        <f t="shared" si="5"/>
        <v>10.38194751</v>
      </c>
      <c r="Z40" s="3">
        <f t="shared" ref="Z40:AA40" si="43">_xlfn.NORM.S.DIST(X40)</f>
        <v>1</v>
      </c>
      <c r="AA40" s="3">
        <f t="shared" si="43"/>
        <v>1</v>
      </c>
    </row>
    <row r="41" ht="14.25" customHeight="1">
      <c r="A41" s="3" t="s">
        <v>158</v>
      </c>
      <c r="B41" s="3" t="s">
        <v>159</v>
      </c>
      <c r="C41" s="3" t="s">
        <v>129</v>
      </c>
      <c r="D41" s="3" t="s">
        <v>29</v>
      </c>
      <c r="E41" s="3">
        <v>22.0</v>
      </c>
      <c r="F41" s="3" t="s">
        <v>27</v>
      </c>
      <c r="G41" s="3">
        <v>25.6</v>
      </c>
      <c r="I41" s="3">
        <v>28.6</v>
      </c>
      <c r="K41" s="3">
        <v>0.0</v>
      </c>
      <c r="L41" s="3">
        <v>0.0</v>
      </c>
      <c r="M41" s="3" t="s">
        <v>70</v>
      </c>
      <c r="N41" s="3">
        <v>0.9987</v>
      </c>
      <c r="O41" s="3">
        <v>0.0</v>
      </c>
      <c r="P41" s="3">
        <v>0.4135</v>
      </c>
      <c r="Q41" s="3">
        <v>0.0</v>
      </c>
      <c r="R41" s="3">
        <v>0.425</v>
      </c>
      <c r="S41" s="3">
        <v>48.919998</v>
      </c>
      <c r="T41" s="3">
        <v>36.0</v>
      </c>
      <c r="U41" s="3">
        <f t="shared" si="2"/>
        <v>27.1</v>
      </c>
      <c r="V41" s="3"/>
      <c r="W41" s="3">
        <f t="shared" si="3"/>
        <v>26.92219821</v>
      </c>
      <c r="X41" s="3">
        <f t="shared" si="4"/>
        <v>5.055847746</v>
      </c>
      <c r="Y41" s="3">
        <f t="shared" si="5"/>
        <v>4.895212845</v>
      </c>
      <c r="Z41" s="3">
        <f t="shared" ref="Z41:AA41" si="44">_xlfn.NORM.S.DIST(X41)</f>
        <v>0.9999997858</v>
      </c>
      <c r="AA41" s="3">
        <f t="shared" si="44"/>
        <v>0.999999509</v>
      </c>
    </row>
    <row r="42" ht="14.25" customHeight="1">
      <c r="A42" s="3" t="s">
        <v>158</v>
      </c>
      <c r="B42" s="3" t="s">
        <v>159</v>
      </c>
      <c r="C42" s="3" t="s">
        <v>129</v>
      </c>
      <c r="D42" s="3" t="s">
        <v>29</v>
      </c>
      <c r="E42" s="3">
        <v>22.0</v>
      </c>
      <c r="F42" s="3" t="s">
        <v>27</v>
      </c>
      <c r="G42" s="3">
        <v>25.55</v>
      </c>
      <c r="I42" s="3">
        <v>26.95</v>
      </c>
      <c r="K42" s="3">
        <v>6.0</v>
      </c>
      <c r="L42" s="3">
        <v>0.0</v>
      </c>
      <c r="M42" s="3" t="s">
        <v>71</v>
      </c>
      <c r="N42" s="3">
        <v>0.9974</v>
      </c>
      <c r="O42" s="3">
        <v>0.0</v>
      </c>
      <c r="P42" s="3">
        <v>0.8913</v>
      </c>
      <c r="Q42" s="3">
        <v>0.0</v>
      </c>
      <c r="R42" s="3">
        <v>0.2013</v>
      </c>
      <c r="S42" s="3">
        <v>48.91</v>
      </c>
      <c r="T42" s="3">
        <v>35.0</v>
      </c>
      <c r="U42" s="3">
        <f t="shared" si="2"/>
        <v>26.25</v>
      </c>
      <c r="V42" s="3"/>
      <c r="W42" s="3">
        <f t="shared" si="3"/>
        <v>26.91213878</v>
      </c>
      <c r="X42" s="3">
        <f t="shared" si="4"/>
        <v>10.68848024</v>
      </c>
      <c r="Y42" s="3">
        <f t="shared" si="5"/>
        <v>10.61346016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158</v>
      </c>
      <c r="B43" s="3" t="s">
        <v>159</v>
      </c>
      <c r="C43" s="3" t="s">
        <v>129</v>
      </c>
      <c r="D43" s="3" t="s">
        <v>29</v>
      </c>
      <c r="E43" s="3">
        <v>22.0</v>
      </c>
      <c r="F43" s="3" t="s">
        <v>27</v>
      </c>
      <c r="G43" s="3">
        <v>26.45</v>
      </c>
      <c r="I43" s="3">
        <v>27.15</v>
      </c>
      <c r="K43" s="3">
        <v>0.0</v>
      </c>
      <c r="L43" s="3">
        <v>6.0</v>
      </c>
      <c r="M43" s="3" t="s">
        <v>72</v>
      </c>
      <c r="N43" s="3">
        <v>0.9972</v>
      </c>
      <c r="O43" s="3">
        <v>0.0</v>
      </c>
      <c r="P43" s="3">
        <v>0.9988</v>
      </c>
      <c r="Q43" s="3">
        <v>0.0036</v>
      </c>
      <c r="R43" s="3">
        <v>0.5938</v>
      </c>
      <c r="S43" s="3">
        <v>49.099998</v>
      </c>
      <c r="T43" s="3">
        <v>34.0</v>
      </c>
      <c r="U43" s="3">
        <f t="shared" si="2"/>
        <v>26.8</v>
      </c>
      <c r="V43" s="3"/>
      <c r="W43" s="3">
        <f t="shared" si="3"/>
        <v>27.10227551</v>
      </c>
      <c r="X43" s="3">
        <f t="shared" si="4"/>
        <v>3.790244131</v>
      </c>
      <c r="Y43" s="3">
        <f t="shared" si="5"/>
        <v>3.572132221</v>
      </c>
      <c r="Z43" s="3">
        <f t="shared" ref="Z43:AA43" si="46">_xlfn.NORM.S.DIST(X43)</f>
        <v>0.9999247504</v>
      </c>
      <c r="AA43" s="3">
        <f t="shared" si="46"/>
        <v>0.9998229567</v>
      </c>
    </row>
    <row r="44" ht="14.25" customHeight="1">
      <c r="A44" s="3" t="s">
        <v>158</v>
      </c>
      <c r="B44" s="3" t="s">
        <v>159</v>
      </c>
      <c r="C44" s="3" t="s">
        <v>129</v>
      </c>
      <c r="D44" s="3" t="s">
        <v>29</v>
      </c>
      <c r="E44" s="3">
        <v>22.0</v>
      </c>
      <c r="F44" s="3" t="s">
        <v>27</v>
      </c>
      <c r="G44" s="3">
        <v>27.45</v>
      </c>
      <c r="I44" s="3">
        <v>27.55</v>
      </c>
      <c r="K44" s="3">
        <v>15.0</v>
      </c>
      <c r="L44" s="3">
        <v>6.0</v>
      </c>
      <c r="M44" s="3" t="s">
        <v>73</v>
      </c>
      <c r="N44" s="3">
        <v>0.9972</v>
      </c>
      <c r="O44" s="3">
        <v>0.0</v>
      </c>
      <c r="P44" s="3">
        <v>1.0398</v>
      </c>
      <c r="Q44" s="3">
        <v>0.0</v>
      </c>
      <c r="R44" s="3">
        <v>0.2107</v>
      </c>
      <c r="S44" s="3">
        <v>49.490002</v>
      </c>
      <c r="T44" s="3">
        <v>33.0</v>
      </c>
      <c r="U44" s="3">
        <f t="shared" si="2"/>
        <v>27.5</v>
      </c>
      <c r="V44" s="3"/>
      <c r="W44" s="3">
        <f t="shared" si="3"/>
        <v>27.49201857</v>
      </c>
      <c r="X44" s="3">
        <f t="shared" si="4"/>
        <v>10.67228249</v>
      </c>
      <c r="Y44" s="3">
        <f t="shared" si="5"/>
        <v>10.59603576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158</v>
      </c>
      <c r="B45" s="3" t="s">
        <v>159</v>
      </c>
      <c r="C45" s="3" t="s">
        <v>129</v>
      </c>
      <c r="D45" s="3" t="s">
        <v>29</v>
      </c>
      <c r="E45" s="3">
        <v>22.0</v>
      </c>
      <c r="F45" s="3" t="s">
        <v>27</v>
      </c>
      <c r="G45" s="3">
        <v>28.0</v>
      </c>
      <c r="I45" s="3">
        <v>28.05</v>
      </c>
      <c r="K45" s="3">
        <v>9.0</v>
      </c>
      <c r="L45" s="3">
        <v>0.0</v>
      </c>
      <c r="M45" s="3" t="s">
        <v>74</v>
      </c>
      <c r="N45" s="3">
        <v>0.9972</v>
      </c>
      <c r="O45" s="3">
        <v>0.0</v>
      </c>
      <c r="P45" s="3">
        <v>1.0895</v>
      </c>
      <c r="Q45" s="3">
        <v>0.0</v>
      </c>
      <c r="R45" s="3">
        <v>0.2098</v>
      </c>
      <c r="S45" s="3">
        <v>50.029999</v>
      </c>
      <c r="T45" s="3">
        <v>32.0</v>
      </c>
      <c r="U45" s="3">
        <f t="shared" si="2"/>
        <v>28.025</v>
      </c>
      <c r="V45" s="3"/>
      <c r="W45" s="3">
        <f t="shared" si="3"/>
        <v>28.03195447</v>
      </c>
      <c r="X45" s="3">
        <f t="shared" si="4"/>
        <v>11.02786516</v>
      </c>
      <c r="Y45" s="3">
        <f t="shared" si="5"/>
        <v>10.95310328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158</v>
      </c>
      <c r="B46" s="3" t="s">
        <v>159</v>
      </c>
      <c r="C46" s="3" t="s">
        <v>129</v>
      </c>
      <c r="D46" s="3" t="s">
        <v>29</v>
      </c>
      <c r="E46" s="3">
        <v>22.0</v>
      </c>
      <c r="F46" s="3" t="s">
        <v>27</v>
      </c>
      <c r="G46" s="3">
        <v>28.6</v>
      </c>
      <c r="I46" s="3">
        <v>28.75</v>
      </c>
      <c r="K46" s="3">
        <v>57.0</v>
      </c>
      <c r="L46" s="3">
        <v>0.0</v>
      </c>
      <c r="M46" s="3" t="s">
        <v>75</v>
      </c>
      <c r="N46" s="3">
        <v>0.9971</v>
      </c>
      <c r="O46" s="3">
        <v>0.0</v>
      </c>
      <c r="P46" s="3">
        <v>1.186</v>
      </c>
      <c r="Q46" s="3">
        <v>0.0</v>
      </c>
      <c r="R46" s="3">
        <v>0.216</v>
      </c>
      <c r="S46" s="3">
        <v>50.630001</v>
      </c>
      <c r="T46" s="3">
        <v>31.0</v>
      </c>
      <c r="U46" s="3">
        <f t="shared" si="2"/>
        <v>28.675</v>
      </c>
      <c r="V46" s="3"/>
      <c r="W46" s="3">
        <f t="shared" si="3"/>
        <v>28.63189536</v>
      </c>
      <c r="X46" s="3">
        <f t="shared" si="4"/>
        <v>11.04103138</v>
      </c>
      <c r="Y46" s="3">
        <f t="shared" si="5"/>
        <v>10.96527236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158</v>
      </c>
      <c r="B47" s="3" t="s">
        <v>159</v>
      </c>
      <c r="C47" s="3" t="s">
        <v>129</v>
      </c>
      <c r="D47" s="3" t="s">
        <v>29</v>
      </c>
      <c r="E47" s="3">
        <v>22.0</v>
      </c>
      <c r="F47" s="3" t="s">
        <v>27</v>
      </c>
      <c r="G47" s="3">
        <v>28.1</v>
      </c>
      <c r="I47" s="3">
        <v>28.2</v>
      </c>
      <c r="K47" s="3">
        <v>93.0</v>
      </c>
      <c r="L47" s="3">
        <v>0.0</v>
      </c>
      <c r="M47" s="3" t="s">
        <v>76</v>
      </c>
      <c r="N47" s="3">
        <v>0.9972</v>
      </c>
      <c r="O47" s="3">
        <v>0.0</v>
      </c>
      <c r="P47" s="3">
        <v>1.1312</v>
      </c>
      <c r="Q47" s="3">
        <v>0.0</v>
      </c>
      <c r="R47" s="3">
        <v>0.2004</v>
      </c>
      <c r="S47" s="3">
        <v>50.200001</v>
      </c>
      <c r="T47" s="3">
        <v>30.0</v>
      </c>
      <c r="U47" s="3">
        <f t="shared" si="2"/>
        <v>28.15</v>
      </c>
      <c r="V47" s="3"/>
      <c r="W47" s="3">
        <f t="shared" si="3"/>
        <v>28.20183426</v>
      </c>
      <c r="X47" s="3">
        <f t="shared" si="4"/>
        <v>11.96690389</v>
      </c>
      <c r="Y47" s="3">
        <f t="shared" si="5"/>
        <v>11.89775932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158</v>
      </c>
      <c r="B48" s="3" t="s">
        <v>159</v>
      </c>
      <c r="C48" s="3" t="s">
        <v>129</v>
      </c>
      <c r="D48" s="3" t="s">
        <v>29</v>
      </c>
      <c r="E48" s="3">
        <v>22.0</v>
      </c>
      <c r="F48" s="3" t="s">
        <v>27</v>
      </c>
      <c r="G48" s="3">
        <v>28.45</v>
      </c>
      <c r="I48" s="3">
        <v>28.55</v>
      </c>
      <c r="K48" s="3">
        <v>0.0</v>
      </c>
      <c r="L48" s="3">
        <v>80.0</v>
      </c>
      <c r="M48" s="3" t="s">
        <v>77</v>
      </c>
      <c r="N48" s="3">
        <v>0.9973</v>
      </c>
      <c r="O48" s="3">
        <v>0.0</v>
      </c>
      <c r="P48" s="3">
        <v>1.1827</v>
      </c>
      <c r="Q48" s="3">
        <v>0.0</v>
      </c>
      <c r="R48" s="3">
        <v>0.2305</v>
      </c>
      <c r="S48" s="3">
        <v>50.48</v>
      </c>
      <c r="T48" s="3">
        <v>29.0</v>
      </c>
      <c r="U48" s="3">
        <f t="shared" si="2"/>
        <v>28.5</v>
      </c>
      <c r="V48" s="3"/>
      <c r="W48" s="3">
        <f t="shared" si="3"/>
        <v>28.48177215</v>
      </c>
      <c r="X48" s="3">
        <f t="shared" si="4"/>
        <v>10.66168323</v>
      </c>
      <c r="Y48" s="3">
        <f t="shared" si="5"/>
        <v>10.58348991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158</v>
      </c>
      <c r="B49" s="3" t="s">
        <v>159</v>
      </c>
      <c r="C49" s="3" t="s">
        <v>129</v>
      </c>
      <c r="D49" s="3" t="s">
        <v>29</v>
      </c>
      <c r="E49" s="3">
        <v>22.0</v>
      </c>
      <c r="F49" s="3" t="s">
        <v>27</v>
      </c>
      <c r="G49" s="3">
        <v>28.25</v>
      </c>
      <c r="I49" s="3">
        <v>28.35</v>
      </c>
      <c r="K49" s="3">
        <v>9.0</v>
      </c>
      <c r="L49" s="3">
        <v>80.0</v>
      </c>
      <c r="M49" s="3" t="s">
        <v>78</v>
      </c>
      <c r="N49" s="3">
        <v>1.0</v>
      </c>
      <c r="O49" s="3">
        <v>0.0</v>
      </c>
      <c r="P49" s="3">
        <v>-0.062</v>
      </c>
      <c r="Q49" s="3">
        <v>0.0</v>
      </c>
      <c r="R49" s="3">
        <v>0.2192</v>
      </c>
      <c r="S49" s="3">
        <v>50.279999</v>
      </c>
      <c r="T49" s="3">
        <v>28.0</v>
      </c>
      <c r="U49" s="3">
        <f t="shared" si="2"/>
        <v>28.3</v>
      </c>
      <c r="V49" s="3"/>
      <c r="W49" s="3">
        <f t="shared" si="3"/>
        <v>28.28171004</v>
      </c>
      <c r="X49" s="3">
        <f t="shared" si="4"/>
        <v>11.35007377</v>
      </c>
      <c r="Y49" s="3">
        <f t="shared" si="5"/>
        <v>11.27700711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158</v>
      </c>
      <c r="B50" s="3" t="s">
        <v>159</v>
      </c>
      <c r="C50" s="3" t="s">
        <v>129</v>
      </c>
      <c r="D50" s="3" t="s">
        <v>29</v>
      </c>
      <c r="E50" s="3">
        <v>22.0</v>
      </c>
      <c r="F50" s="3" t="s">
        <v>27</v>
      </c>
      <c r="G50" s="3">
        <v>28.1</v>
      </c>
      <c r="I50" s="3">
        <v>28.35</v>
      </c>
      <c r="K50" s="3">
        <v>0.0</v>
      </c>
      <c r="L50" s="3">
        <v>80.0</v>
      </c>
      <c r="M50" s="3" t="s">
        <v>79</v>
      </c>
      <c r="N50" s="3">
        <v>0.9987</v>
      </c>
      <c r="O50" s="3">
        <v>0.0</v>
      </c>
      <c r="P50" s="3">
        <v>0.5899</v>
      </c>
      <c r="Q50" s="3">
        <v>0.0</v>
      </c>
      <c r="R50" s="3">
        <v>0.2076</v>
      </c>
      <c r="S50" s="3">
        <v>50.16</v>
      </c>
      <c r="T50" s="3">
        <v>27.0</v>
      </c>
      <c r="U50" s="3">
        <f t="shared" si="2"/>
        <v>28.225</v>
      </c>
      <c r="V50" s="3"/>
      <c r="W50" s="3">
        <f t="shared" si="3"/>
        <v>28.16164994</v>
      </c>
      <c r="X50" s="3">
        <f t="shared" si="4"/>
        <v>12.16368123</v>
      </c>
      <c r="Y50" s="3">
        <f t="shared" si="5"/>
        <v>12.09572818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158</v>
      </c>
      <c r="B51" s="3" t="s">
        <v>159</v>
      </c>
      <c r="C51" s="3" t="s">
        <v>129</v>
      </c>
      <c r="D51" s="3" t="s">
        <v>29</v>
      </c>
      <c r="E51" s="3">
        <v>22.0</v>
      </c>
      <c r="F51" s="3" t="s">
        <v>27</v>
      </c>
      <c r="G51" s="3">
        <v>28.8</v>
      </c>
      <c r="I51" s="3">
        <v>29.05</v>
      </c>
      <c r="K51" s="3">
        <v>0.0</v>
      </c>
      <c r="L51" s="3">
        <v>80.0</v>
      </c>
      <c r="M51" s="3" t="s">
        <v>80</v>
      </c>
      <c r="N51" s="3">
        <v>0.9985</v>
      </c>
      <c r="O51" s="3">
        <v>0.0</v>
      </c>
      <c r="P51" s="3">
        <v>0.6868</v>
      </c>
      <c r="Q51" s="3">
        <v>0.0</v>
      </c>
      <c r="R51" s="3">
        <v>0.1802</v>
      </c>
      <c r="S51" s="3">
        <v>51.0</v>
      </c>
      <c r="T51" s="3">
        <v>26.0</v>
      </c>
      <c r="U51" s="3">
        <f t="shared" si="2"/>
        <v>28.925</v>
      </c>
      <c r="V51" s="3"/>
      <c r="W51" s="3">
        <f t="shared" si="3"/>
        <v>29.00158883</v>
      </c>
      <c r="X51" s="3">
        <f t="shared" si="4"/>
        <v>14.55608105</v>
      </c>
      <c r="Y51" s="3">
        <f t="shared" si="5"/>
        <v>14.49819937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158</v>
      </c>
      <c r="B52" s="3" t="s">
        <v>159</v>
      </c>
      <c r="C52" s="3" t="s">
        <v>129</v>
      </c>
      <c r="D52" s="3" t="s">
        <v>29</v>
      </c>
      <c r="E52" s="3">
        <v>22.0</v>
      </c>
      <c r="F52" s="3" t="s">
        <v>27</v>
      </c>
      <c r="G52" s="3">
        <v>27.95</v>
      </c>
      <c r="I52" s="3">
        <v>28.05</v>
      </c>
      <c r="K52" s="3">
        <v>0.0</v>
      </c>
      <c r="L52" s="3">
        <v>80.0</v>
      </c>
      <c r="M52" s="3" t="s">
        <v>81</v>
      </c>
      <c r="N52" s="3">
        <v>0.9972</v>
      </c>
      <c r="O52" s="3">
        <v>0.0</v>
      </c>
      <c r="P52" s="3">
        <v>1.4049</v>
      </c>
      <c r="Q52" s="3">
        <v>0.0</v>
      </c>
      <c r="R52" s="3">
        <v>0.417</v>
      </c>
      <c r="S52" s="3">
        <v>50.02</v>
      </c>
      <c r="T52" s="3">
        <v>25.0</v>
      </c>
      <c r="U52" s="3">
        <f t="shared" si="2"/>
        <v>28</v>
      </c>
      <c r="V52" s="3"/>
      <c r="W52" s="3">
        <f t="shared" si="3"/>
        <v>28.02152772</v>
      </c>
      <c r="X52" s="3">
        <f t="shared" si="4"/>
        <v>6.319922244</v>
      </c>
      <c r="Y52" s="3">
        <f t="shared" si="5"/>
        <v>6.18857959</v>
      </c>
      <c r="Z52" s="3">
        <f t="shared" ref="Z52:AA52" si="55">_xlfn.NORM.S.DIST(X52)</f>
        <v>0.9999999999</v>
      </c>
      <c r="AA52" s="3">
        <f t="shared" si="55"/>
        <v>0.9999999997</v>
      </c>
    </row>
    <row r="53" ht="14.25" customHeight="1">
      <c r="A53" s="3" t="s">
        <v>158</v>
      </c>
      <c r="B53" s="3" t="s">
        <v>159</v>
      </c>
      <c r="C53" s="3" t="s">
        <v>129</v>
      </c>
      <c r="D53" s="3" t="s">
        <v>29</v>
      </c>
      <c r="E53" s="3">
        <v>22.0</v>
      </c>
      <c r="F53" s="3" t="s">
        <v>27</v>
      </c>
      <c r="G53" s="3">
        <v>27.45</v>
      </c>
      <c r="I53" s="3">
        <v>27.55</v>
      </c>
      <c r="K53" s="3">
        <v>0.0</v>
      </c>
      <c r="L53" s="3">
        <v>80.0</v>
      </c>
      <c r="M53" s="3" t="s">
        <v>82</v>
      </c>
      <c r="N53" s="3">
        <v>0.9984</v>
      </c>
      <c r="O53" s="3">
        <v>0.0</v>
      </c>
      <c r="P53" s="3">
        <v>0.8144</v>
      </c>
      <c r="Q53" s="3">
        <v>0.0</v>
      </c>
      <c r="R53" s="3">
        <v>0.2312</v>
      </c>
      <c r="S53" s="3">
        <v>49.509998</v>
      </c>
      <c r="T53" s="3">
        <v>24.0</v>
      </c>
      <c r="U53" s="3">
        <f t="shared" si="2"/>
        <v>27.5</v>
      </c>
      <c r="V53" s="3"/>
      <c r="W53" s="3">
        <f t="shared" si="3"/>
        <v>27.51146462</v>
      </c>
      <c r="X53" s="3">
        <f t="shared" si="4"/>
        <v>11.40498582</v>
      </c>
      <c r="Y53" s="3">
        <f t="shared" si="5"/>
        <v>11.33363595</v>
      </c>
      <c r="Z53" s="3">
        <f t="shared" ref="Z53:AA53" si="56">_xlfn.NORM.S.DIST(X53)</f>
        <v>1</v>
      </c>
      <c r="AA53" s="3">
        <f t="shared" si="56"/>
        <v>1</v>
      </c>
    </row>
    <row r="54" ht="14.25" customHeight="1">
      <c r="A54" s="3" t="s">
        <v>158</v>
      </c>
      <c r="B54" s="3" t="s">
        <v>159</v>
      </c>
      <c r="C54" s="3" t="s">
        <v>129</v>
      </c>
      <c r="D54" s="3" t="s">
        <v>29</v>
      </c>
      <c r="E54" s="3">
        <v>22.0</v>
      </c>
      <c r="F54" s="3" t="s">
        <v>27</v>
      </c>
      <c r="G54" s="3">
        <v>27.15</v>
      </c>
      <c r="I54" s="3">
        <v>27.25</v>
      </c>
      <c r="K54" s="3">
        <v>0.0</v>
      </c>
      <c r="L54" s="3">
        <v>80.0</v>
      </c>
      <c r="M54" s="3" t="s">
        <v>83</v>
      </c>
      <c r="N54" s="3">
        <v>1.0</v>
      </c>
      <c r="O54" s="3">
        <v>0.0</v>
      </c>
      <c r="P54" s="3">
        <v>-0.062</v>
      </c>
      <c r="Q54" s="3">
        <v>0.0</v>
      </c>
      <c r="R54" s="3">
        <v>0.2294</v>
      </c>
      <c r="S54" s="3">
        <v>49.200001</v>
      </c>
      <c r="T54" s="3">
        <v>23.0</v>
      </c>
      <c r="U54" s="3">
        <f t="shared" si="2"/>
        <v>27.2</v>
      </c>
      <c r="V54" s="3"/>
      <c r="W54" s="3">
        <f t="shared" si="3"/>
        <v>27.20140651</v>
      </c>
      <c r="X54" s="3">
        <f t="shared" si="4"/>
        <v>11.6489509</v>
      </c>
      <c r="Y54" s="3">
        <f t="shared" si="5"/>
        <v>11.5796471</v>
      </c>
      <c r="Z54" s="3">
        <f t="shared" ref="Z54:AA54" si="57">_xlfn.NORM.S.DIST(X54)</f>
        <v>1</v>
      </c>
      <c r="AA54" s="3">
        <f t="shared" si="57"/>
        <v>1</v>
      </c>
    </row>
    <row r="55" ht="14.25" customHeight="1">
      <c r="A55" s="3" t="s">
        <v>158</v>
      </c>
      <c r="B55" s="3" t="s">
        <v>159</v>
      </c>
      <c r="C55" s="3" t="s">
        <v>129</v>
      </c>
      <c r="D55" s="3" t="s">
        <v>29</v>
      </c>
      <c r="E55" s="3">
        <v>22.0</v>
      </c>
      <c r="F55" s="3" t="s">
        <v>27</v>
      </c>
      <c r="G55" s="3">
        <v>27.0</v>
      </c>
      <c r="I55" s="3">
        <v>27.25</v>
      </c>
      <c r="K55" s="3">
        <v>0.0</v>
      </c>
      <c r="L55" s="3">
        <v>80.0</v>
      </c>
      <c r="M55" s="3" t="s">
        <v>84</v>
      </c>
      <c r="N55" s="3">
        <v>0.9981</v>
      </c>
      <c r="O55" s="3">
        <v>0.0</v>
      </c>
      <c r="P55" s="3">
        <v>1.0868</v>
      </c>
      <c r="Q55" s="3">
        <v>0.0</v>
      </c>
      <c r="R55" s="3">
        <v>0.2097</v>
      </c>
      <c r="S55" s="3">
        <v>49.119999</v>
      </c>
      <c r="T55" s="3">
        <v>22.0</v>
      </c>
      <c r="U55" s="3">
        <f t="shared" si="2"/>
        <v>27.125</v>
      </c>
      <c r="V55" s="3"/>
      <c r="W55" s="3">
        <f t="shared" si="3"/>
        <v>27.1213434</v>
      </c>
      <c r="X55" s="3">
        <f t="shared" si="4"/>
        <v>12.99560949</v>
      </c>
      <c r="Y55" s="3">
        <f t="shared" si="5"/>
        <v>12.93364976</v>
      </c>
      <c r="Z55" s="3">
        <f t="shared" ref="Z55:AA55" si="58">_xlfn.NORM.S.DIST(X55)</f>
        <v>1</v>
      </c>
      <c r="AA55" s="3">
        <f t="shared" si="58"/>
        <v>1</v>
      </c>
    </row>
    <row r="56" ht="14.25" customHeight="1">
      <c r="A56" s="3" t="s">
        <v>158</v>
      </c>
      <c r="B56" s="3" t="s">
        <v>159</v>
      </c>
      <c r="C56" s="3" t="s">
        <v>129</v>
      </c>
      <c r="D56" s="3" t="s">
        <v>29</v>
      </c>
      <c r="E56" s="3">
        <v>22.0</v>
      </c>
      <c r="F56" s="3" t="s">
        <v>27</v>
      </c>
      <c r="G56" s="3">
        <v>26.3</v>
      </c>
      <c r="I56" s="3">
        <v>26.45</v>
      </c>
      <c r="K56" s="3">
        <v>0.0</v>
      </c>
      <c r="L56" s="3">
        <v>80.0</v>
      </c>
      <c r="M56" s="3" t="s">
        <v>85</v>
      </c>
      <c r="N56" s="3">
        <v>1.0</v>
      </c>
      <c r="O56" s="3">
        <v>0.0</v>
      </c>
      <c r="P56" s="3">
        <v>-0.062</v>
      </c>
      <c r="Q56" s="3">
        <v>0.0</v>
      </c>
      <c r="R56" s="3">
        <v>0.2212</v>
      </c>
      <c r="S56" s="3">
        <v>48.349998</v>
      </c>
      <c r="T56" s="3">
        <v>21.0</v>
      </c>
      <c r="U56" s="3">
        <f t="shared" si="2"/>
        <v>26.375</v>
      </c>
      <c r="V56" s="3"/>
      <c r="W56" s="3">
        <f t="shared" si="3"/>
        <v>26.3512813</v>
      </c>
      <c r="X56" s="3">
        <f t="shared" si="4"/>
        <v>12.36428677</v>
      </c>
      <c r="Y56" s="3">
        <f t="shared" si="5"/>
        <v>12.30043183</v>
      </c>
      <c r="Z56" s="3">
        <f t="shared" ref="Z56:AA56" si="59">_xlfn.NORM.S.DIST(X56)</f>
        <v>1</v>
      </c>
      <c r="AA56" s="3">
        <f t="shared" si="59"/>
        <v>1</v>
      </c>
    </row>
    <row r="57" ht="14.25" customHeight="1">
      <c r="A57" s="3" t="s">
        <v>158</v>
      </c>
      <c r="B57" s="3" t="s">
        <v>159</v>
      </c>
      <c r="C57" s="3" t="s">
        <v>129</v>
      </c>
      <c r="D57" s="3" t="s">
        <v>29</v>
      </c>
      <c r="E57" s="3">
        <v>22.0</v>
      </c>
      <c r="F57" s="3" t="s">
        <v>27</v>
      </c>
      <c r="G57" s="3">
        <v>26.4</v>
      </c>
      <c r="I57" s="3">
        <v>27.55</v>
      </c>
      <c r="K57" s="3">
        <v>0.0</v>
      </c>
      <c r="L57" s="3">
        <v>80.0</v>
      </c>
      <c r="M57" s="3" t="s">
        <v>86</v>
      </c>
      <c r="N57" s="3">
        <v>0.9964</v>
      </c>
      <c r="O57" s="3">
        <v>0.0</v>
      </c>
      <c r="P57" s="3">
        <v>2.2159</v>
      </c>
      <c r="Q57" s="3">
        <v>0.0</v>
      </c>
      <c r="R57" s="3">
        <v>0.2184</v>
      </c>
      <c r="S57" s="3">
        <v>48.779999</v>
      </c>
      <c r="T57" s="3">
        <v>20.0</v>
      </c>
      <c r="U57" s="3">
        <f t="shared" si="2"/>
        <v>26.975</v>
      </c>
      <c r="V57" s="3"/>
      <c r="W57" s="3">
        <f t="shared" si="3"/>
        <v>26.78122119</v>
      </c>
      <c r="X57" s="3">
        <f t="shared" si="4"/>
        <v>12.97354485</v>
      </c>
      <c r="Y57" s="3">
        <f t="shared" si="5"/>
        <v>12.91201762</v>
      </c>
      <c r="Z57" s="3">
        <f t="shared" ref="Z57:AA57" si="60">_xlfn.NORM.S.DIST(X57)</f>
        <v>1</v>
      </c>
      <c r="AA57" s="3">
        <f t="shared" si="60"/>
        <v>1</v>
      </c>
    </row>
    <row r="58" ht="14.25" customHeight="1">
      <c r="A58" s="3" t="s">
        <v>158</v>
      </c>
      <c r="B58" s="3" t="s">
        <v>159</v>
      </c>
      <c r="C58" s="3" t="s">
        <v>129</v>
      </c>
      <c r="D58" s="3" t="s">
        <v>29</v>
      </c>
      <c r="E58" s="3">
        <v>22.0</v>
      </c>
      <c r="F58" s="3" t="s">
        <v>27</v>
      </c>
      <c r="G58" s="3">
        <v>25.05</v>
      </c>
      <c r="I58" s="3">
        <v>26.8</v>
      </c>
      <c r="K58" s="3">
        <v>0.0</v>
      </c>
      <c r="L58" s="3">
        <v>80.0</v>
      </c>
      <c r="M58" s="3" t="s">
        <v>87</v>
      </c>
      <c r="N58" s="3">
        <v>1.0</v>
      </c>
      <c r="O58" s="3">
        <v>0.0</v>
      </c>
      <c r="P58" s="3">
        <v>-0.062</v>
      </c>
      <c r="Q58" s="3">
        <v>0.0</v>
      </c>
      <c r="R58" s="3">
        <v>0.2129</v>
      </c>
      <c r="S58" s="3">
        <v>48.52</v>
      </c>
      <c r="T58" s="3">
        <v>19.0</v>
      </c>
      <c r="U58" s="3">
        <f t="shared" si="2"/>
        <v>25.925</v>
      </c>
      <c r="V58" s="3"/>
      <c r="W58" s="3">
        <f t="shared" si="3"/>
        <v>26.52116108</v>
      </c>
      <c r="X58" s="3">
        <f t="shared" si="4"/>
        <v>13.55982252</v>
      </c>
      <c r="Y58" s="3">
        <f t="shared" si="5"/>
        <v>13.50136341</v>
      </c>
      <c r="Z58" s="3">
        <f t="shared" ref="Z58:AA58" si="61">_xlfn.NORM.S.DIST(X58)</f>
        <v>1</v>
      </c>
      <c r="AA58" s="3">
        <f t="shared" si="61"/>
        <v>1</v>
      </c>
    </row>
    <row r="59" ht="14.25" customHeight="1">
      <c r="A59" s="3" t="s">
        <v>158</v>
      </c>
      <c r="B59" s="3" t="s">
        <v>159</v>
      </c>
      <c r="C59" s="3" t="s">
        <v>129</v>
      </c>
      <c r="D59" s="3" t="s">
        <v>29</v>
      </c>
      <c r="E59" s="3">
        <v>22.0</v>
      </c>
      <c r="F59" s="3" t="s">
        <v>27</v>
      </c>
      <c r="G59" s="3">
        <v>26.55</v>
      </c>
      <c r="I59" s="3">
        <v>26.7</v>
      </c>
      <c r="K59" s="3">
        <v>0.0</v>
      </c>
      <c r="L59" s="3">
        <v>80.0</v>
      </c>
      <c r="M59" s="3" t="s">
        <v>88</v>
      </c>
      <c r="N59" s="3">
        <v>1.0</v>
      </c>
      <c r="O59" s="3">
        <v>0.0</v>
      </c>
      <c r="P59" s="3">
        <v>-0.062</v>
      </c>
      <c r="Q59" s="3">
        <v>0.0</v>
      </c>
      <c r="R59" s="3">
        <v>0.1659</v>
      </c>
      <c r="S59" s="3">
        <v>48.639999</v>
      </c>
      <c r="T59" s="3">
        <v>18.0</v>
      </c>
      <c r="U59" s="3">
        <f t="shared" si="2"/>
        <v>26.625</v>
      </c>
      <c r="V59" s="3"/>
      <c r="W59" s="3">
        <f t="shared" si="3"/>
        <v>26.64109897</v>
      </c>
      <c r="X59" s="3">
        <f t="shared" si="4"/>
        <v>17.91748057</v>
      </c>
      <c r="Y59" s="3">
        <f t="shared" si="5"/>
        <v>17.87314193</v>
      </c>
      <c r="Z59" s="3">
        <f t="shared" ref="Z59:AA59" si="62">_xlfn.NORM.S.DIST(X59)</f>
        <v>1</v>
      </c>
      <c r="AA59" s="3">
        <f t="shared" si="62"/>
        <v>1</v>
      </c>
    </row>
    <row r="60" ht="14.25" customHeight="1">
      <c r="A60" s="3" t="s">
        <v>158</v>
      </c>
      <c r="B60" s="3" t="s">
        <v>159</v>
      </c>
      <c r="C60" s="3" t="s">
        <v>129</v>
      </c>
      <c r="D60" s="3" t="s">
        <v>29</v>
      </c>
      <c r="E60" s="3">
        <v>22.0</v>
      </c>
      <c r="F60" s="3" t="s">
        <v>27</v>
      </c>
      <c r="G60" s="3">
        <v>24.45</v>
      </c>
      <c r="I60" s="3">
        <v>27.15</v>
      </c>
      <c r="K60" s="3">
        <v>0.0</v>
      </c>
      <c r="L60" s="3">
        <v>80.0</v>
      </c>
      <c r="M60" s="3" t="s">
        <v>89</v>
      </c>
      <c r="N60" s="3">
        <v>1.0</v>
      </c>
      <c r="O60" s="3">
        <v>0.0</v>
      </c>
      <c r="P60" s="3">
        <v>-0.062</v>
      </c>
      <c r="Q60" s="3">
        <v>0.0</v>
      </c>
      <c r="R60" s="3">
        <v>0.1939</v>
      </c>
      <c r="S60" s="3">
        <v>47.77</v>
      </c>
      <c r="T60" s="3">
        <v>17.0</v>
      </c>
      <c r="U60" s="3">
        <f t="shared" si="2"/>
        <v>25.8</v>
      </c>
      <c r="V60" s="3"/>
      <c r="W60" s="3">
        <f t="shared" si="3"/>
        <v>25.77103886</v>
      </c>
      <c r="X60" s="3">
        <f t="shared" si="4"/>
        <v>15.42179599</v>
      </c>
      <c r="Y60" s="3">
        <f t="shared" si="5"/>
        <v>15.3714341</v>
      </c>
      <c r="Z60" s="3">
        <f t="shared" ref="Z60:AA60" si="63">_xlfn.NORM.S.DIST(X60)</f>
        <v>1</v>
      </c>
      <c r="AA60" s="3">
        <f t="shared" si="63"/>
        <v>1</v>
      </c>
    </row>
    <row r="61" ht="14.25" customHeight="1">
      <c r="A61" s="3" t="s">
        <v>158</v>
      </c>
      <c r="B61" s="3" t="s">
        <v>159</v>
      </c>
      <c r="C61" s="3" t="s">
        <v>129</v>
      </c>
      <c r="D61" s="3" t="s">
        <v>29</v>
      </c>
      <c r="E61" s="3">
        <v>22.0</v>
      </c>
      <c r="F61" s="3" t="s">
        <v>27</v>
      </c>
      <c r="G61" s="3">
        <v>25.25</v>
      </c>
      <c r="I61" s="3">
        <v>25.55</v>
      </c>
      <c r="K61" s="3">
        <v>31.0</v>
      </c>
      <c r="L61" s="3">
        <v>80.0</v>
      </c>
      <c r="M61" s="3" t="s">
        <v>90</v>
      </c>
      <c r="N61" s="3">
        <v>0.9968</v>
      </c>
      <c r="O61" s="3">
        <v>0.0</v>
      </c>
      <c r="P61" s="3">
        <v>2.4392</v>
      </c>
      <c r="Q61" s="3">
        <v>0.0</v>
      </c>
      <c r="R61" s="3">
        <v>0.3521</v>
      </c>
      <c r="S61" s="3">
        <v>47.459999</v>
      </c>
      <c r="T61" s="3">
        <v>16.0</v>
      </c>
      <c r="U61" s="3">
        <f t="shared" si="2"/>
        <v>25.4</v>
      </c>
      <c r="V61" s="3"/>
      <c r="W61" s="3">
        <f t="shared" si="3"/>
        <v>25.46097676</v>
      </c>
      <c r="X61" s="3">
        <f t="shared" si="4"/>
        <v>8.710746391</v>
      </c>
      <c r="Y61" s="3">
        <f t="shared" si="5"/>
        <v>8.622025531</v>
      </c>
      <c r="Z61" s="3">
        <f t="shared" ref="Z61:AA61" si="64">_xlfn.NORM.S.DIST(X61)</f>
        <v>1</v>
      </c>
      <c r="AA61" s="3">
        <f t="shared" si="64"/>
        <v>1</v>
      </c>
    </row>
    <row r="62" ht="14.25" customHeight="1">
      <c r="A62" s="3" t="s">
        <v>158</v>
      </c>
      <c r="B62" s="3" t="s">
        <v>159</v>
      </c>
      <c r="C62" s="3" t="s">
        <v>129</v>
      </c>
      <c r="D62" s="3" t="s">
        <v>29</v>
      </c>
      <c r="E62" s="3">
        <v>22.0</v>
      </c>
      <c r="F62" s="3" t="s">
        <v>27</v>
      </c>
      <c r="G62" s="3">
        <v>25.8</v>
      </c>
      <c r="I62" s="3">
        <v>25.9</v>
      </c>
      <c r="K62" s="3">
        <v>0.0</v>
      </c>
      <c r="L62" s="3">
        <v>111.0</v>
      </c>
      <c r="M62" s="3" t="s">
        <v>91</v>
      </c>
      <c r="N62" s="3">
        <v>1.0</v>
      </c>
      <c r="O62" s="3">
        <v>0.0</v>
      </c>
      <c r="P62" s="3">
        <v>-0.061</v>
      </c>
      <c r="Q62" s="3">
        <v>0.0</v>
      </c>
      <c r="R62" s="3">
        <v>0.1708</v>
      </c>
      <c r="S62" s="3">
        <v>47.830002</v>
      </c>
      <c r="T62" s="3">
        <v>15.0</v>
      </c>
      <c r="U62" s="3">
        <f t="shared" si="2"/>
        <v>25.85</v>
      </c>
      <c r="V62" s="3"/>
      <c r="W62" s="3">
        <f t="shared" si="3"/>
        <v>25.83091865</v>
      </c>
      <c r="X62" s="3">
        <f t="shared" si="4"/>
        <v>18.65858257</v>
      </c>
      <c r="Y62" s="3">
        <f t="shared" si="5"/>
        <v>18.61691163</v>
      </c>
      <c r="Z62" s="3">
        <f t="shared" ref="Z62:AA62" si="65">_xlfn.NORM.S.DIST(X62)</f>
        <v>1</v>
      </c>
      <c r="AA62" s="3">
        <f t="shared" si="65"/>
        <v>1</v>
      </c>
    </row>
    <row r="63" ht="14.25" customHeight="1">
      <c r="A63" s="3" t="s">
        <v>158</v>
      </c>
      <c r="B63" s="3" t="s">
        <v>159</v>
      </c>
      <c r="C63" s="3" t="s">
        <v>129</v>
      </c>
      <c r="D63" s="3" t="s">
        <v>29</v>
      </c>
      <c r="E63" s="3">
        <v>22.0</v>
      </c>
      <c r="F63" s="3" t="s">
        <v>27</v>
      </c>
      <c r="G63" s="3">
        <v>26.2</v>
      </c>
      <c r="I63" s="3">
        <v>26.3</v>
      </c>
      <c r="K63" s="3">
        <v>0.0</v>
      </c>
      <c r="L63" s="3">
        <v>111.0</v>
      </c>
      <c r="M63" s="3" t="s">
        <v>92</v>
      </c>
      <c r="N63" s="3">
        <v>1.0</v>
      </c>
      <c r="O63" s="3">
        <v>0.0</v>
      </c>
      <c r="P63" s="3">
        <v>-0.061</v>
      </c>
      <c r="Q63" s="3">
        <v>0.0</v>
      </c>
      <c r="R63" s="3">
        <v>0.1805</v>
      </c>
      <c r="S63" s="3">
        <v>48.279999</v>
      </c>
      <c r="T63" s="3">
        <v>14.0</v>
      </c>
      <c r="U63" s="3">
        <f t="shared" si="2"/>
        <v>26.25</v>
      </c>
      <c r="V63" s="3"/>
      <c r="W63" s="3">
        <f t="shared" si="3"/>
        <v>26.28085454</v>
      </c>
      <c r="X63" s="3">
        <f t="shared" si="4"/>
        <v>18.49647532</v>
      </c>
      <c r="Y63" s="3">
        <f t="shared" si="5"/>
        <v>18.45393106</v>
      </c>
      <c r="Z63" s="3">
        <f t="shared" ref="Z63:AA63" si="66">_xlfn.NORM.S.DIST(X63)</f>
        <v>1</v>
      </c>
      <c r="AA63" s="3">
        <f t="shared" si="66"/>
        <v>1</v>
      </c>
    </row>
    <row r="64" ht="14.25" customHeight="1">
      <c r="A64" s="3" t="s">
        <v>158</v>
      </c>
      <c r="B64" s="3" t="s">
        <v>159</v>
      </c>
      <c r="C64" s="3" t="s">
        <v>129</v>
      </c>
      <c r="D64" s="3" t="s">
        <v>29</v>
      </c>
      <c r="E64" s="3">
        <v>22.0</v>
      </c>
      <c r="F64" s="3" t="s">
        <v>27</v>
      </c>
      <c r="G64" s="3">
        <v>24.85</v>
      </c>
      <c r="I64" s="3">
        <v>24.95</v>
      </c>
      <c r="K64" s="3">
        <v>0.0</v>
      </c>
      <c r="L64" s="3">
        <v>0.0</v>
      </c>
      <c r="M64" s="3" t="s">
        <v>93</v>
      </c>
      <c r="N64" s="3">
        <v>1.0</v>
      </c>
      <c r="O64" s="3">
        <v>0.0</v>
      </c>
      <c r="P64" s="3">
        <v>-0.061</v>
      </c>
      <c r="Q64" s="3">
        <v>0.0</v>
      </c>
      <c r="R64" s="3">
        <v>0.3392</v>
      </c>
      <c r="S64" s="3">
        <v>46.849998</v>
      </c>
      <c r="T64" s="3">
        <v>13.0</v>
      </c>
      <c r="U64" s="3">
        <f t="shared" si="2"/>
        <v>24.9</v>
      </c>
      <c r="V64" s="3"/>
      <c r="W64" s="3">
        <f t="shared" si="3"/>
        <v>24.85079243</v>
      </c>
      <c r="X64" s="3">
        <f t="shared" si="4"/>
        <v>9.850638318</v>
      </c>
      <c r="Y64" s="3">
        <f t="shared" si="5"/>
        <v>9.773596371</v>
      </c>
      <c r="Z64" s="3">
        <f t="shared" ref="Z64:AA64" si="67">_xlfn.NORM.S.DIST(X64)</f>
        <v>1</v>
      </c>
      <c r="AA64" s="3">
        <f t="shared" si="67"/>
        <v>1</v>
      </c>
    </row>
    <row r="65" ht="14.25" customHeight="1">
      <c r="A65" s="3" t="s">
        <v>158</v>
      </c>
      <c r="B65" s="3" t="s">
        <v>159</v>
      </c>
      <c r="C65" s="3" t="s">
        <v>129</v>
      </c>
      <c r="D65" s="3" t="s">
        <v>29</v>
      </c>
      <c r="E65" s="3">
        <v>22.0</v>
      </c>
      <c r="F65" s="3" t="s">
        <v>27</v>
      </c>
      <c r="G65" s="3">
        <v>25.45</v>
      </c>
      <c r="I65" s="3">
        <v>25.55</v>
      </c>
      <c r="K65" s="3">
        <v>0.0</v>
      </c>
      <c r="L65" s="3">
        <v>0.0</v>
      </c>
      <c r="M65" s="3" t="s">
        <v>94</v>
      </c>
      <c r="N65" s="3">
        <v>0.9988</v>
      </c>
      <c r="O65" s="3">
        <v>0.0</v>
      </c>
      <c r="P65" s="3">
        <v>1.3371</v>
      </c>
      <c r="Q65" s="3">
        <v>0.0</v>
      </c>
      <c r="R65" s="3">
        <v>0.2334</v>
      </c>
      <c r="S65" s="3">
        <v>47.490002</v>
      </c>
      <c r="T65" s="3">
        <v>12.0</v>
      </c>
      <c r="U65" s="3">
        <f t="shared" si="2"/>
        <v>25.5</v>
      </c>
      <c r="V65" s="3"/>
      <c r="W65" s="3">
        <f t="shared" si="3"/>
        <v>25.49073532</v>
      </c>
      <c r="X65" s="3">
        <f t="shared" si="4"/>
        <v>15.13402734</v>
      </c>
      <c r="Y65" s="3">
        <f t="shared" si="5"/>
        <v>15.08309529</v>
      </c>
      <c r="Z65" s="3">
        <f t="shared" ref="Z65:AA65" si="68">_xlfn.NORM.S.DIST(X65)</f>
        <v>1</v>
      </c>
      <c r="AA65" s="3">
        <f t="shared" si="68"/>
        <v>1</v>
      </c>
    </row>
    <row r="66" ht="14.25" customHeight="1">
      <c r="A66" s="3" t="s">
        <v>158</v>
      </c>
      <c r="B66" s="3" t="s">
        <v>159</v>
      </c>
      <c r="C66" s="3" t="s">
        <v>129</v>
      </c>
      <c r="D66" s="3" t="s">
        <v>29</v>
      </c>
      <c r="E66" s="3">
        <v>22.0</v>
      </c>
      <c r="F66" s="3" t="s">
        <v>27</v>
      </c>
      <c r="G66" s="3">
        <v>25.85</v>
      </c>
      <c r="I66" s="3">
        <v>25.95</v>
      </c>
      <c r="K66" s="3">
        <v>0.0</v>
      </c>
      <c r="L66" s="3">
        <v>0.0</v>
      </c>
      <c r="M66" s="3" t="s">
        <v>95</v>
      </c>
      <c r="N66" s="3">
        <v>1.0</v>
      </c>
      <c r="O66" s="3">
        <v>0.0</v>
      </c>
      <c r="P66" s="3">
        <v>-0.061</v>
      </c>
      <c r="Q66" s="3">
        <v>0.0</v>
      </c>
      <c r="R66" s="3">
        <v>0.2878</v>
      </c>
      <c r="S66" s="3">
        <v>47.91</v>
      </c>
      <c r="T66" s="3">
        <v>11.0</v>
      </c>
      <c r="U66" s="3">
        <f t="shared" si="2"/>
        <v>25.9</v>
      </c>
      <c r="V66" s="3"/>
      <c r="W66" s="3">
        <f t="shared" si="3"/>
        <v>25.91067221</v>
      </c>
      <c r="X66" s="3">
        <f t="shared" si="4"/>
        <v>12.9740217</v>
      </c>
      <c r="Y66" s="3">
        <f t="shared" si="5"/>
        <v>12.9138923</v>
      </c>
      <c r="Z66" s="3">
        <f t="shared" ref="Z66:AA66" si="69">_xlfn.NORM.S.DIST(X66)</f>
        <v>1</v>
      </c>
      <c r="AA66" s="3">
        <f t="shared" si="69"/>
        <v>1</v>
      </c>
    </row>
    <row r="67" ht="14.25" customHeight="1">
      <c r="A67" s="3" t="s">
        <v>158</v>
      </c>
      <c r="B67" s="3" t="s">
        <v>159</v>
      </c>
      <c r="C67" s="3" t="s">
        <v>129</v>
      </c>
      <c r="D67" s="3" t="s">
        <v>29</v>
      </c>
      <c r="E67" s="3">
        <v>22.0</v>
      </c>
      <c r="F67" s="3" t="s">
        <v>27</v>
      </c>
      <c r="G67" s="3">
        <v>25.0</v>
      </c>
      <c r="I67" s="3">
        <v>27.6</v>
      </c>
      <c r="K67" s="3">
        <v>0.0</v>
      </c>
      <c r="L67" s="3">
        <v>0.0</v>
      </c>
      <c r="M67" s="3" t="s">
        <v>96</v>
      </c>
      <c r="N67" s="3">
        <v>1.0</v>
      </c>
      <c r="O67" s="3">
        <v>0.0</v>
      </c>
      <c r="P67" s="3">
        <v>-0.061</v>
      </c>
      <c r="Q67" s="3">
        <v>0.0</v>
      </c>
      <c r="R67" s="3">
        <v>0.3124</v>
      </c>
      <c r="S67" s="3">
        <v>48.580002</v>
      </c>
      <c r="T67" s="3">
        <v>10.0</v>
      </c>
      <c r="U67" s="3">
        <f t="shared" si="2"/>
        <v>26.3</v>
      </c>
      <c r="V67" s="3"/>
      <c r="W67" s="3">
        <f t="shared" si="3"/>
        <v>26.5806131</v>
      </c>
      <c r="X67" s="3">
        <f t="shared" si="4"/>
        <v>12.76094559</v>
      </c>
      <c r="Y67" s="3">
        <f t="shared" si="5"/>
        <v>12.69871402</v>
      </c>
      <c r="Z67" s="3">
        <f t="shared" ref="Z67:AA67" si="70">_xlfn.NORM.S.DIST(X67)</f>
        <v>1</v>
      </c>
      <c r="AA67" s="3">
        <f t="shared" si="70"/>
        <v>1</v>
      </c>
    </row>
    <row r="68" ht="14.25" customHeight="1">
      <c r="A68" s="3" t="s">
        <v>158</v>
      </c>
      <c r="B68" s="3" t="s">
        <v>159</v>
      </c>
      <c r="C68" s="3" t="s">
        <v>129</v>
      </c>
      <c r="D68" s="3" t="s">
        <v>29</v>
      </c>
      <c r="E68" s="3">
        <v>22.0</v>
      </c>
      <c r="F68" s="3" t="s">
        <v>27</v>
      </c>
      <c r="G68" s="3">
        <v>26.6</v>
      </c>
      <c r="I68" s="3">
        <v>26.75</v>
      </c>
      <c r="K68" s="3">
        <v>0.0</v>
      </c>
      <c r="L68" s="3">
        <v>0.0</v>
      </c>
      <c r="M68" s="3" t="s">
        <v>97</v>
      </c>
      <c r="N68" s="3">
        <v>1.0</v>
      </c>
      <c r="O68" s="3">
        <v>0.0</v>
      </c>
      <c r="P68" s="3">
        <v>-0.061</v>
      </c>
      <c r="Q68" s="3">
        <v>0.0</v>
      </c>
      <c r="R68" s="3">
        <v>0.3583</v>
      </c>
      <c r="S68" s="3">
        <v>48.68</v>
      </c>
      <c r="T68" s="3">
        <v>9.0</v>
      </c>
      <c r="U68" s="3">
        <f t="shared" si="2"/>
        <v>26.675</v>
      </c>
      <c r="V68" s="3"/>
      <c r="W68" s="3">
        <f t="shared" si="3"/>
        <v>26.68054999</v>
      </c>
      <c r="X68" s="3">
        <f t="shared" si="4"/>
        <v>11.76363643</v>
      </c>
      <c r="Y68" s="3">
        <f t="shared" si="5"/>
        <v>11.6959241</v>
      </c>
      <c r="Z68" s="3">
        <f t="shared" ref="Z68:AA68" si="71">_xlfn.NORM.S.DIST(X68)</f>
        <v>1</v>
      </c>
      <c r="AA68" s="3">
        <f t="shared" si="71"/>
        <v>1</v>
      </c>
    </row>
    <row r="69" ht="14.25" customHeight="1">
      <c r="A69" s="3" t="s">
        <v>158</v>
      </c>
      <c r="B69" s="3" t="s">
        <v>159</v>
      </c>
      <c r="C69" s="3" t="s">
        <v>129</v>
      </c>
      <c r="D69" s="3" t="s">
        <v>29</v>
      </c>
      <c r="E69" s="3">
        <v>22.0</v>
      </c>
      <c r="F69" s="3" t="s">
        <v>27</v>
      </c>
      <c r="G69" s="3">
        <v>26.7</v>
      </c>
      <c r="I69" s="3">
        <v>27.85</v>
      </c>
      <c r="K69" s="3">
        <v>0.0</v>
      </c>
      <c r="L69" s="3">
        <v>0.0</v>
      </c>
      <c r="M69" s="3" t="s">
        <v>98</v>
      </c>
      <c r="N69" s="3">
        <v>1.0</v>
      </c>
      <c r="O69" s="3">
        <v>0.0</v>
      </c>
      <c r="P69" s="3">
        <v>-0.061</v>
      </c>
      <c r="Q69" s="3">
        <v>0.0</v>
      </c>
      <c r="R69" s="3">
        <v>0.3575</v>
      </c>
      <c r="S69" s="3">
        <v>49.25</v>
      </c>
      <c r="T69" s="3">
        <v>8.0</v>
      </c>
      <c r="U69" s="3">
        <f t="shared" si="2"/>
        <v>27.275</v>
      </c>
      <c r="V69" s="3"/>
      <c r="W69" s="3">
        <f t="shared" si="3"/>
        <v>27.25048888</v>
      </c>
      <c r="X69" s="3">
        <f t="shared" si="4"/>
        <v>12.68371314</v>
      </c>
      <c r="Y69" s="3">
        <f t="shared" si="5"/>
        <v>12.62001587</v>
      </c>
      <c r="Z69" s="3">
        <f t="shared" ref="Z69:AA69" si="72">_xlfn.NORM.S.DIST(X69)</f>
        <v>1</v>
      </c>
      <c r="AA69" s="3">
        <f t="shared" si="72"/>
        <v>1</v>
      </c>
    </row>
    <row r="70" ht="14.25" customHeight="1">
      <c r="A70" s="3" t="s">
        <v>158</v>
      </c>
      <c r="B70" s="3" t="s">
        <v>159</v>
      </c>
      <c r="C70" s="3" t="s">
        <v>129</v>
      </c>
      <c r="D70" s="3" t="s">
        <v>29</v>
      </c>
      <c r="E70" s="3">
        <v>22.0</v>
      </c>
      <c r="F70" s="3" t="s">
        <v>27</v>
      </c>
      <c r="G70" s="3">
        <v>27.2</v>
      </c>
      <c r="I70" s="3">
        <v>27.45</v>
      </c>
      <c r="K70" s="3">
        <v>0.0</v>
      </c>
      <c r="L70" s="3">
        <v>0.0</v>
      </c>
      <c r="M70" s="3" t="s">
        <v>99</v>
      </c>
      <c r="N70" s="3">
        <v>1.0</v>
      </c>
      <c r="O70" s="3">
        <v>0.0</v>
      </c>
      <c r="P70" s="3">
        <v>-0.061</v>
      </c>
      <c r="Q70" s="3">
        <v>0.0</v>
      </c>
      <c r="R70" s="3">
        <v>0.2727</v>
      </c>
      <c r="S70" s="3">
        <v>49.310001</v>
      </c>
      <c r="T70" s="3">
        <v>7.0</v>
      </c>
      <c r="U70" s="3">
        <f t="shared" si="2"/>
        <v>27.325</v>
      </c>
      <c r="V70" s="3"/>
      <c r="W70" s="3">
        <f t="shared" si="3"/>
        <v>27.31042877</v>
      </c>
      <c r="X70" s="3">
        <f t="shared" si="4"/>
        <v>17.78078686</v>
      </c>
      <c r="Y70" s="3">
        <f t="shared" si="5"/>
        <v>17.73533686</v>
      </c>
      <c r="Z70" s="3">
        <f t="shared" ref="Z70:AA70" si="73">_xlfn.NORM.S.DIST(X70)</f>
        <v>1</v>
      </c>
      <c r="AA70" s="3">
        <f t="shared" si="73"/>
        <v>1</v>
      </c>
    </row>
    <row r="71" ht="14.25" customHeight="1">
      <c r="A71" s="3" t="s">
        <v>158</v>
      </c>
      <c r="B71" s="3" t="s">
        <v>159</v>
      </c>
      <c r="C71" s="3" t="s">
        <v>129</v>
      </c>
      <c r="D71" s="3" t="s">
        <v>29</v>
      </c>
      <c r="E71" s="3">
        <v>22.0</v>
      </c>
      <c r="F71" s="3" t="s">
        <v>27</v>
      </c>
      <c r="G71" s="3">
        <v>25.7</v>
      </c>
      <c r="I71" s="3">
        <v>28.35</v>
      </c>
      <c r="K71" s="3">
        <v>0.0</v>
      </c>
      <c r="L71" s="3">
        <v>0.0</v>
      </c>
      <c r="M71" s="3" t="s">
        <v>100</v>
      </c>
      <c r="N71" s="3">
        <v>1.0</v>
      </c>
      <c r="O71" s="3">
        <v>0.0</v>
      </c>
      <c r="P71" s="3">
        <v>-0.061</v>
      </c>
      <c r="Q71" s="3">
        <v>0.0</v>
      </c>
      <c r="R71" s="3">
        <v>0.2042</v>
      </c>
      <c r="S71" s="3">
        <v>49.009998</v>
      </c>
      <c r="T71" s="3">
        <v>6.0</v>
      </c>
      <c r="U71" s="3">
        <f t="shared" si="2"/>
        <v>27.025</v>
      </c>
      <c r="V71" s="3"/>
      <c r="W71" s="3">
        <f t="shared" si="3"/>
        <v>27.01036466</v>
      </c>
      <c r="X71" s="3">
        <f t="shared" si="4"/>
        <v>25.43722245</v>
      </c>
      <c r="Y71" s="3">
        <f t="shared" si="5"/>
        <v>25.40571371</v>
      </c>
      <c r="Z71" s="3">
        <f t="shared" ref="Z71:AA71" si="74">_xlfn.NORM.S.DIST(X71)</f>
        <v>1</v>
      </c>
      <c r="AA71" s="3">
        <f t="shared" si="74"/>
        <v>1</v>
      </c>
    </row>
    <row r="72" ht="14.25" customHeight="1">
      <c r="A72" s="3" t="s">
        <v>158</v>
      </c>
      <c r="B72" s="3" t="s">
        <v>159</v>
      </c>
      <c r="C72" s="3" t="s">
        <v>129</v>
      </c>
      <c r="D72" s="3" t="s">
        <v>29</v>
      </c>
      <c r="E72" s="3">
        <v>22.0</v>
      </c>
      <c r="F72" s="3" t="s">
        <v>27</v>
      </c>
      <c r="G72" s="3">
        <v>25.65</v>
      </c>
      <c r="I72" s="3">
        <v>27.55</v>
      </c>
      <c r="K72" s="3">
        <v>0.0</v>
      </c>
      <c r="L72" s="3">
        <v>0.0</v>
      </c>
      <c r="M72" s="3" t="s">
        <v>101</v>
      </c>
      <c r="N72" s="3">
        <v>1.0</v>
      </c>
      <c r="O72" s="3">
        <v>0.0</v>
      </c>
      <c r="P72" s="3">
        <v>-0.061</v>
      </c>
      <c r="Q72" s="3">
        <v>0.0</v>
      </c>
      <c r="R72" s="3">
        <v>0.3559</v>
      </c>
      <c r="S72" s="3">
        <v>47.93</v>
      </c>
      <c r="T72" s="3">
        <v>5.0</v>
      </c>
      <c r="U72" s="3">
        <f t="shared" si="2"/>
        <v>26.6</v>
      </c>
      <c r="V72" s="3"/>
      <c r="W72" s="3">
        <f t="shared" si="3"/>
        <v>25.93030555</v>
      </c>
      <c r="X72" s="3">
        <f t="shared" si="4"/>
        <v>15.55840172</v>
      </c>
      <c r="Y72" s="3">
        <f t="shared" si="5"/>
        <v>15.50826998</v>
      </c>
      <c r="Z72" s="3">
        <f t="shared" ref="Z72:AA72" si="75">_xlfn.NORM.S.DIST(X72)</f>
        <v>1</v>
      </c>
      <c r="AA72" s="3">
        <f t="shared" si="75"/>
        <v>1</v>
      </c>
    </row>
    <row r="73" ht="14.25" customHeight="1">
      <c r="A73" s="3" t="s">
        <v>158</v>
      </c>
      <c r="B73" s="3" t="s">
        <v>159</v>
      </c>
      <c r="C73" s="3" t="s">
        <v>129</v>
      </c>
      <c r="D73" s="3" t="s">
        <v>29</v>
      </c>
      <c r="E73" s="3">
        <v>22.0</v>
      </c>
      <c r="F73" s="3" t="s">
        <v>27</v>
      </c>
      <c r="G73" s="3">
        <v>25.0</v>
      </c>
      <c r="I73" s="3">
        <v>27.4</v>
      </c>
      <c r="K73" s="3">
        <v>0.0</v>
      </c>
      <c r="L73" s="3">
        <v>0.0</v>
      </c>
      <c r="M73" s="3" t="s">
        <v>102</v>
      </c>
      <c r="N73" s="3">
        <v>1.0</v>
      </c>
      <c r="O73" s="3">
        <v>0.0</v>
      </c>
      <c r="P73" s="3">
        <v>-0.061</v>
      </c>
      <c r="Q73" s="3">
        <v>0.0</v>
      </c>
      <c r="R73" s="3">
        <v>0.2718</v>
      </c>
      <c r="S73" s="3">
        <v>48.490002</v>
      </c>
      <c r="T73" s="3">
        <v>4.0</v>
      </c>
      <c r="U73" s="3">
        <f t="shared" si="2"/>
        <v>26.2</v>
      </c>
      <c r="V73" s="3"/>
      <c r="W73" s="3">
        <f t="shared" si="3"/>
        <v>26.49024644</v>
      </c>
      <c r="X73" s="3">
        <f t="shared" si="4"/>
        <v>23.09666725</v>
      </c>
      <c r="Y73" s="3">
        <f t="shared" si="5"/>
        <v>23.06242366</v>
      </c>
      <c r="Z73" s="3">
        <f t="shared" ref="Z73:AA73" si="76">_xlfn.NORM.S.DIST(X73)</f>
        <v>1</v>
      </c>
      <c r="AA73" s="3">
        <f t="shared" si="76"/>
        <v>1</v>
      </c>
    </row>
    <row r="74" ht="14.25" customHeight="1">
      <c r="A74" s="3" t="s">
        <v>158</v>
      </c>
      <c r="B74" s="3" t="s">
        <v>159</v>
      </c>
      <c r="C74" s="3" t="s">
        <v>129</v>
      </c>
      <c r="D74" s="3" t="s">
        <v>29</v>
      </c>
      <c r="E74" s="3">
        <v>22.0</v>
      </c>
      <c r="F74" s="3" t="s">
        <v>27</v>
      </c>
      <c r="G74" s="3">
        <v>24.45</v>
      </c>
      <c r="I74" s="3">
        <v>25.15</v>
      </c>
      <c r="K74" s="3">
        <v>0.0</v>
      </c>
      <c r="L74" s="3">
        <v>0.0</v>
      </c>
      <c r="M74" s="3" t="s">
        <v>103</v>
      </c>
      <c r="N74" s="3">
        <v>1.0</v>
      </c>
      <c r="O74" s="3">
        <v>0.0</v>
      </c>
      <c r="P74" s="3">
        <v>-0.061</v>
      </c>
      <c r="Q74" s="3">
        <v>0.0</v>
      </c>
      <c r="R74" s="3">
        <v>0.3289</v>
      </c>
      <c r="S74" s="3">
        <v>46.790001</v>
      </c>
      <c r="T74" s="3">
        <v>3.0</v>
      </c>
      <c r="U74" s="3">
        <f t="shared" si="2"/>
        <v>24.8</v>
      </c>
      <c r="V74" s="3"/>
      <c r="W74" s="3">
        <f t="shared" si="3"/>
        <v>24.79018433</v>
      </c>
      <c r="X74" s="3">
        <f t="shared" si="4"/>
        <v>21.04666824</v>
      </c>
      <c r="Y74" s="3">
        <f t="shared" si="5"/>
        <v>21.01078231</v>
      </c>
      <c r="Z74" s="3">
        <f t="shared" ref="Z74:AA74" si="77">_xlfn.NORM.S.DIST(X74)</f>
        <v>1</v>
      </c>
      <c r="AA74" s="3">
        <f t="shared" si="77"/>
        <v>1</v>
      </c>
    </row>
    <row r="75" ht="14.25" customHeight="1">
      <c r="A75" s="3" t="s">
        <v>158</v>
      </c>
      <c r="B75" s="3" t="s">
        <v>159</v>
      </c>
      <c r="C75" s="3" t="s">
        <v>129</v>
      </c>
      <c r="D75" s="3" t="s">
        <v>29</v>
      </c>
      <c r="E75" s="3">
        <v>22.0</v>
      </c>
      <c r="F75" s="3" t="s">
        <v>27</v>
      </c>
      <c r="G75" s="3">
        <v>23.1</v>
      </c>
      <c r="I75" s="3">
        <v>26.35</v>
      </c>
      <c r="K75" s="3">
        <v>0.0</v>
      </c>
      <c r="L75" s="3">
        <v>0.0</v>
      </c>
      <c r="M75" s="3" t="s">
        <v>104</v>
      </c>
      <c r="N75" s="3">
        <v>1.0</v>
      </c>
      <c r="O75" s="3">
        <v>0.0</v>
      </c>
      <c r="P75" s="3">
        <v>-0.061</v>
      </c>
      <c r="Q75" s="3">
        <v>0.0</v>
      </c>
      <c r="R75" s="3">
        <v>0.4657</v>
      </c>
      <c r="S75" s="3">
        <v>46.639999</v>
      </c>
      <c r="T75" s="3">
        <v>2.0</v>
      </c>
      <c r="U75" s="3">
        <f t="shared" si="2"/>
        <v>24.725</v>
      </c>
      <c r="V75" s="3"/>
      <c r="W75" s="3">
        <f t="shared" si="3"/>
        <v>24.64012122</v>
      </c>
      <c r="X75" s="3">
        <f t="shared" si="4"/>
        <v>18.13259017</v>
      </c>
      <c r="Y75" s="3">
        <f t="shared" si="5"/>
        <v>18.09110232</v>
      </c>
      <c r="Z75" s="3">
        <f t="shared" ref="Z75:AA75" si="78">_xlfn.NORM.S.DIST(X75)</f>
        <v>1</v>
      </c>
      <c r="AA75" s="3">
        <f t="shared" si="78"/>
        <v>1</v>
      </c>
    </row>
    <row r="76" ht="14.25" customHeight="1">
      <c r="A76" s="3" t="s">
        <v>158</v>
      </c>
      <c r="B76" s="3" t="s">
        <v>159</v>
      </c>
      <c r="C76" s="3" t="s">
        <v>129</v>
      </c>
      <c r="D76" s="3" t="s">
        <v>29</v>
      </c>
      <c r="E76" s="3">
        <v>22.0</v>
      </c>
      <c r="F76" s="3" t="s">
        <v>27</v>
      </c>
      <c r="G76" s="3">
        <v>23.5</v>
      </c>
      <c r="I76" s="3">
        <v>26.9</v>
      </c>
      <c r="K76" s="3">
        <v>0.0</v>
      </c>
      <c r="L76" s="3">
        <v>0.0</v>
      </c>
      <c r="M76" s="3" t="s">
        <v>105</v>
      </c>
      <c r="N76" s="3">
        <v>1.0</v>
      </c>
      <c r="O76" s="3">
        <v>0.0</v>
      </c>
      <c r="P76" s="3">
        <v>-0.061</v>
      </c>
      <c r="Q76" s="3">
        <v>0.0</v>
      </c>
      <c r="R76" s="3">
        <v>1.013</v>
      </c>
      <c r="S76" s="3">
        <v>47.23</v>
      </c>
      <c r="T76" s="3">
        <v>1.0</v>
      </c>
      <c r="U76" s="3">
        <f t="shared" si="2"/>
        <v>25.2</v>
      </c>
      <c r="V76" s="3"/>
      <c r="W76" s="3">
        <f t="shared" si="3"/>
        <v>25.23006111</v>
      </c>
      <c r="X76" s="3">
        <f t="shared" si="4"/>
        <v>12.0042254</v>
      </c>
      <c r="Y76" s="3">
        <f t="shared" si="5"/>
        <v>11.9404124</v>
      </c>
      <c r="Z76" s="3">
        <f t="shared" ref="Z76:AA76" si="79">_xlfn.NORM.S.DIST(X76)</f>
        <v>1</v>
      </c>
      <c r="AA76" s="3">
        <f t="shared" si="79"/>
        <v>1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160</v>
      </c>
      <c r="B2" s="3" t="s">
        <v>161</v>
      </c>
      <c r="C2" s="3" t="s">
        <v>132</v>
      </c>
      <c r="D2" s="3" t="s">
        <v>29</v>
      </c>
      <c r="E2" s="3">
        <v>15.0</v>
      </c>
      <c r="F2" s="3" t="s">
        <v>27</v>
      </c>
      <c r="G2" s="3">
        <v>17.55</v>
      </c>
      <c r="I2" s="3">
        <v>21.15</v>
      </c>
      <c r="K2" s="3">
        <v>0.0</v>
      </c>
      <c r="L2" s="3">
        <v>0.0</v>
      </c>
      <c r="M2" s="3" t="s">
        <v>30</v>
      </c>
      <c r="N2" s="3">
        <v>0.9994</v>
      </c>
      <c r="O2" s="3">
        <v>0.0</v>
      </c>
      <c r="P2" s="3">
        <v>0.0513</v>
      </c>
      <c r="Q2" s="3">
        <v>0.0</v>
      </c>
      <c r="R2" s="3">
        <v>0.307</v>
      </c>
      <c r="S2" s="3">
        <v>34.689999</v>
      </c>
      <c r="T2" s="3">
        <v>51.0</v>
      </c>
      <c r="U2" s="3">
        <f t="shared" ref="U2:U52" si="2">(I2+G2)*0.5</f>
        <v>19.35</v>
      </c>
      <c r="V2" s="3"/>
      <c r="W2" s="3">
        <f t="shared" ref="W2:W52" si="3">( S2*Z2 ) - ( E2 * EXP(-0.0007*T2/$AC$2) * AA2)</f>
        <v>19.69212385</v>
      </c>
      <c r="X2" s="3">
        <f t="shared" ref="X2:X52" si="4">((LN(S2/E2) + (0.0007 + (R2^2)/2) * T2/$AC$2)) / (R2 * SQRT(T2/$AC$2))</f>
        <v>6.140639866</v>
      </c>
      <c r="Y2" s="3">
        <f t="shared" ref="Y2:Y52" si="5">X2-(R2*SQRT(T2/$AC$2))</f>
        <v>6.002530481</v>
      </c>
      <c r="Z2" s="3">
        <f t="shared" ref="Z2:AA2" si="1">_xlfn.NORM.S.DIST(X2)</f>
        <v>0.9999999996</v>
      </c>
      <c r="AA2" s="3">
        <f t="shared" si="1"/>
        <v>0.999999999</v>
      </c>
      <c r="AC2" s="6">
        <v>252.0</v>
      </c>
    </row>
    <row r="3" ht="14.25" customHeight="1">
      <c r="A3" s="3" t="s">
        <v>160</v>
      </c>
      <c r="B3" s="3" t="s">
        <v>161</v>
      </c>
      <c r="C3" s="3" t="s">
        <v>132</v>
      </c>
      <c r="D3" s="3" t="s">
        <v>29</v>
      </c>
      <c r="E3" s="3">
        <v>15.0</v>
      </c>
      <c r="F3" s="3" t="s">
        <v>27</v>
      </c>
      <c r="G3" s="3">
        <v>17.55</v>
      </c>
      <c r="I3" s="3">
        <v>20.45</v>
      </c>
      <c r="K3" s="3">
        <v>0.0</v>
      </c>
      <c r="L3" s="3">
        <v>0.0</v>
      </c>
      <c r="M3" s="3" t="s">
        <v>31</v>
      </c>
      <c r="N3" s="3">
        <v>1.0</v>
      </c>
      <c r="O3" s="3">
        <v>0.0</v>
      </c>
      <c r="P3" s="3">
        <v>-0.0455</v>
      </c>
      <c r="Q3" s="3">
        <v>0.0</v>
      </c>
      <c r="R3" s="3">
        <v>0.2667</v>
      </c>
      <c r="S3" s="3">
        <v>34.310001</v>
      </c>
      <c r="T3" s="3">
        <v>50.0</v>
      </c>
      <c r="U3" s="3">
        <f t="shared" si="2"/>
        <v>19</v>
      </c>
      <c r="V3" s="3"/>
      <c r="W3" s="3">
        <f t="shared" si="3"/>
        <v>19.31208419</v>
      </c>
      <c r="X3" s="3">
        <f t="shared" si="4"/>
        <v>7.025241727</v>
      </c>
      <c r="Y3" s="3">
        <f t="shared" si="5"/>
        <v>6.906444105</v>
      </c>
      <c r="Z3" s="3">
        <f t="shared" ref="Z3:AA3" si="6">_xlfn.NORM.S.DIST(X3)</f>
        <v>1</v>
      </c>
      <c r="AA3" s="3">
        <f t="shared" si="6"/>
        <v>1</v>
      </c>
    </row>
    <row r="4" ht="14.25" customHeight="1">
      <c r="A4" s="3" t="s">
        <v>160</v>
      </c>
      <c r="B4" s="3" t="s">
        <v>161</v>
      </c>
      <c r="C4" s="3" t="s">
        <v>132</v>
      </c>
      <c r="D4" s="3" t="s">
        <v>29</v>
      </c>
      <c r="E4" s="3">
        <v>15.0</v>
      </c>
      <c r="F4" s="3" t="s">
        <v>27</v>
      </c>
      <c r="G4" s="3">
        <v>17.85</v>
      </c>
      <c r="I4" s="3">
        <v>21.25</v>
      </c>
      <c r="K4" s="3">
        <v>0.0</v>
      </c>
      <c r="L4" s="3">
        <v>0.0</v>
      </c>
      <c r="M4" s="3" t="s">
        <v>32</v>
      </c>
      <c r="N4" s="3">
        <v>0.9997</v>
      </c>
      <c r="O4" s="3">
        <v>0.0</v>
      </c>
      <c r="P4" s="3">
        <v>0.0157</v>
      </c>
      <c r="Q4" s="3">
        <v>0.0</v>
      </c>
      <c r="R4" s="3">
        <v>0.2885</v>
      </c>
      <c r="S4" s="3">
        <v>34.610001</v>
      </c>
      <c r="T4" s="3">
        <v>49.0</v>
      </c>
      <c r="U4" s="3">
        <f t="shared" si="2"/>
        <v>19.55</v>
      </c>
      <c r="V4" s="3"/>
      <c r="W4" s="3">
        <f t="shared" si="3"/>
        <v>19.61204253</v>
      </c>
      <c r="X4" s="3">
        <f t="shared" si="4"/>
        <v>6.636877612</v>
      </c>
      <c r="Y4" s="3">
        <f t="shared" si="5"/>
        <v>6.50966107</v>
      </c>
      <c r="Z4" s="3">
        <f t="shared" ref="Z4:AA4" si="7">_xlfn.NORM.S.DIST(X4)</f>
        <v>1</v>
      </c>
      <c r="AA4" s="3">
        <f t="shared" si="7"/>
        <v>1</v>
      </c>
    </row>
    <row r="5" ht="14.25" customHeight="1">
      <c r="A5" s="3" t="s">
        <v>160</v>
      </c>
      <c r="B5" s="3" t="s">
        <v>161</v>
      </c>
      <c r="C5" s="3" t="s">
        <v>132</v>
      </c>
      <c r="D5" s="3" t="s">
        <v>29</v>
      </c>
      <c r="E5" s="3">
        <v>15.0</v>
      </c>
      <c r="F5" s="3" t="s">
        <v>27</v>
      </c>
      <c r="G5" s="3">
        <v>17.75</v>
      </c>
      <c r="I5" s="3">
        <v>20.95</v>
      </c>
      <c r="K5" s="3">
        <v>0.0</v>
      </c>
      <c r="L5" s="3">
        <v>0.0</v>
      </c>
      <c r="M5" s="3" t="s">
        <v>33</v>
      </c>
      <c r="N5" s="3">
        <v>0.9997</v>
      </c>
      <c r="O5" s="3">
        <v>0.0</v>
      </c>
      <c r="P5" s="3">
        <v>0.0125</v>
      </c>
      <c r="Q5" s="3">
        <v>0.0</v>
      </c>
      <c r="R5" s="3">
        <v>0.2681</v>
      </c>
      <c r="S5" s="3">
        <v>34.43</v>
      </c>
      <c r="T5" s="3">
        <v>48.0</v>
      </c>
      <c r="U5" s="3">
        <f t="shared" si="2"/>
        <v>19.35</v>
      </c>
      <c r="V5" s="3"/>
      <c r="W5" s="3">
        <f t="shared" si="3"/>
        <v>19.43199987</v>
      </c>
      <c r="X5" s="3">
        <f t="shared" si="4"/>
        <v>7.160653951</v>
      </c>
      <c r="Y5" s="3">
        <f t="shared" si="5"/>
        <v>7.043645518</v>
      </c>
      <c r="Z5" s="3">
        <f t="shared" ref="Z5:AA5" si="8">_xlfn.NORM.S.DIST(X5)</f>
        <v>1</v>
      </c>
      <c r="AA5" s="3">
        <f t="shared" si="8"/>
        <v>1</v>
      </c>
    </row>
    <row r="6" ht="14.25" customHeight="1">
      <c r="A6" s="3" t="s">
        <v>160</v>
      </c>
      <c r="B6" s="3" t="s">
        <v>161</v>
      </c>
      <c r="C6" s="3" t="s">
        <v>132</v>
      </c>
      <c r="D6" s="3" t="s">
        <v>29</v>
      </c>
      <c r="E6" s="3">
        <v>15.0</v>
      </c>
      <c r="F6" s="3" t="s">
        <v>27</v>
      </c>
      <c r="G6" s="3">
        <v>17.55</v>
      </c>
      <c r="I6" s="3">
        <v>20.55</v>
      </c>
      <c r="K6" s="3">
        <v>0.0</v>
      </c>
      <c r="L6" s="3">
        <v>0.0</v>
      </c>
      <c r="M6" s="3" t="s">
        <v>34</v>
      </c>
      <c r="N6" s="3">
        <v>0.9994</v>
      </c>
      <c r="O6" s="3">
        <v>0.0</v>
      </c>
      <c r="P6" s="3">
        <v>0.0704</v>
      </c>
      <c r="Q6" s="3">
        <v>0.0</v>
      </c>
      <c r="R6" s="3">
        <v>0.1693</v>
      </c>
      <c r="S6" s="3">
        <v>34.439999</v>
      </c>
      <c r="T6" s="3">
        <v>47.0</v>
      </c>
      <c r="U6" s="3">
        <f t="shared" si="2"/>
        <v>19.05</v>
      </c>
      <c r="V6" s="3"/>
      <c r="W6" s="3">
        <f t="shared" si="3"/>
        <v>19.44195721</v>
      </c>
      <c r="X6" s="3">
        <f t="shared" si="4"/>
        <v>11.4063265</v>
      </c>
      <c r="Y6" s="3">
        <f t="shared" si="5"/>
        <v>11.33321165</v>
      </c>
      <c r="Z6" s="3">
        <f t="shared" ref="Z6:AA6" si="9">_xlfn.NORM.S.DIST(X6)</f>
        <v>1</v>
      </c>
      <c r="AA6" s="3">
        <f t="shared" si="9"/>
        <v>1</v>
      </c>
    </row>
    <row r="7" ht="14.25" customHeight="1">
      <c r="A7" s="3" t="s">
        <v>160</v>
      </c>
      <c r="B7" s="3" t="s">
        <v>161</v>
      </c>
      <c r="C7" s="3" t="s">
        <v>132</v>
      </c>
      <c r="D7" s="3" t="s">
        <v>29</v>
      </c>
      <c r="E7" s="3">
        <v>15.0</v>
      </c>
      <c r="F7" s="3" t="s">
        <v>27</v>
      </c>
      <c r="G7" s="3">
        <v>17.9</v>
      </c>
      <c r="I7" s="3">
        <v>21.1</v>
      </c>
      <c r="K7" s="3">
        <v>0.0</v>
      </c>
      <c r="L7" s="3">
        <v>0.0</v>
      </c>
      <c r="M7" s="3" t="s">
        <v>35</v>
      </c>
      <c r="N7" s="3">
        <v>0.9994</v>
      </c>
      <c r="O7" s="3">
        <v>0.0</v>
      </c>
      <c r="P7" s="3">
        <v>0.0709</v>
      </c>
      <c r="Q7" s="3">
        <v>0.0</v>
      </c>
      <c r="R7" s="3">
        <v>0.288</v>
      </c>
      <c r="S7" s="3">
        <v>34.459999</v>
      </c>
      <c r="T7" s="3">
        <v>46.0</v>
      </c>
      <c r="U7" s="3">
        <f t="shared" si="2"/>
        <v>19.5</v>
      </c>
      <c r="V7" s="3"/>
      <c r="W7" s="3">
        <f t="shared" si="3"/>
        <v>19.46191554</v>
      </c>
      <c r="X7" s="3">
        <f t="shared" si="4"/>
        <v>6.822164411</v>
      </c>
      <c r="Y7" s="3">
        <f t="shared" si="5"/>
        <v>6.699117382</v>
      </c>
      <c r="Z7" s="3">
        <f t="shared" ref="Z7:AA7" si="10">_xlfn.NORM.S.DIST(X7)</f>
        <v>1</v>
      </c>
      <c r="AA7" s="3">
        <f t="shared" si="10"/>
        <v>1</v>
      </c>
    </row>
    <row r="8" ht="14.25" customHeight="1">
      <c r="A8" s="3" t="s">
        <v>160</v>
      </c>
      <c r="B8" s="3" t="s">
        <v>161</v>
      </c>
      <c r="C8" s="3" t="s">
        <v>132</v>
      </c>
      <c r="D8" s="3" t="s">
        <v>29</v>
      </c>
      <c r="E8" s="3">
        <v>15.0</v>
      </c>
      <c r="F8" s="3" t="s">
        <v>27</v>
      </c>
      <c r="G8" s="3">
        <v>17.95</v>
      </c>
      <c r="I8" s="3">
        <v>21.45</v>
      </c>
      <c r="K8" s="3">
        <v>0.0</v>
      </c>
      <c r="L8" s="3">
        <v>0.0</v>
      </c>
      <c r="M8" s="3" t="s">
        <v>36</v>
      </c>
      <c r="N8" s="3">
        <v>0.9997</v>
      </c>
      <c r="O8" s="3">
        <v>0.0</v>
      </c>
      <c r="P8" s="3">
        <v>0.0133</v>
      </c>
      <c r="Q8" s="3">
        <v>0.0</v>
      </c>
      <c r="R8" s="3">
        <v>0.2547</v>
      </c>
      <c r="S8" s="3">
        <v>34.91</v>
      </c>
      <c r="T8" s="3">
        <v>45.0</v>
      </c>
      <c r="U8" s="3">
        <f t="shared" si="2"/>
        <v>19.7</v>
      </c>
      <c r="V8" s="3"/>
      <c r="W8" s="3">
        <f t="shared" si="3"/>
        <v>19.91187488</v>
      </c>
      <c r="X8" s="3">
        <f t="shared" si="4"/>
        <v>7.903346226</v>
      </c>
      <c r="Y8" s="3">
        <f t="shared" si="5"/>
        <v>7.795715832</v>
      </c>
      <c r="Z8" s="3">
        <f t="shared" ref="Z8:AA8" si="11">_xlfn.NORM.S.DIST(X8)</f>
        <v>1</v>
      </c>
      <c r="AA8" s="3">
        <f t="shared" si="11"/>
        <v>1</v>
      </c>
    </row>
    <row r="9" ht="14.25" customHeight="1">
      <c r="A9" s="3" t="s">
        <v>160</v>
      </c>
      <c r="B9" s="3" t="s">
        <v>161</v>
      </c>
      <c r="C9" s="3" t="s">
        <v>132</v>
      </c>
      <c r="D9" s="3" t="s">
        <v>29</v>
      </c>
      <c r="E9" s="3">
        <v>15.0</v>
      </c>
      <c r="F9" s="3" t="s">
        <v>27</v>
      </c>
      <c r="G9" s="3">
        <v>18.35</v>
      </c>
      <c r="I9" s="3">
        <v>21.45</v>
      </c>
      <c r="K9" s="3">
        <v>0.0</v>
      </c>
      <c r="L9" s="3">
        <v>0.0</v>
      </c>
      <c r="M9" s="3" t="s">
        <v>37</v>
      </c>
      <c r="N9" s="3">
        <v>1.0</v>
      </c>
      <c r="O9" s="3">
        <v>0.0</v>
      </c>
      <c r="P9" s="3">
        <v>-0.0455</v>
      </c>
      <c r="Q9" s="3">
        <v>0.0</v>
      </c>
      <c r="R9" s="3">
        <v>0.2614</v>
      </c>
      <c r="S9" s="3">
        <v>34.860001</v>
      </c>
      <c r="T9" s="3">
        <v>44.0</v>
      </c>
      <c r="U9" s="3">
        <f t="shared" si="2"/>
        <v>19.9</v>
      </c>
      <c r="V9" s="3"/>
      <c r="W9" s="3">
        <f t="shared" si="3"/>
        <v>19.86183422</v>
      </c>
      <c r="X9" s="3">
        <f t="shared" si="4"/>
        <v>7.776229189</v>
      </c>
      <c r="Y9" s="3">
        <f t="shared" si="5"/>
        <v>7.667001776</v>
      </c>
      <c r="Z9" s="3">
        <f t="shared" ref="Z9:AA9" si="12">_xlfn.NORM.S.DIST(X9)</f>
        <v>1</v>
      </c>
      <c r="AA9" s="3">
        <f t="shared" si="12"/>
        <v>1</v>
      </c>
    </row>
    <row r="10" ht="14.25" customHeight="1">
      <c r="A10" s="3" t="s">
        <v>160</v>
      </c>
      <c r="B10" s="3" t="s">
        <v>161</v>
      </c>
      <c r="C10" s="3" t="s">
        <v>132</v>
      </c>
      <c r="D10" s="3" t="s">
        <v>29</v>
      </c>
      <c r="E10" s="3">
        <v>15.0</v>
      </c>
      <c r="F10" s="3" t="s">
        <v>27</v>
      </c>
      <c r="G10" s="3">
        <v>17.9</v>
      </c>
      <c r="I10" s="3">
        <v>21.5</v>
      </c>
      <c r="K10" s="3">
        <v>0.0</v>
      </c>
      <c r="L10" s="3">
        <v>0.0</v>
      </c>
      <c r="M10" s="3" t="s">
        <v>38</v>
      </c>
      <c r="N10" s="3">
        <v>0.9994</v>
      </c>
      <c r="O10" s="3">
        <v>0.0</v>
      </c>
      <c r="P10" s="3">
        <v>0.0726</v>
      </c>
      <c r="Q10" s="3">
        <v>0.0</v>
      </c>
      <c r="R10" s="3">
        <v>0.2736</v>
      </c>
      <c r="S10" s="3">
        <v>34.959999</v>
      </c>
      <c r="T10" s="3">
        <v>43.0</v>
      </c>
      <c r="U10" s="3">
        <f t="shared" si="2"/>
        <v>19.7</v>
      </c>
      <c r="V10" s="3"/>
      <c r="W10" s="3">
        <f t="shared" si="3"/>
        <v>19.96179056</v>
      </c>
      <c r="X10" s="3">
        <f t="shared" si="4"/>
        <v>7.544422967</v>
      </c>
      <c r="Y10" s="3">
        <f t="shared" si="5"/>
        <v>7.431404333</v>
      </c>
      <c r="Z10" s="3">
        <f t="shared" ref="Z10:AA10" si="13">_xlfn.NORM.S.DIST(X10)</f>
        <v>1</v>
      </c>
      <c r="AA10" s="3">
        <f t="shared" si="13"/>
        <v>1</v>
      </c>
    </row>
    <row r="11" ht="14.25" customHeight="1">
      <c r="A11" s="3" t="s">
        <v>160</v>
      </c>
      <c r="B11" s="3" t="s">
        <v>161</v>
      </c>
      <c r="C11" s="3" t="s">
        <v>132</v>
      </c>
      <c r="D11" s="3" t="s">
        <v>29</v>
      </c>
      <c r="E11" s="3">
        <v>15.0</v>
      </c>
      <c r="F11" s="3" t="s">
        <v>27</v>
      </c>
      <c r="G11" s="3">
        <v>17.85</v>
      </c>
      <c r="I11" s="3">
        <v>21.3</v>
      </c>
      <c r="K11" s="3">
        <v>0.0</v>
      </c>
      <c r="L11" s="3">
        <v>0.0</v>
      </c>
      <c r="M11" s="3" t="s">
        <v>39</v>
      </c>
      <c r="N11" s="3">
        <v>0.9995</v>
      </c>
      <c r="O11" s="3">
        <v>0.0</v>
      </c>
      <c r="P11" s="3">
        <v>0.0713</v>
      </c>
      <c r="Q11" s="3">
        <v>0.0</v>
      </c>
      <c r="R11" s="3">
        <v>0.2753</v>
      </c>
      <c r="S11" s="3">
        <v>34.700001</v>
      </c>
      <c r="T11" s="3">
        <v>42.0</v>
      </c>
      <c r="U11" s="3">
        <f t="shared" si="2"/>
        <v>19.575</v>
      </c>
      <c r="V11" s="3"/>
      <c r="W11" s="3">
        <f t="shared" si="3"/>
        <v>19.7017509</v>
      </c>
      <c r="X11" s="3">
        <f t="shared" si="4"/>
        <v>7.519497729</v>
      </c>
      <c r="Y11" s="3">
        <f t="shared" si="5"/>
        <v>7.407106974</v>
      </c>
      <c r="Z11" s="3">
        <f t="shared" ref="Z11:AA11" si="14">_xlfn.NORM.S.DIST(X11)</f>
        <v>1</v>
      </c>
      <c r="AA11" s="3">
        <f t="shared" si="14"/>
        <v>1</v>
      </c>
    </row>
    <row r="12" ht="14.25" customHeight="1">
      <c r="A12" s="3" t="s">
        <v>160</v>
      </c>
      <c r="B12" s="3" t="s">
        <v>161</v>
      </c>
      <c r="C12" s="3" t="s">
        <v>132</v>
      </c>
      <c r="D12" s="3" t="s">
        <v>29</v>
      </c>
      <c r="E12" s="3">
        <v>15.0</v>
      </c>
      <c r="F12" s="3" t="s">
        <v>27</v>
      </c>
      <c r="G12" s="3">
        <v>18.0</v>
      </c>
      <c r="I12" s="3">
        <v>21.25</v>
      </c>
      <c r="K12" s="3">
        <v>0.0</v>
      </c>
      <c r="L12" s="3">
        <v>0.0</v>
      </c>
      <c r="M12" s="3" t="s">
        <v>40</v>
      </c>
      <c r="N12" s="3">
        <v>0.9997</v>
      </c>
      <c r="O12" s="3">
        <v>0.0</v>
      </c>
      <c r="P12" s="3">
        <v>0.014</v>
      </c>
      <c r="Q12" s="3">
        <v>0.0</v>
      </c>
      <c r="R12" s="3">
        <v>0.238</v>
      </c>
      <c r="S12" s="3">
        <v>34.639999</v>
      </c>
      <c r="T12" s="3">
        <v>41.0</v>
      </c>
      <c r="U12" s="3">
        <f t="shared" si="2"/>
        <v>19.625</v>
      </c>
      <c r="V12" s="3"/>
      <c r="W12" s="3">
        <f t="shared" si="3"/>
        <v>19.64170724</v>
      </c>
      <c r="X12" s="3">
        <f t="shared" si="4"/>
        <v>8.767560009</v>
      </c>
      <c r="Y12" s="3">
        <f t="shared" si="5"/>
        <v>8.671560588</v>
      </c>
      <c r="Z12" s="3">
        <f t="shared" ref="Z12:AA12" si="15">_xlfn.NORM.S.DIST(X12)</f>
        <v>1</v>
      </c>
      <c r="AA12" s="3">
        <f t="shared" si="15"/>
        <v>1</v>
      </c>
    </row>
    <row r="13" ht="14.25" customHeight="1">
      <c r="A13" s="3" t="s">
        <v>160</v>
      </c>
      <c r="B13" s="3" t="s">
        <v>161</v>
      </c>
      <c r="C13" s="3" t="s">
        <v>132</v>
      </c>
      <c r="D13" s="3" t="s">
        <v>29</v>
      </c>
      <c r="E13" s="3">
        <v>15.0</v>
      </c>
      <c r="F13" s="3" t="s">
        <v>27</v>
      </c>
      <c r="G13" s="3">
        <v>18.1</v>
      </c>
      <c r="I13" s="3">
        <v>21.3</v>
      </c>
      <c r="K13" s="3">
        <v>0.0</v>
      </c>
      <c r="L13" s="3">
        <v>0.0</v>
      </c>
      <c r="M13" s="3" t="s">
        <v>41</v>
      </c>
      <c r="N13" s="3">
        <v>0.9995</v>
      </c>
      <c r="O13" s="3">
        <v>0.0</v>
      </c>
      <c r="P13" s="3">
        <v>0.0733</v>
      </c>
      <c r="Q13" s="3">
        <v>0.0</v>
      </c>
      <c r="R13" s="3">
        <v>0.3024</v>
      </c>
      <c r="S13" s="3">
        <v>34.619999</v>
      </c>
      <c r="T13" s="3">
        <v>40.0</v>
      </c>
      <c r="U13" s="3">
        <f t="shared" si="2"/>
        <v>19.7</v>
      </c>
      <c r="V13" s="3"/>
      <c r="W13" s="3">
        <f t="shared" si="3"/>
        <v>19.62166557</v>
      </c>
      <c r="X13" s="3">
        <f t="shared" si="4"/>
        <v>7.003292889</v>
      </c>
      <c r="Y13" s="3">
        <f t="shared" si="5"/>
        <v>6.882813845</v>
      </c>
      <c r="Z13" s="3">
        <f t="shared" ref="Z13:AA13" si="16">_xlfn.NORM.S.DIST(X13)</f>
        <v>1</v>
      </c>
      <c r="AA13" s="3">
        <f t="shared" si="16"/>
        <v>1</v>
      </c>
    </row>
    <row r="14" ht="14.25" customHeight="1">
      <c r="A14" s="3" t="s">
        <v>160</v>
      </c>
      <c r="B14" s="3" t="s">
        <v>161</v>
      </c>
      <c r="C14" s="3" t="s">
        <v>132</v>
      </c>
      <c r="D14" s="3" t="s">
        <v>29</v>
      </c>
      <c r="E14" s="3">
        <v>15.0</v>
      </c>
      <c r="F14" s="3" t="s">
        <v>27</v>
      </c>
      <c r="G14" s="3">
        <v>18.0</v>
      </c>
      <c r="I14" s="3">
        <v>21.55</v>
      </c>
      <c r="K14" s="3">
        <v>0.0</v>
      </c>
      <c r="L14" s="3">
        <v>0.0</v>
      </c>
      <c r="M14" s="3" t="s">
        <v>42</v>
      </c>
      <c r="N14" s="3">
        <v>0.9995</v>
      </c>
      <c r="O14" s="3">
        <v>0.0</v>
      </c>
      <c r="P14" s="3">
        <v>0.075</v>
      </c>
      <c r="Q14" s="3">
        <v>0.0</v>
      </c>
      <c r="R14" s="3">
        <v>0.2453</v>
      </c>
      <c r="S14" s="3">
        <v>35.110001</v>
      </c>
      <c r="T14" s="3">
        <v>39.0</v>
      </c>
      <c r="U14" s="3">
        <f t="shared" si="2"/>
        <v>19.775</v>
      </c>
      <c r="V14" s="3"/>
      <c r="W14" s="3">
        <f t="shared" si="3"/>
        <v>20.11162591</v>
      </c>
      <c r="X14" s="3">
        <f t="shared" si="4"/>
        <v>8.862133249</v>
      </c>
      <c r="Y14" s="3">
        <f t="shared" si="5"/>
        <v>8.765632745</v>
      </c>
      <c r="Z14" s="3">
        <f t="shared" ref="Z14:AA14" si="17">_xlfn.NORM.S.DIST(X14)</f>
        <v>1</v>
      </c>
      <c r="AA14" s="3">
        <f t="shared" si="17"/>
        <v>1</v>
      </c>
    </row>
    <row r="15" ht="14.25" customHeight="1">
      <c r="A15" s="3" t="s">
        <v>160</v>
      </c>
      <c r="B15" s="3" t="s">
        <v>161</v>
      </c>
      <c r="C15" s="3" t="s">
        <v>132</v>
      </c>
      <c r="D15" s="3" t="s">
        <v>29</v>
      </c>
      <c r="E15" s="3">
        <v>15.0</v>
      </c>
      <c r="F15" s="3" t="s">
        <v>27</v>
      </c>
      <c r="G15" s="3">
        <v>18.15</v>
      </c>
      <c r="I15" s="3">
        <v>21.35</v>
      </c>
      <c r="K15" s="3">
        <v>0.0</v>
      </c>
      <c r="L15" s="3">
        <v>0.0</v>
      </c>
      <c r="M15" s="3" t="s">
        <v>43</v>
      </c>
      <c r="N15" s="3">
        <v>0.9995</v>
      </c>
      <c r="O15" s="3">
        <v>0.0</v>
      </c>
      <c r="P15" s="3">
        <v>0.0835</v>
      </c>
      <c r="Q15" s="3">
        <v>0.0</v>
      </c>
      <c r="R15" s="3">
        <v>0.2731</v>
      </c>
      <c r="S15" s="3">
        <v>34.93</v>
      </c>
      <c r="T15" s="3">
        <v>38.0</v>
      </c>
      <c r="U15" s="3">
        <f t="shared" si="2"/>
        <v>19.75</v>
      </c>
      <c r="V15" s="3"/>
      <c r="W15" s="3">
        <f t="shared" si="3"/>
        <v>19.93158325</v>
      </c>
      <c r="X15" s="3">
        <f t="shared" si="4"/>
        <v>8.024703193</v>
      </c>
      <c r="Y15" s="3">
        <f t="shared" si="5"/>
        <v>7.918652569</v>
      </c>
      <c r="Z15" s="3">
        <f t="shared" ref="Z15:AA15" si="18">_xlfn.NORM.S.DIST(X15)</f>
        <v>1</v>
      </c>
      <c r="AA15" s="3">
        <f t="shared" si="18"/>
        <v>1</v>
      </c>
    </row>
    <row r="16" ht="14.25" customHeight="1">
      <c r="A16" s="3" t="s">
        <v>160</v>
      </c>
      <c r="B16" s="3" t="s">
        <v>161</v>
      </c>
      <c r="C16" s="3" t="s">
        <v>132</v>
      </c>
      <c r="D16" s="3" t="s">
        <v>29</v>
      </c>
      <c r="E16" s="3">
        <v>15.0</v>
      </c>
      <c r="F16" s="3" t="s">
        <v>27</v>
      </c>
      <c r="G16" s="3">
        <v>18.25</v>
      </c>
      <c r="I16" s="3">
        <v>21.3</v>
      </c>
      <c r="K16" s="3">
        <v>0.0</v>
      </c>
      <c r="L16" s="3">
        <v>0.0</v>
      </c>
      <c r="M16" s="3" t="s">
        <v>44</v>
      </c>
      <c r="N16" s="3">
        <v>0.9994</v>
      </c>
      <c r="O16" s="3">
        <v>0.0</v>
      </c>
      <c r="P16" s="3">
        <v>0.0918</v>
      </c>
      <c r="Q16" s="3">
        <v>0.0</v>
      </c>
      <c r="R16" s="3">
        <v>0.2744</v>
      </c>
      <c r="S16" s="3">
        <v>34.689999</v>
      </c>
      <c r="T16" s="3">
        <v>37.0</v>
      </c>
      <c r="U16" s="3">
        <f t="shared" si="2"/>
        <v>19.775</v>
      </c>
      <c r="V16" s="3"/>
      <c r="W16" s="3">
        <f t="shared" si="3"/>
        <v>19.69154059</v>
      </c>
      <c r="X16" s="3">
        <f t="shared" si="4"/>
        <v>8.027383858</v>
      </c>
      <c r="Y16" s="3">
        <f t="shared" si="5"/>
        <v>7.922239808</v>
      </c>
      <c r="Z16" s="3">
        <f t="shared" ref="Z16:AA16" si="19">_xlfn.NORM.S.DIST(X16)</f>
        <v>1</v>
      </c>
      <c r="AA16" s="3">
        <f t="shared" si="19"/>
        <v>1</v>
      </c>
    </row>
    <row r="17" ht="14.25" customHeight="1">
      <c r="A17" s="3" t="s">
        <v>160</v>
      </c>
      <c r="B17" s="3" t="s">
        <v>161</v>
      </c>
      <c r="C17" s="3" t="s">
        <v>132</v>
      </c>
      <c r="D17" s="3" t="s">
        <v>29</v>
      </c>
      <c r="E17" s="3">
        <v>15.0</v>
      </c>
      <c r="F17" s="3" t="s">
        <v>27</v>
      </c>
      <c r="G17" s="3">
        <v>18.2</v>
      </c>
      <c r="I17" s="3">
        <v>21.6</v>
      </c>
      <c r="K17" s="3">
        <v>0.0</v>
      </c>
      <c r="L17" s="3">
        <v>0.0</v>
      </c>
      <c r="M17" s="3" t="s">
        <v>45</v>
      </c>
      <c r="N17" s="3">
        <v>0.9994</v>
      </c>
      <c r="O17" s="3">
        <v>0.0</v>
      </c>
      <c r="P17" s="3">
        <v>0.0968</v>
      </c>
      <c r="Q17" s="3">
        <v>0.0</v>
      </c>
      <c r="R17" s="3">
        <v>0.1502</v>
      </c>
      <c r="S17" s="3">
        <v>34.939999</v>
      </c>
      <c r="T17" s="3">
        <v>36.0</v>
      </c>
      <c r="U17" s="3">
        <f t="shared" si="2"/>
        <v>19.9</v>
      </c>
      <c r="V17" s="3"/>
      <c r="W17" s="3">
        <f t="shared" si="3"/>
        <v>19.94149893</v>
      </c>
      <c r="X17" s="3">
        <f t="shared" si="4"/>
        <v>14.92495277</v>
      </c>
      <c r="Y17" s="3">
        <f t="shared" si="5"/>
        <v>14.8681825</v>
      </c>
      <c r="Z17" s="3">
        <f t="shared" ref="Z17:AA17" si="20">_xlfn.NORM.S.DIST(X17)</f>
        <v>1</v>
      </c>
      <c r="AA17" s="3">
        <f t="shared" si="20"/>
        <v>1</v>
      </c>
    </row>
    <row r="18" ht="14.25" customHeight="1">
      <c r="A18" s="3" t="s">
        <v>160</v>
      </c>
      <c r="B18" s="3" t="s">
        <v>161</v>
      </c>
      <c r="C18" s="3" t="s">
        <v>132</v>
      </c>
      <c r="D18" s="3" t="s">
        <v>29</v>
      </c>
      <c r="E18" s="3">
        <v>15.0</v>
      </c>
      <c r="F18" s="3" t="s">
        <v>27</v>
      </c>
      <c r="G18" s="3">
        <v>18.35</v>
      </c>
      <c r="I18" s="3">
        <v>21.9</v>
      </c>
      <c r="K18" s="3">
        <v>0.0</v>
      </c>
      <c r="L18" s="3">
        <v>0.0</v>
      </c>
      <c r="M18" s="3" t="s">
        <v>46</v>
      </c>
      <c r="N18" s="3">
        <v>0.9995</v>
      </c>
      <c r="O18" s="3">
        <v>0.0</v>
      </c>
      <c r="P18" s="3">
        <v>0.0976</v>
      </c>
      <c r="Q18" s="3">
        <v>0.0</v>
      </c>
      <c r="R18" s="3">
        <v>0.2985</v>
      </c>
      <c r="S18" s="3">
        <v>35.380001</v>
      </c>
      <c r="T18" s="3">
        <v>35.0</v>
      </c>
      <c r="U18" s="3">
        <f t="shared" si="2"/>
        <v>20.125</v>
      </c>
      <c r="V18" s="3"/>
      <c r="W18" s="3">
        <f t="shared" si="3"/>
        <v>20.38145926</v>
      </c>
      <c r="X18" s="3">
        <f t="shared" si="4"/>
        <v>7.770112789</v>
      </c>
      <c r="Y18" s="3">
        <f t="shared" si="5"/>
        <v>7.658868407</v>
      </c>
      <c r="Z18" s="3">
        <f t="shared" ref="Z18:AA18" si="21">_xlfn.NORM.S.DIST(X18)</f>
        <v>1</v>
      </c>
      <c r="AA18" s="3">
        <f t="shared" si="21"/>
        <v>1</v>
      </c>
    </row>
    <row r="19" ht="14.25" customHeight="1">
      <c r="A19" s="3" t="s">
        <v>160</v>
      </c>
      <c r="B19" s="3" t="s">
        <v>161</v>
      </c>
      <c r="C19" s="3" t="s">
        <v>132</v>
      </c>
      <c r="D19" s="3" t="s">
        <v>29</v>
      </c>
      <c r="E19" s="3">
        <v>15.0</v>
      </c>
      <c r="F19" s="3" t="s">
        <v>27</v>
      </c>
      <c r="G19" s="3">
        <v>18.8</v>
      </c>
      <c r="I19" s="3">
        <v>22.2</v>
      </c>
      <c r="K19" s="3">
        <v>0.0</v>
      </c>
      <c r="L19" s="3">
        <v>0.0</v>
      </c>
      <c r="M19" s="3" t="s">
        <v>47</v>
      </c>
      <c r="N19" s="3">
        <v>0.9995</v>
      </c>
      <c r="O19" s="3">
        <v>0.0</v>
      </c>
      <c r="P19" s="3">
        <v>0.0988</v>
      </c>
      <c r="Q19" s="3">
        <v>0.0</v>
      </c>
      <c r="R19" s="3">
        <v>0.2744</v>
      </c>
      <c r="S19" s="3">
        <v>35.540001</v>
      </c>
      <c r="T19" s="3">
        <v>34.0</v>
      </c>
      <c r="U19" s="3">
        <f t="shared" si="2"/>
        <v>20.5</v>
      </c>
      <c r="V19" s="3"/>
      <c r="W19" s="3">
        <f t="shared" si="3"/>
        <v>20.5414176</v>
      </c>
      <c r="X19" s="3">
        <f t="shared" si="4"/>
        <v>8.609691975</v>
      </c>
      <c r="Y19" s="3">
        <f t="shared" si="5"/>
        <v>8.508900617</v>
      </c>
      <c r="Z19" s="3">
        <f t="shared" ref="Z19:AA19" si="22">_xlfn.NORM.S.DIST(X19)</f>
        <v>1</v>
      </c>
      <c r="AA19" s="3">
        <f t="shared" si="22"/>
        <v>1</v>
      </c>
    </row>
    <row r="20" ht="14.25" customHeight="1">
      <c r="A20" s="3" t="s">
        <v>160</v>
      </c>
      <c r="B20" s="3" t="s">
        <v>161</v>
      </c>
      <c r="C20" s="3" t="s">
        <v>132</v>
      </c>
      <c r="D20" s="3" t="s">
        <v>29</v>
      </c>
      <c r="E20" s="3">
        <v>15.0</v>
      </c>
      <c r="F20" s="3" t="s">
        <v>27</v>
      </c>
      <c r="G20" s="3">
        <v>18.45</v>
      </c>
      <c r="I20" s="3">
        <v>22.4</v>
      </c>
      <c r="K20" s="3">
        <v>0.0</v>
      </c>
      <c r="L20" s="3">
        <v>0.0</v>
      </c>
      <c r="M20" s="3" t="s">
        <v>48</v>
      </c>
      <c r="N20" s="3">
        <v>0.9995</v>
      </c>
      <c r="O20" s="3">
        <v>0.0</v>
      </c>
      <c r="P20" s="3">
        <v>0.1002</v>
      </c>
      <c r="Q20" s="3">
        <v>0.0</v>
      </c>
      <c r="R20" s="3">
        <v>0.1518</v>
      </c>
      <c r="S20" s="3">
        <v>35.779999</v>
      </c>
      <c r="T20" s="3">
        <v>33.0</v>
      </c>
      <c r="U20" s="3">
        <f t="shared" si="2"/>
        <v>20.425</v>
      </c>
      <c r="V20" s="3"/>
      <c r="W20" s="3">
        <f t="shared" si="3"/>
        <v>20.78137394</v>
      </c>
      <c r="X20" s="3">
        <f t="shared" si="4"/>
        <v>15.85475066</v>
      </c>
      <c r="Y20" s="3">
        <f t="shared" si="5"/>
        <v>15.79981827</v>
      </c>
      <c r="Z20" s="3">
        <f t="shared" ref="Z20:AA20" si="23">_xlfn.NORM.S.DIST(X20)</f>
        <v>1</v>
      </c>
      <c r="AA20" s="3">
        <f t="shared" si="23"/>
        <v>1</v>
      </c>
    </row>
    <row r="21" ht="14.25" customHeight="1">
      <c r="A21" s="3" t="s">
        <v>160</v>
      </c>
      <c r="B21" s="3" t="s">
        <v>161</v>
      </c>
      <c r="C21" s="3" t="s">
        <v>132</v>
      </c>
      <c r="D21" s="3" t="s">
        <v>29</v>
      </c>
      <c r="E21" s="3">
        <v>15.0</v>
      </c>
      <c r="F21" s="3" t="s">
        <v>27</v>
      </c>
      <c r="G21" s="3">
        <v>18.3</v>
      </c>
      <c r="I21" s="3">
        <v>21.95</v>
      </c>
      <c r="K21" s="3">
        <v>0.0</v>
      </c>
      <c r="L21" s="3">
        <v>0.0</v>
      </c>
      <c r="M21" s="3" t="s">
        <v>49</v>
      </c>
      <c r="N21" s="3">
        <v>0.9995</v>
      </c>
      <c r="O21" s="3">
        <v>0.0</v>
      </c>
      <c r="P21" s="3">
        <v>0.0982</v>
      </c>
      <c r="Q21" s="3">
        <v>0.0</v>
      </c>
      <c r="R21" s="3">
        <v>0.2387</v>
      </c>
      <c r="S21" s="3">
        <v>35.380001</v>
      </c>
      <c r="T21" s="3">
        <v>32.0</v>
      </c>
      <c r="U21" s="3">
        <f t="shared" si="2"/>
        <v>20.125</v>
      </c>
      <c r="V21" s="3"/>
      <c r="W21" s="3">
        <f t="shared" si="3"/>
        <v>20.38133427</v>
      </c>
      <c r="X21" s="3">
        <f t="shared" si="4"/>
        <v>10.13166641</v>
      </c>
      <c r="Y21" s="3">
        <f t="shared" si="5"/>
        <v>10.04660606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160</v>
      </c>
      <c r="B22" s="3" t="s">
        <v>161</v>
      </c>
      <c r="C22" s="3" t="s">
        <v>132</v>
      </c>
      <c r="D22" s="3" t="s">
        <v>29</v>
      </c>
      <c r="E22" s="3">
        <v>15.0</v>
      </c>
      <c r="F22" s="3" t="s">
        <v>27</v>
      </c>
      <c r="G22" s="3">
        <v>18.3</v>
      </c>
      <c r="I22" s="3">
        <v>22.75</v>
      </c>
      <c r="K22" s="3">
        <v>0.0</v>
      </c>
      <c r="L22" s="3">
        <v>0.0</v>
      </c>
      <c r="M22" s="3" t="s">
        <v>50</v>
      </c>
      <c r="N22" s="3">
        <v>0.9995</v>
      </c>
      <c r="O22" s="3">
        <v>0.0</v>
      </c>
      <c r="P22" s="3">
        <v>0.0987</v>
      </c>
      <c r="Q22" s="3">
        <v>0.0</v>
      </c>
      <c r="R22" s="3">
        <v>0.2415</v>
      </c>
      <c r="S22" s="3">
        <v>35.509998</v>
      </c>
      <c r="T22" s="3">
        <v>31.0</v>
      </c>
      <c r="U22" s="3">
        <f t="shared" si="2"/>
        <v>20.525</v>
      </c>
      <c r="V22" s="3"/>
      <c r="W22" s="3">
        <f t="shared" si="3"/>
        <v>20.51128961</v>
      </c>
      <c r="X22" s="3">
        <f t="shared" si="4"/>
        <v>10.21734337</v>
      </c>
      <c r="Y22" s="3">
        <f t="shared" si="5"/>
        <v>10.13264058</v>
      </c>
      <c r="Z22" s="3">
        <f t="shared" ref="Z22:AA22" si="25">_xlfn.NORM.S.DIST(X22)</f>
        <v>1</v>
      </c>
      <c r="AA22" s="3">
        <f t="shared" si="25"/>
        <v>1</v>
      </c>
    </row>
    <row r="23" ht="14.25" customHeight="1">
      <c r="A23" s="3" t="s">
        <v>160</v>
      </c>
      <c r="B23" s="3" t="s">
        <v>161</v>
      </c>
      <c r="C23" s="3" t="s">
        <v>133</v>
      </c>
      <c r="D23" s="3" t="s">
        <v>29</v>
      </c>
      <c r="E23" s="3">
        <v>15.0</v>
      </c>
      <c r="F23" s="3" t="s">
        <v>27</v>
      </c>
      <c r="G23" s="3">
        <v>20.65</v>
      </c>
      <c r="I23" s="3">
        <v>21.35</v>
      </c>
      <c r="K23" s="3">
        <v>0.0</v>
      </c>
      <c r="L23" s="3">
        <v>0.0</v>
      </c>
      <c r="M23" s="3" t="s">
        <v>52</v>
      </c>
      <c r="N23" s="3">
        <v>0.9995</v>
      </c>
      <c r="O23" s="3">
        <v>0.0</v>
      </c>
      <c r="P23" s="3">
        <v>0.103</v>
      </c>
      <c r="Q23" s="3">
        <v>0.0</v>
      </c>
      <c r="R23" s="3">
        <v>0.1576</v>
      </c>
      <c r="S23" s="3">
        <v>36.209999</v>
      </c>
      <c r="T23" s="3">
        <v>30.0</v>
      </c>
      <c r="U23" s="3">
        <f t="shared" si="2"/>
        <v>21</v>
      </c>
      <c r="V23" s="3"/>
      <c r="W23" s="3">
        <f t="shared" si="3"/>
        <v>21.21124895</v>
      </c>
      <c r="X23" s="3">
        <f t="shared" si="4"/>
        <v>16.23561745</v>
      </c>
      <c r="Y23" s="3">
        <f t="shared" si="5"/>
        <v>16.18124029</v>
      </c>
      <c r="Z23" s="3">
        <f t="shared" ref="Z23:AA23" si="26">_xlfn.NORM.S.DIST(X23)</f>
        <v>1</v>
      </c>
      <c r="AA23" s="3">
        <f t="shared" si="26"/>
        <v>1</v>
      </c>
    </row>
    <row r="24" ht="14.25" customHeight="1">
      <c r="A24" s="3" t="s">
        <v>160</v>
      </c>
      <c r="B24" s="3" t="s">
        <v>161</v>
      </c>
      <c r="C24" s="3" t="s">
        <v>133</v>
      </c>
      <c r="D24" s="3" t="s">
        <v>29</v>
      </c>
      <c r="E24" s="3">
        <v>15.0</v>
      </c>
      <c r="F24" s="3" t="s">
        <v>27</v>
      </c>
      <c r="G24" s="3">
        <v>18.8</v>
      </c>
      <c r="I24" s="3">
        <v>20.6</v>
      </c>
      <c r="K24" s="3">
        <v>0.0</v>
      </c>
      <c r="L24" s="3">
        <v>0.0</v>
      </c>
      <c r="M24" s="3" t="s">
        <v>53</v>
      </c>
      <c r="N24" s="3">
        <v>0.9996</v>
      </c>
      <c r="O24" s="3">
        <v>0.0</v>
      </c>
      <c r="P24" s="3">
        <v>0.0995</v>
      </c>
      <c r="Q24" s="3">
        <v>0.0</v>
      </c>
      <c r="R24" s="3">
        <v>0.3232</v>
      </c>
      <c r="S24" s="3">
        <v>35.130001</v>
      </c>
      <c r="T24" s="3">
        <v>29.0</v>
      </c>
      <c r="U24" s="3">
        <f t="shared" si="2"/>
        <v>19.7</v>
      </c>
      <c r="V24" s="3"/>
      <c r="W24" s="3">
        <f t="shared" si="3"/>
        <v>20.13120928</v>
      </c>
      <c r="X24" s="3">
        <f t="shared" si="4"/>
        <v>7.817350086</v>
      </c>
      <c r="Y24" s="3">
        <f t="shared" si="5"/>
        <v>7.70770982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160</v>
      </c>
      <c r="B25" s="3" t="s">
        <v>161</v>
      </c>
      <c r="C25" s="3" t="s">
        <v>133</v>
      </c>
      <c r="D25" s="3" t="s">
        <v>29</v>
      </c>
      <c r="E25" s="3">
        <v>15.0</v>
      </c>
      <c r="F25" s="3" t="s">
        <v>27</v>
      </c>
      <c r="G25" s="3">
        <v>19.0</v>
      </c>
      <c r="I25" s="3">
        <v>22.05</v>
      </c>
      <c r="K25" s="3">
        <v>0.0</v>
      </c>
      <c r="L25" s="3">
        <v>0.0</v>
      </c>
      <c r="M25" s="3" t="s">
        <v>54</v>
      </c>
      <c r="N25" s="3">
        <v>0.9996</v>
      </c>
      <c r="O25" s="3">
        <v>0.0</v>
      </c>
      <c r="P25" s="3">
        <v>0.1019</v>
      </c>
      <c r="Q25" s="3">
        <v>0.0</v>
      </c>
      <c r="R25" s="3">
        <v>0.2607</v>
      </c>
      <c r="S25" s="3">
        <v>35.48</v>
      </c>
      <c r="T25" s="3">
        <v>28.0</v>
      </c>
      <c r="U25" s="3">
        <f t="shared" si="2"/>
        <v>20.525</v>
      </c>
      <c r="V25" s="3"/>
      <c r="W25" s="3">
        <f t="shared" si="3"/>
        <v>20.48116662</v>
      </c>
      <c r="X25" s="3">
        <f t="shared" si="4"/>
        <v>9.951352579</v>
      </c>
      <c r="Y25" s="3">
        <f t="shared" si="5"/>
        <v>9.864452579</v>
      </c>
      <c r="Z25" s="3">
        <f t="shared" ref="Z25:AA25" si="28">_xlfn.NORM.S.DIST(X25)</f>
        <v>1</v>
      </c>
      <c r="AA25" s="3">
        <f t="shared" si="28"/>
        <v>1</v>
      </c>
    </row>
    <row r="26" ht="14.25" customHeight="1">
      <c r="A26" s="3" t="s">
        <v>160</v>
      </c>
      <c r="B26" s="3" t="s">
        <v>161</v>
      </c>
      <c r="C26" s="3" t="s">
        <v>133</v>
      </c>
      <c r="D26" s="3" t="s">
        <v>29</v>
      </c>
      <c r="E26" s="3">
        <v>15.0</v>
      </c>
      <c r="F26" s="3" t="s">
        <v>27</v>
      </c>
      <c r="G26" s="3">
        <v>18.95</v>
      </c>
      <c r="I26" s="3">
        <v>21.65</v>
      </c>
      <c r="K26" s="3">
        <v>0.0</v>
      </c>
      <c r="L26" s="3">
        <v>0.0</v>
      </c>
      <c r="M26" s="3" t="s">
        <v>55</v>
      </c>
      <c r="N26" s="3">
        <v>0.9998</v>
      </c>
      <c r="O26" s="3">
        <v>0.0</v>
      </c>
      <c r="P26" s="3">
        <v>0.041</v>
      </c>
      <c r="Q26" s="3">
        <v>0.0</v>
      </c>
      <c r="R26" s="3">
        <v>0.2684</v>
      </c>
      <c r="S26" s="3">
        <v>35.099998</v>
      </c>
      <c r="T26" s="3">
        <v>27.0</v>
      </c>
      <c r="U26" s="3">
        <f t="shared" si="2"/>
        <v>20.3</v>
      </c>
      <c r="V26" s="3"/>
      <c r="W26" s="3">
        <f t="shared" si="3"/>
        <v>20.10112296</v>
      </c>
      <c r="X26" s="3">
        <f t="shared" si="4"/>
        <v>9.721583541</v>
      </c>
      <c r="Y26" s="3">
        <f t="shared" si="5"/>
        <v>9.633729018</v>
      </c>
      <c r="Z26" s="3">
        <f t="shared" ref="Z26:AA26" si="29">_xlfn.NORM.S.DIST(X26)</f>
        <v>1</v>
      </c>
      <c r="AA26" s="3">
        <f t="shared" si="29"/>
        <v>1</v>
      </c>
    </row>
    <row r="27" ht="14.25" customHeight="1">
      <c r="A27" s="3" t="s">
        <v>160</v>
      </c>
      <c r="B27" s="3" t="s">
        <v>161</v>
      </c>
      <c r="C27" s="3" t="s">
        <v>133</v>
      </c>
      <c r="D27" s="3" t="s">
        <v>29</v>
      </c>
      <c r="E27" s="3">
        <v>15.0</v>
      </c>
      <c r="F27" s="3" t="s">
        <v>27</v>
      </c>
      <c r="G27" s="3">
        <v>18.55</v>
      </c>
      <c r="I27" s="3">
        <v>19.85</v>
      </c>
      <c r="K27" s="3">
        <v>0.0</v>
      </c>
      <c r="L27" s="3">
        <v>0.0</v>
      </c>
      <c r="M27" s="3" t="s">
        <v>56</v>
      </c>
      <c r="N27" s="3">
        <v>0.9995</v>
      </c>
      <c r="O27" s="3">
        <v>0.0</v>
      </c>
      <c r="P27" s="3">
        <v>0.1238</v>
      </c>
      <c r="Q27" s="3">
        <v>0.0</v>
      </c>
      <c r="R27" s="3">
        <v>0.3008</v>
      </c>
      <c r="S27" s="3">
        <v>34.560001</v>
      </c>
      <c r="T27" s="3">
        <v>26.0</v>
      </c>
      <c r="U27" s="3">
        <f t="shared" si="2"/>
        <v>19.2</v>
      </c>
      <c r="V27" s="3"/>
      <c r="W27" s="3">
        <f t="shared" si="3"/>
        <v>19.56108429</v>
      </c>
      <c r="X27" s="3">
        <f t="shared" si="4"/>
        <v>8.687560062</v>
      </c>
      <c r="Y27" s="3">
        <f t="shared" si="5"/>
        <v>8.590940685</v>
      </c>
      <c r="Z27" s="3">
        <f t="shared" ref="Z27:AA27" si="30">_xlfn.NORM.S.DIST(X27)</f>
        <v>1</v>
      </c>
      <c r="AA27" s="3">
        <f t="shared" si="30"/>
        <v>1</v>
      </c>
    </row>
    <row r="28" ht="14.25" customHeight="1">
      <c r="A28" s="3" t="s">
        <v>160</v>
      </c>
      <c r="B28" s="3" t="s">
        <v>161</v>
      </c>
      <c r="C28" s="3" t="s">
        <v>133</v>
      </c>
      <c r="D28" s="3" t="s">
        <v>29</v>
      </c>
      <c r="E28" s="3">
        <v>15.0</v>
      </c>
      <c r="F28" s="3" t="s">
        <v>27</v>
      </c>
      <c r="G28" s="3">
        <v>18.3</v>
      </c>
      <c r="I28" s="3">
        <v>20.9</v>
      </c>
      <c r="K28" s="3">
        <v>0.0</v>
      </c>
      <c r="L28" s="3">
        <v>0.0</v>
      </c>
      <c r="M28" s="3" t="s">
        <v>57</v>
      </c>
      <c r="N28" s="3">
        <v>0.9995</v>
      </c>
      <c r="O28" s="3">
        <v>0.0</v>
      </c>
      <c r="P28" s="3">
        <v>0.1246</v>
      </c>
      <c r="Q28" s="3">
        <v>0.0</v>
      </c>
      <c r="R28" s="3">
        <v>0.2722</v>
      </c>
      <c r="S28" s="3">
        <v>34.900002</v>
      </c>
      <c r="T28" s="3">
        <v>25.0</v>
      </c>
      <c r="U28" s="3">
        <f t="shared" si="2"/>
        <v>19.6</v>
      </c>
      <c r="V28" s="3"/>
      <c r="W28" s="3">
        <f t="shared" si="3"/>
        <v>19.90104363</v>
      </c>
      <c r="X28" s="3">
        <f t="shared" si="4"/>
        <v>9.893065268</v>
      </c>
      <c r="Y28" s="3">
        <f t="shared" si="5"/>
        <v>9.807330326</v>
      </c>
      <c r="Z28" s="3">
        <f t="shared" ref="Z28:AA28" si="31">_xlfn.NORM.S.DIST(X28)</f>
        <v>1</v>
      </c>
      <c r="AA28" s="3">
        <f t="shared" si="31"/>
        <v>1</v>
      </c>
    </row>
    <row r="29" ht="14.25" customHeight="1">
      <c r="A29" s="3" t="s">
        <v>160</v>
      </c>
      <c r="B29" s="3" t="s">
        <v>161</v>
      </c>
      <c r="C29" s="3" t="s">
        <v>133</v>
      </c>
      <c r="D29" s="3" t="s">
        <v>29</v>
      </c>
      <c r="E29" s="3">
        <v>15.0</v>
      </c>
      <c r="F29" s="3" t="s">
        <v>27</v>
      </c>
      <c r="G29" s="3">
        <v>18.4</v>
      </c>
      <c r="I29" s="3">
        <v>20.45</v>
      </c>
      <c r="K29" s="3">
        <v>0.0</v>
      </c>
      <c r="L29" s="3">
        <v>0.0</v>
      </c>
      <c r="M29" s="3" t="s">
        <v>58</v>
      </c>
      <c r="N29" s="3">
        <v>0.9996</v>
      </c>
      <c r="O29" s="3">
        <v>0.0</v>
      </c>
      <c r="P29" s="3">
        <v>0.1324</v>
      </c>
      <c r="Q29" s="3">
        <v>0.0</v>
      </c>
      <c r="R29" s="3">
        <v>0.3197</v>
      </c>
      <c r="S29" s="3">
        <v>34.959999</v>
      </c>
      <c r="T29" s="3">
        <v>24.0</v>
      </c>
      <c r="U29" s="3">
        <f t="shared" si="2"/>
        <v>19.425</v>
      </c>
      <c r="V29" s="3"/>
      <c r="W29" s="3">
        <f t="shared" si="3"/>
        <v>19.96099897</v>
      </c>
      <c r="X29" s="3">
        <f t="shared" si="4"/>
        <v>8.626338593</v>
      </c>
      <c r="Y29" s="3">
        <f t="shared" si="5"/>
        <v>8.527677031</v>
      </c>
      <c r="Z29" s="3">
        <f t="shared" ref="Z29:AA29" si="32">_xlfn.NORM.S.DIST(X29)</f>
        <v>1</v>
      </c>
      <c r="AA29" s="3">
        <f t="shared" si="32"/>
        <v>1</v>
      </c>
    </row>
    <row r="30" ht="14.25" customHeight="1">
      <c r="A30" s="3" t="s">
        <v>160</v>
      </c>
      <c r="B30" s="3" t="s">
        <v>161</v>
      </c>
      <c r="C30" s="3" t="s">
        <v>133</v>
      </c>
      <c r="D30" s="3" t="s">
        <v>29</v>
      </c>
      <c r="E30" s="3">
        <v>15.0</v>
      </c>
      <c r="F30" s="3" t="s">
        <v>27</v>
      </c>
      <c r="G30" s="3">
        <v>19.55</v>
      </c>
      <c r="I30" s="3">
        <v>20.35</v>
      </c>
      <c r="K30" s="3">
        <v>0.0</v>
      </c>
      <c r="L30" s="3">
        <v>0.0</v>
      </c>
      <c r="M30" s="3" t="s">
        <v>59</v>
      </c>
      <c r="N30" s="3">
        <v>0.9996</v>
      </c>
      <c r="O30" s="3">
        <v>0.0</v>
      </c>
      <c r="P30" s="3">
        <v>0.1368</v>
      </c>
      <c r="Q30" s="3">
        <v>0.0</v>
      </c>
      <c r="R30" s="3">
        <v>0.275</v>
      </c>
      <c r="S30" s="3">
        <v>35.110001</v>
      </c>
      <c r="T30" s="3">
        <v>23.0</v>
      </c>
      <c r="U30" s="3">
        <f t="shared" si="2"/>
        <v>19.95</v>
      </c>
      <c r="V30" s="3"/>
      <c r="W30" s="3">
        <f t="shared" si="3"/>
        <v>20.1109593</v>
      </c>
      <c r="X30" s="3">
        <f t="shared" si="4"/>
        <v>10.27866075</v>
      </c>
      <c r="Y30" s="3">
        <f t="shared" si="5"/>
        <v>10.19558078</v>
      </c>
      <c r="Z30" s="3">
        <f t="shared" ref="Z30:AA30" si="33">_xlfn.NORM.S.DIST(X30)</f>
        <v>1</v>
      </c>
      <c r="AA30" s="3">
        <f t="shared" si="33"/>
        <v>1</v>
      </c>
    </row>
    <row r="31" ht="14.25" customHeight="1">
      <c r="A31" s="3" t="s">
        <v>160</v>
      </c>
      <c r="B31" s="3" t="s">
        <v>161</v>
      </c>
      <c r="C31" s="3" t="s">
        <v>133</v>
      </c>
      <c r="D31" s="3" t="s">
        <v>29</v>
      </c>
      <c r="E31" s="3">
        <v>15.0</v>
      </c>
      <c r="F31" s="3" t="s">
        <v>27</v>
      </c>
      <c r="G31" s="3">
        <v>18.5</v>
      </c>
      <c r="I31" s="3">
        <v>20.45</v>
      </c>
      <c r="K31" s="3">
        <v>0.0</v>
      </c>
      <c r="L31" s="3">
        <v>0.0</v>
      </c>
      <c r="M31" s="3" t="s">
        <v>60</v>
      </c>
      <c r="N31" s="3">
        <v>0.9996</v>
      </c>
      <c r="O31" s="3">
        <v>0.0</v>
      </c>
      <c r="P31" s="3">
        <v>0.1435</v>
      </c>
      <c r="Q31" s="3">
        <v>0.0</v>
      </c>
      <c r="R31" s="3">
        <v>0.295</v>
      </c>
      <c r="S31" s="3">
        <v>34.990002</v>
      </c>
      <c r="T31" s="3">
        <v>22.0</v>
      </c>
      <c r="U31" s="3">
        <f t="shared" si="2"/>
        <v>19.475</v>
      </c>
      <c r="V31" s="3"/>
      <c r="W31" s="3">
        <f t="shared" si="3"/>
        <v>19.99091864</v>
      </c>
      <c r="X31" s="3">
        <f t="shared" si="4"/>
        <v>9.761827705</v>
      </c>
      <c r="Y31" s="3">
        <f t="shared" si="5"/>
        <v>9.674664521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160</v>
      </c>
      <c r="B32" s="3" t="s">
        <v>161</v>
      </c>
      <c r="C32" s="3" t="s">
        <v>133</v>
      </c>
      <c r="D32" s="3" t="s">
        <v>29</v>
      </c>
      <c r="E32" s="3">
        <v>15.0</v>
      </c>
      <c r="F32" s="3" t="s">
        <v>27</v>
      </c>
      <c r="G32" s="3">
        <v>19.45</v>
      </c>
      <c r="I32" s="3">
        <v>20.25</v>
      </c>
      <c r="K32" s="3">
        <v>0.0</v>
      </c>
      <c r="L32" s="3">
        <v>0.0</v>
      </c>
      <c r="M32" s="3" t="s">
        <v>61</v>
      </c>
      <c r="N32" s="3">
        <v>0.9996</v>
      </c>
      <c r="O32" s="3">
        <v>0.0</v>
      </c>
      <c r="P32" s="3">
        <v>0.1503</v>
      </c>
      <c r="Q32" s="3">
        <v>0.0</v>
      </c>
      <c r="R32" s="3">
        <v>0.3008</v>
      </c>
      <c r="S32" s="3">
        <v>34.900002</v>
      </c>
      <c r="T32" s="3">
        <v>21.0</v>
      </c>
      <c r="U32" s="3">
        <f t="shared" si="2"/>
        <v>19.85</v>
      </c>
      <c r="V32" s="3"/>
      <c r="W32" s="3">
        <f t="shared" si="3"/>
        <v>19.90087697</v>
      </c>
      <c r="X32" s="3">
        <f t="shared" si="4"/>
        <v>9.768870724</v>
      </c>
      <c r="Y32" s="3">
        <f t="shared" si="5"/>
        <v>9.682037244</v>
      </c>
      <c r="Z32" s="3">
        <f t="shared" ref="Z32:AA32" si="35">_xlfn.NORM.S.DIST(X32)</f>
        <v>1</v>
      </c>
      <c r="AA32" s="3">
        <f t="shared" si="35"/>
        <v>1</v>
      </c>
    </row>
    <row r="33" ht="14.25" customHeight="1">
      <c r="A33" s="3" t="s">
        <v>160</v>
      </c>
      <c r="B33" s="3" t="s">
        <v>161</v>
      </c>
      <c r="C33" s="3" t="s">
        <v>133</v>
      </c>
      <c r="D33" s="3" t="s">
        <v>29</v>
      </c>
      <c r="E33" s="3">
        <v>15.0</v>
      </c>
      <c r="F33" s="3" t="s">
        <v>27</v>
      </c>
      <c r="G33" s="3">
        <v>18.4</v>
      </c>
      <c r="I33" s="3">
        <v>20.85</v>
      </c>
      <c r="K33" s="3">
        <v>0.0</v>
      </c>
      <c r="L33" s="3">
        <v>0.0</v>
      </c>
      <c r="M33" s="3" t="s">
        <v>62</v>
      </c>
      <c r="N33" s="3">
        <v>0.9996</v>
      </c>
      <c r="O33" s="3">
        <v>0.0</v>
      </c>
      <c r="P33" s="3">
        <v>0.1533</v>
      </c>
      <c r="Q33" s="3">
        <v>0.0</v>
      </c>
      <c r="R33" s="3">
        <v>0.2742</v>
      </c>
      <c r="S33" s="3">
        <v>34.810001</v>
      </c>
      <c r="T33" s="3">
        <v>20.0</v>
      </c>
      <c r="U33" s="3">
        <f t="shared" si="2"/>
        <v>19.625</v>
      </c>
      <c r="V33" s="3"/>
      <c r="W33" s="3">
        <f t="shared" si="3"/>
        <v>19.81083431</v>
      </c>
      <c r="X33" s="3">
        <f t="shared" si="4"/>
        <v>10.93754528</v>
      </c>
      <c r="Y33" s="3">
        <f t="shared" si="5"/>
        <v>10.86029819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160</v>
      </c>
      <c r="B34" s="3" t="s">
        <v>161</v>
      </c>
      <c r="C34" s="3" t="s">
        <v>133</v>
      </c>
      <c r="D34" s="3" t="s">
        <v>29</v>
      </c>
      <c r="E34" s="3">
        <v>15.0</v>
      </c>
      <c r="F34" s="3" t="s">
        <v>27</v>
      </c>
      <c r="G34" s="3">
        <v>18.8</v>
      </c>
      <c r="I34" s="3">
        <v>21.75</v>
      </c>
      <c r="K34" s="3">
        <v>0.0</v>
      </c>
      <c r="L34" s="3">
        <v>0.0</v>
      </c>
      <c r="M34" s="3" t="s">
        <v>63</v>
      </c>
      <c r="N34" s="3">
        <v>0.9996</v>
      </c>
      <c r="O34" s="3">
        <v>0.0</v>
      </c>
      <c r="P34" s="3">
        <v>0.1618</v>
      </c>
      <c r="Q34" s="3">
        <v>0.0</v>
      </c>
      <c r="R34" s="3">
        <v>0.2321</v>
      </c>
      <c r="S34" s="3">
        <v>35.400002</v>
      </c>
      <c r="T34" s="3">
        <v>19.0</v>
      </c>
      <c r="U34" s="3">
        <f t="shared" si="2"/>
        <v>20.275</v>
      </c>
      <c r="V34" s="3"/>
      <c r="W34" s="3">
        <f t="shared" si="3"/>
        <v>20.40079365</v>
      </c>
      <c r="X34" s="3">
        <f t="shared" si="4"/>
        <v>13.50588292</v>
      </c>
      <c r="Y34" s="3">
        <f t="shared" si="5"/>
        <v>13.44215178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160</v>
      </c>
      <c r="B35" s="3" t="s">
        <v>161</v>
      </c>
      <c r="C35" s="3" t="s">
        <v>133</v>
      </c>
      <c r="D35" s="3" t="s">
        <v>29</v>
      </c>
      <c r="E35" s="3">
        <v>15.0</v>
      </c>
      <c r="F35" s="3" t="s">
        <v>27</v>
      </c>
      <c r="G35" s="3">
        <v>19.65</v>
      </c>
      <c r="I35" s="3">
        <v>20.25</v>
      </c>
      <c r="K35" s="3">
        <v>0.0</v>
      </c>
      <c r="L35" s="3">
        <v>0.0</v>
      </c>
      <c r="M35" s="3" t="s">
        <v>64</v>
      </c>
      <c r="N35" s="3">
        <v>0.9996</v>
      </c>
      <c r="O35" s="3">
        <v>0.0</v>
      </c>
      <c r="P35" s="3">
        <v>0.1579</v>
      </c>
      <c r="Q35" s="3">
        <v>0.0</v>
      </c>
      <c r="R35" s="3">
        <v>0.1822</v>
      </c>
      <c r="S35" s="3">
        <v>35.009998</v>
      </c>
      <c r="T35" s="3">
        <v>18.0</v>
      </c>
      <c r="U35" s="3">
        <f t="shared" si="2"/>
        <v>19.95</v>
      </c>
      <c r="V35" s="3"/>
      <c r="W35" s="3">
        <f t="shared" si="3"/>
        <v>20.01074798</v>
      </c>
      <c r="X35" s="3">
        <f t="shared" si="4"/>
        <v>17.43134014</v>
      </c>
      <c r="Y35" s="3">
        <f t="shared" si="5"/>
        <v>17.38264514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160</v>
      </c>
      <c r="B36" s="3" t="s">
        <v>161</v>
      </c>
      <c r="C36" s="3" t="s">
        <v>133</v>
      </c>
      <c r="D36" s="3" t="s">
        <v>29</v>
      </c>
      <c r="E36" s="3">
        <v>15.0</v>
      </c>
      <c r="F36" s="3" t="s">
        <v>27</v>
      </c>
      <c r="G36" s="3">
        <v>17.85</v>
      </c>
      <c r="I36" s="3">
        <v>20.85</v>
      </c>
      <c r="K36" s="3">
        <v>0.0</v>
      </c>
      <c r="L36" s="3">
        <v>0.0</v>
      </c>
      <c r="M36" s="3" t="s">
        <v>65</v>
      </c>
      <c r="N36" s="3">
        <v>0.9996</v>
      </c>
      <c r="O36" s="3">
        <v>0.0</v>
      </c>
      <c r="P36" s="3">
        <v>0.1587</v>
      </c>
      <c r="Q36" s="3">
        <v>0.0</v>
      </c>
      <c r="R36" s="3">
        <v>0.3859</v>
      </c>
      <c r="S36" s="3">
        <v>34.279999</v>
      </c>
      <c r="T36" s="3">
        <v>17.0</v>
      </c>
      <c r="U36" s="3">
        <f t="shared" si="2"/>
        <v>19.35</v>
      </c>
      <c r="V36" s="3"/>
      <c r="W36" s="3">
        <f t="shared" si="3"/>
        <v>19.28070732</v>
      </c>
      <c r="X36" s="3">
        <f t="shared" si="4"/>
        <v>8.296715248</v>
      </c>
      <c r="Y36" s="3">
        <f t="shared" si="5"/>
        <v>8.196484962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160</v>
      </c>
      <c r="B37" s="3" t="s">
        <v>161</v>
      </c>
      <c r="C37" s="3" t="s">
        <v>133</v>
      </c>
      <c r="D37" s="3" t="s">
        <v>29</v>
      </c>
      <c r="E37" s="3">
        <v>15.0</v>
      </c>
      <c r="F37" s="3" t="s">
        <v>27</v>
      </c>
      <c r="G37" s="3">
        <v>18.15</v>
      </c>
      <c r="I37" s="3">
        <v>21.15</v>
      </c>
      <c r="K37" s="3">
        <v>0.0</v>
      </c>
      <c r="L37" s="3">
        <v>0.0</v>
      </c>
      <c r="M37" s="3" t="s">
        <v>66</v>
      </c>
      <c r="N37" s="3">
        <v>0.9998</v>
      </c>
      <c r="O37" s="3">
        <v>0.0</v>
      </c>
      <c r="P37" s="3">
        <v>0.059</v>
      </c>
      <c r="Q37" s="3">
        <v>0.0</v>
      </c>
      <c r="R37" s="3">
        <v>0.2518</v>
      </c>
      <c r="S37" s="3">
        <v>34.75</v>
      </c>
      <c r="T37" s="3">
        <v>16.0</v>
      </c>
      <c r="U37" s="3">
        <f t="shared" si="2"/>
        <v>19.65</v>
      </c>
      <c r="V37" s="3"/>
      <c r="W37" s="3">
        <f t="shared" si="3"/>
        <v>19.75066665</v>
      </c>
      <c r="X37" s="3">
        <f t="shared" si="4"/>
        <v>13.27372723</v>
      </c>
      <c r="Y37" s="3">
        <f t="shared" si="5"/>
        <v>13.2102796</v>
      </c>
      <c r="Z37" s="3">
        <f t="shared" ref="Z37:AA37" si="40">_xlfn.NORM.S.DIST(X37)</f>
        <v>1</v>
      </c>
      <c r="AA37" s="3">
        <f t="shared" si="40"/>
        <v>1</v>
      </c>
    </row>
    <row r="38" ht="14.25" customHeight="1">
      <c r="A38" s="3" t="s">
        <v>160</v>
      </c>
      <c r="B38" s="3" t="s">
        <v>161</v>
      </c>
      <c r="C38" s="3" t="s">
        <v>133</v>
      </c>
      <c r="D38" s="3" t="s">
        <v>29</v>
      </c>
      <c r="E38" s="3">
        <v>15.0</v>
      </c>
      <c r="F38" s="3" t="s">
        <v>27</v>
      </c>
      <c r="G38" s="3">
        <v>17.8</v>
      </c>
      <c r="I38" s="3">
        <v>20.9</v>
      </c>
      <c r="K38" s="3">
        <v>0.0</v>
      </c>
      <c r="L38" s="3">
        <v>0.0</v>
      </c>
      <c r="M38" s="3" t="s">
        <v>67</v>
      </c>
      <c r="N38" s="3">
        <v>1.0</v>
      </c>
      <c r="O38" s="3">
        <v>0.0</v>
      </c>
      <c r="P38" s="3">
        <v>-0.0436</v>
      </c>
      <c r="Q38" s="3">
        <v>0.0</v>
      </c>
      <c r="R38" s="3">
        <v>0.4334</v>
      </c>
      <c r="S38" s="3">
        <v>34.279999</v>
      </c>
      <c r="T38" s="3">
        <v>15.0</v>
      </c>
      <c r="U38" s="3">
        <f t="shared" si="2"/>
        <v>19.35</v>
      </c>
      <c r="V38" s="3"/>
      <c r="W38" s="3">
        <f t="shared" si="3"/>
        <v>19.28062399</v>
      </c>
      <c r="X38" s="3">
        <f t="shared" si="4"/>
        <v>7.869808315</v>
      </c>
      <c r="Y38" s="3">
        <f t="shared" si="5"/>
        <v>7.764069542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160</v>
      </c>
      <c r="B39" s="3" t="s">
        <v>161</v>
      </c>
      <c r="C39" s="3" t="s">
        <v>133</v>
      </c>
      <c r="D39" s="3" t="s">
        <v>29</v>
      </c>
      <c r="E39" s="3">
        <v>15.0</v>
      </c>
      <c r="F39" s="3" t="s">
        <v>27</v>
      </c>
      <c r="G39" s="3">
        <v>17.8</v>
      </c>
      <c r="I39" s="3">
        <v>20.85</v>
      </c>
      <c r="K39" s="3">
        <v>0.0</v>
      </c>
      <c r="L39" s="3">
        <v>0.0</v>
      </c>
      <c r="M39" s="3" t="s">
        <v>68</v>
      </c>
      <c r="N39" s="3">
        <v>1.0</v>
      </c>
      <c r="O39" s="3">
        <v>0.0</v>
      </c>
      <c r="P39" s="3">
        <v>-0.0436</v>
      </c>
      <c r="Q39" s="3">
        <v>0.0</v>
      </c>
      <c r="R39" s="3">
        <v>0.3646</v>
      </c>
      <c r="S39" s="3">
        <v>34.32</v>
      </c>
      <c r="T39" s="3">
        <v>14.0</v>
      </c>
      <c r="U39" s="3">
        <f t="shared" si="2"/>
        <v>19.325</v>
      </c>
      <c r="V39" s="3"/>
      <c r="W39" s="3">
        <f t="shared" si="3"/>
        <v>19.32058332</v>
      </c>
      <c r="X39" s="3">
        <f t="shared" si="4"/>
        <v>9.674635176</v>
      </c>
      <c r="Y39" s="3">
        <f t="shared" si="5"/>
        <v>9.588698132</v>
      </c>
      <c r="Z39" s="3">
        <f t="shared" ref="Z39:AA39" si="42">_xlfn.NORM.S.DIST(X39)</f>
        <v>1</v>
      </c>
      <c r="AA39" s="3">
        <f t="shared" si="42"/>
        <v>1</v>
      </c>
    </row>
    <row r="40" ht="14.25" customHeight="1">
      <c r="A40" s="3" t="s">
        <v>160</v>
      </c>
      <c r="B40" s="3" t="s">
        <v>161</v>
      </c>
      <c r="C40" s="3" t="s">
        <v>133</v>
      </c>
      <c r="D40" s="3" t="s">
        <v>29</v>
      </c>
      <c r="E40" s="3">
        <v>15.0</v>
      </c>
      <c r="F40" s="3" t="s">
        <v>27</v>
      </c>
      <c r="G40" s="3">
        <v>18.1</v>
      </c>
      <c r="I40" s="3">
        <v>20.8</v>
      </c>
      <c r="K40" s="3">
        <v>0.0</v>
      </c>
      <c r="L40" s="3">
        <v>0.0</v>
      </c>
      <c r="M40" s="3" t="s">
        <v>69</v>
      </c>
      <c r="N40" s="3">
        <v>1.0</v>
      </c>
      <c r="O40" s="3">
        <v>0.0</v>
      </c>
      <c r="P40" s="3">
        <v>-0.0436</v>
      </c>
      <c r="Q40" s="3">
        <v>0.0</v>
      </c>
      <c r="R40" s="3">
        <v>0.4849</v>
      </c>
      <c r="S40" s="3">
        <v>34.68</v>
      </c>
      <c r="T40" s="3">
        <v>13.0</v>
      </c>
      <c r="U40" s="3">
        <f t="shared" si="2"/>
        <v>19.45</v>
      </c>
      <c r="V40" s="3"/>
      <c r="W40" s="3">
        <f t="shared" si="3"/>
        <v>19.68054166</v>
      </c>
      <c r="X40" s="3">
        <f t="shared" si="4"/>
        <v>7.665295366</v>
      </c>
      <c r="Y40" s="3">
        <f t="shared" si="5"/>
        <v>7.555160813</v>
      </c>
      <c r="Z40" s="3">
        <f t="shared" ref="Z40:AA40" si="43">_xlfn.NORM.S.DIST(X40)</f>
        <v>1</v>
      </c>
      <c r="AA40" s="3">
        <f t="shared" si="43"/>
        <v>1</v>
      </c>
    </row>
    <row r="41" ht="14.25" customHeight="1">
      <c r="A41" s="3" t="s">
        <v>160</v>
      </c>
      <c r="B41" s="3" t="s">
        <v>161</v>
      </c>
      <c r="C41" s="3" t="s">
        <v>133</v>
      </c>
      <c r="D41" s="3" t="s">
        <v>29</v>
      </c>
      <c r="E41" s="3">
        <v>15.0</v>
      </c>
      <c r="F41" s="3" t="s">
        <v>27</v>
      </c>
      <c r="G41" s="3">
        <v>17.7</v>
      </c>
      <c r="I41" s="3">
        <v>20.1</v>
      </c>
      <c r="K41" s="3">
        <v>0.0</v>
      </c>
      <c r="L41" s="3">
        <v>0.0</v>
      </c>
      <c r="M41" s="3" t="s">
        <v>70</v>
      </c>
      <c r="N41" s="3">
        <v>0.9999</v>
      </c>
      <c r="O41" s="3">
        <v>0.0</v>
      </c>
      <c r="P41" s="3">
        <v>0.0575</v>
      </c>
      <c r="Q41" s="3">
        <v>0.0</v>
      </c>
      <c r="R41" s="3">
        <v>0.3501</v>
      </c>
      <c r="S41" s="3">
        <v>34.240002</v>
      </c>
      <c r="T41" s="3">
        <v>12.0</v>
      </c>
      <c r="U41" s="3">
        <f t="shared" si="2"/>
        <v>18.9</v>
      </c>
      <c r="V41" s="3"/>
      <c r="W41" s="3">
        <f t="shared" si="3"/>
        <v>19.24050199</v>
      </c>
      <c r="X41" s="3">
        <f t="shared" si="4"/>
        <v>10.84184366</v>
      </c>
      <c r="Y41" s="3">
        <f t="shared" si="5"/>
        <v>10.76544557</v>
      </c>
      <c r="Z41" s="3">
        <f t="shared" ref="Z41:AA41" si="44">_xlfn.NORM.S.DIST(X41)</f>
        <v>1</v>
      </c>
      <c r="AA41" s="3">
        <f t="shared" si="44"/>
        <v>1</v>
      </c>
    </row>
    <row r="42" ht="14.25" customHeight="1">
      <c r="A42" s="3" t="s">
        <v>160</v>
      </c>
      <c r="B42" s="3" t="s">
        <v>161</v>
      </c>
      <c r="C42" s="3" t="s">
        <v>133</v>
      </c>
      <c r="D42" s="3" t="s">
        <v>29</v>
      </c>
      <c r="E42" s="3">
        <v>15.0</v>
      </c>
      <c r="F42" s="3" t="s">
        <v>27</v>
      </c>
      <c r="G42" s="3">
        <v>18.05</v>
      </c>
      <c r="I42" s="3">
        <v>21.15</v>
      </c>
      <c r="K42" s="3">
        <v>0.0</v>
      </c>
      <c r="L42" s="3">
        <v>0.0</v>
      </c>
      <c r="M42" s="3" t="s">
        <v>71</v>
      </c>
      <c r="N42" s="3">
        <v>0.9998</v>
      </c>
      <c r="O42" s="3">
        <v>0.0</v>
      </c>
      <c r="P42" s="3">
        <v>0.1621</v>
      </c>
      <c r="Q42" s="3">
        <v>0.0</v>
      </c>
      <c r="R42" s="3">
        <v>0.2945</v>
      </c>
      <c r="S42" s="3">
        <v>34.630001</v>
      </c>
      <c r="T42" s="3">
        <v>11.0</v>
      </c>
      <c r="U42" s="3">
        <f t="shared" si="2"/>
        <v>19.6</v>
      </c>
      <c r="V42" s="3"/>
      <c r="W42" s="3">
        <f t="shared" si="3"/>
        <v>19.63045933</v>
      </c>
      <c r="X42" s="3">
        <f t="shared" si="4"/>
        <v>13.629195</v>
      </c>
      <c r="Y42" s="3">
        <f t="shared" si="5"/>
        <v>13.56766579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160</v>
      </c>
      <c r="B43" s="3" t="s">
        <v>161</v>
      </c>
      <c r="C43" s="3" t="s">
        <v>133</v>
      </c>
      <c r="D43" s="3" t="s">
        <v>29</v>
      </c>
      <c r="E43" s="3">
        <v>15.0</v>
      </c>
      <c r="F43" s="3" t="s">
        <v>27</v>
      </c>
      <c r="G43" s="3">
        <v>18.45</v>
      </c>
      <c r="I43" s="3">
        <v>21.6</v>
      </c>
      <c r="K43" s="3">
        <v>0.0</v>
      </c>
      <c r="L43" s="3">
        <v>0.0</v>
      </c>
      <c r="M43" s="3" t="s">
        <v>72</v>
      </c>
      <c r="N43" s="3">
        <v>0.9998</v>
      </c>
      <c r="O43" s="3">
        <v>0.0</v>
      </c>
      <c r="P43" s="3">
        <v>0.1719</v>
      </c>
      <c r="Q43" s="3">
        <v>0.0</v>
      </c>
      <c r="R43" s="3">
        <v>0.3064</v>
      </c>
      <c r="S43" s="3">
        <v>35.049999</v>
      </c>
      <c r="T43" s="3">
        <v>10.0</v>
      </c>
      <c r="U43" s="3">
        <f t="shared" si="2"/>
        <v>20.025</v>
      </c>
      <c r="V43" s="3"/>
      <c r="W43" s="3">
        <f t="shared" si="3"/>
        <v>20.05041566</v>
      </c>
      <c r="X43" s="3">
        <f t="shared" si="4"/>
        <v>13.93622005</v>
      </c>
      <c r="Y43" s="3">
        <f t="shared" si="5"/>
        <v>13.87518371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160</v>
      </c>
      <c r="B44" s="3" t="s">
        <v>161</v>
      </c>
      <c r="C44" s="3" t="s">
        <v>133</v>
      </c>
      <c r="D44" s="3" t="s">
        <v>29</v>
      </c>
      <c r="E44" s="3">
        <v>15.0</v>
      </c>
      <c r="F44" s="3" t="s">
        <v>27</v>
      </c>
      <c r="G44" s="3">
        <v>18.85</v>
      </c>
      <c r="I44" s="3">
        <v>22.0</v>
      </c>
      <c r="K44" s="3">
        <v>0.0</v>
      </c>
      <c r="L44" s="3">
        <v>0.0</v>
      </c>
      <c r="M44" s="3" t="s">
        <v>73</v>
      </c>
      <c r="N44" s="3">
        <v>0.9998</v>
      </c>
      <c r="O44" s="3">
        <v>0.0</v>
      </c>
      <c r="P44" s="3">
        <v>0.1797</v>
      </c>
      <c r="Q44" s="3">
        <v>0.0</v>
      </c>
      <c r="R44" s="3">
        <v>0.2838</v>
      </c>
      <c r="S44" s="3">
        <v>35.459999</v>
      </c>
      <c r="T44" s="3">
        <v>9.0</v>
      </c>
      <c r="U44" s="3">
        <f t="shared" si="2"/>
        <v>20.425</v>
      </c>
      <c r="V44" s="3"/>
      <c r="W44" s="3">
        <f t="shared" si="3"/>
        <v>20.460374</v>
      </c>
      <c r="X44" s="3">
        <f t="shared" si="4"/>
        <v>16.06875951</v>
      </c>
      <c r="Y44" s="3">
        <f t="shared" si="5"/>
        <v>16.01512635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160</v>
      </c>
      <c r="B45" s="3" t="s">
        <v>161</v>
      </c>
      <c r="C45" s="3" t="s">
        <v>133</v>
      </c>
      <c r="D45" s="3" t="s">
        <v>29</v>
      </c>
      <c r="E45" s="3">
        <v>15.0</v>
      </c>
      <c r="F45" s="3" t="s">
        <v>27</v>
      </c>
      <c r="G45" s="3">
        <v>19.2</v>
      </c>
      <c r="I45" s="3">
        <v>22.35</v>
      </c>
      <c r="K45" s="3">
        <v>0.0</v>
      </c>
      <c r="L45" s="3">
        <v>0.0</v>
      </c>
      <c r="M45" s="3" t="s">
        <v>74</v>
      </c>
      <c r="N45" s="3">
        <v>0.9998</v>
      </c>
      <c r="O45" s="3">
        <v>0.0</v>
      </c>
      <c r="P45" s="3">
        <v>0.1785</v>
      </c>
      <c r="Q45" s="3">
        <v>0.0</v>
      </c>
      <c r="R45" s="3">
        <v>0.3165</v>
      </c>
      <c r="S45" s="3">
        <v>35.860001</v>
      </c>
      <c r="T45" s="3">
        <v>8.0</v>
      </c>
      <c r="U45" s="3">
        <f t="shared" si="2"/>
        <v>20.775</v>
      </c>
      <c r="V45" s="3"/>
      <c r="W45" s="3">
        <f t="shared" si="3"/>
        <v>20.86033433</v>
      </c>
      <c r="X45" s="3">
        <f t="shared" si="4"/>
        <v>15.48415845</v>
      </c>
      <c r="Y45" s="3">
        <f t="shared" si="5"/>
        <v>15.42776633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160</v>
      </c>
      <c r="B46" s="3" t="s">
        <v>161</v>
      </c>
      <c r="C46" s="3" t="s">
        <v>133</v>
      </c>
      <c r="D46" s="3" t="s">
        <v>29</v>
      </c>
      <c r="E46" s="3">
        <v>15.0</v>
      </c>
      <c r="F46" s="3" t="s">
        <v>27</v>
      </c>
      <c r="G46" s="3">
        <v>19.5</v>
      </c>
      <c r="I46" s="3">
        <v>22.55</v>
      </c>
      <c r="K46" s="3">
        <v>0.0</v>
      </c>
      <c r="L46" s="3">
        <v>0.0</v>
      </c>
      <c r="M46" s="3" t="s">
        <v>75</v>
      </c>
      <c r="N46" s="3">
        <v>0.9999</v>
      </c>
      <c r="O46" s="3">
        <v>0.0</v>
      </c>
      <c r="P46" s="3">
        <v>0.179</v>
      </c>
      <c r="Q46" s="3">
        <v>0.0</v>
      </c>
      <c r="R46" s="3">
        <v>0.382</v>
      </c>
      <c r="S46" s="3">
        <v>35.939999</v>
      </c>
      <c r="T46" s="3">
        <v>7.0</v>
      </c>
      <c r="U46" s="3">
        <f t="shared" si="2"/>
        <v>21.025</v>
      </c>
      <c r="V46" s="3"/>
      <c r="W46" s="3">
        <f t="shared" si="3"/>
        <v>20.94029066</v>
      </c>
      <c r="X46" s="3">
        <f t="shared" si="4"/>
        <v>13.75675632</v>
      </c>
      <c r="Y46" s="3">
        <f t="shared" si="5"/>
        <v>13.69308965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160</v>
      </c>
      <c r="B47" s="3" t="s">
        <v>161</v>
      </c>
      <c r="C47" s="3" t="s">
        <v>133</v>
      </c>
      <c r="D47" s="3" t="s">
        <v>29</v>
      </c>
      <c r="E47" s="3">
        <v>15.0</v>
      </c>
      <c r="F47" s="3" t="s">
        <v>27</v>
      </c>
      <c r="G47" s="3">
        <v>20.45</v>
      </c>
      <c r="I47" s="3">
        <v>20.9</v>
      </c>
      <c r="K47" s="3">
        <v>0.0</v>
      </c>
      <c r="L47" s="3">
        <v>0.0</v>
      </c>
      <c r="M47" s="3" t="s">
        <v>76</v>
      </c>
      <c r="N47" s="3">
        <v>0.9999</v>
      </c>
      <c r="O47" s="3">
        <v>0.0</v>
      </c>
      <c r="P47" s="3">
        <v>0.1707</v>
      </c>
      <c r="Q47" s="3">
        <v>0.0</v>
      </c>
      <c r="R47" s="3">
        <v>0.2799</v>
      </c>
      <c r="S47" s="3">
        <v>35.709999</v>
      </c>
      <c r="T47" s="3">
        <v>6.0</v>
      </c>
      <c r="U47" s="3">
        <f t="shared" si="2"/>
        <v>20.675</v>
      </c>
      <c r="V47" s="3"/>
      <c r="W47" s="3">
        <f t="shared" si="3"/>
        <v>20.710249</v>
      </c>
      <c r="X47" s="3">
        <f t="shared" si="4"/>
        <v>20.10511148</v>
      </c>
      <c r="Y47" s="3">
        <f t="shared" si="5"/>
        <v>20.06192197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160</v>
      </c>
      <c r="B48" s="3" t="s">
        <v>161</v>
      </c>
      <c r="C48" s="3" t="s">
        <v>133</v>
      </c>
      <c r="D48" s="3" t="s">
        <v>29</v>
      </c>
      <c r="E48" s="3">
        <v>15.0</v>
      </c>
      <c r="F48" s="3" t="s">
        <v>27</v>
      </c>
      <c r="G48" s="3">
        <v>19.35</v>
      </c>
      <c r="I48" s="3">
        <v>22.45</v>
      </c>
      <c r="K48" s="3">
        <v>0.0</v>
      </c>
      <c r="L48" s="3">
        <v>0.0</v>
      </c>
      <c r="M48" s="3" t="s">
        <v>77</v>
      </c>
      <c r="N48" s="3">
        <v>1.0</v>
      </c>
      <c r="O48" s="3">
        <v>0.0</v>
      </c>
      <c r="P48" s="3">
        <v>-0.0423</v>
      </c>
      <c r="Q48" s="3">
        <v>0.0</v>
      </c>
      <c r="R48" s="3">
        <v>0.4312</v>
      </c>
      <c r="S48" s="3">
        <v>35.880001</v>
      </c>
      <c r="T48" s="3">
        <v>5.0</v>
      </c>
      <c r="U48" s="3">
        <f t="shared" si="2"/>
        <v>20.9</v>
      </c>
      <c r="V48" s="3"/>
      <c r="W48" s="3">
        <f t="shared" si="3"/>
        <v>20.88020933</v>
      </c>
      <c r="X48" s="3">
        <f t="shared" si="4"/>
        <v>14.38938226</v>
      </c>
      <c r="Y48" s="3">
        <f t="shared" si="5"/>
        <v>14.32864384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160</v>
      </c>
      <c r="B49" s="3" t="s">
        <v>161</v>
      </c>
      <c r="C49" s="3" t="s">
        <v>133</v>
      </c>
      <c r="D49" s="3" t="s">
        <v>29</v>
      </c>
      <c r="E49" s="3">
        <v>15.0</v>
      </c>
      <c r="F49" s="3" t="s">
        <v>27</v>
      </c>
      <c r="G49" s="3">
        <v>18.8</v>
      </c>
      <c r="I49" s="3">
        <v>21.95</v>
      </c>
      <c r="K49" s="3">
        <v>0.0</v>
      </c>
      <c r="L49" s="3">
        <v>0.0</v>
      </c>
      <c r="M49" s="3" t="s">
        <v>78</v>
      </c>
      <c r="N49" s="3">
        <v>1.0</v>
      </c>
      <c r="O49" s="3">
        <v>0.0</v>
      </c>
      <c r="P49" s="3">
        <v>-0.0423</v>
      </c>
      <c r="Q49" s="3">
        <v>0.0</v>
      </c>
      <c r="R49" s="3">
        <v>0.2315</v>
      </c>
      <c r="S49" s="3">
        <v>35.43</v>
      </c>
      <c r="T49" s="3">
        <v>4.0</v>
      </c>
      <c r="U49" s="3">
        <f t="shared" si="2"/>
        <v>20.375</v>
      </c>
      <c r="V49" s="3"/>
      <c r="W49" s="3">
        <f t="shared" si="3"/>
        <v>20.43016667</v>
      </c>
      <c r="X49" s="3">
        <f t="shared" si="4"/>
        <v>29.48424681</v>
      </c>
      <c r="Y49" s="3">
        <f t="shared" si="5"/>
        <v>29.45508055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160</v>
      </c>
      <c r="B50" s="3" t="s">
        <v>161</v>
      </c>
      <c r="C50" s="3" t="s">
        <v>133</v>
      </c>
      <c r="D50" s="3" t="s">
        <v>29</v>
      </c>
      <c r="E50" s="3">
        <v>15.0</v>
      </c>
      <c r="F50" s="3" t="s">
        <v>27</v>
      </c>
      <c r="G50" s="3">
        <v>19.05</v>
      </c>
      <c r="I50" s="3">
        <v>22.1</v>
      </c>
      <c r="K50" s="3">
        <v>0.0</v>
      </c>
      <c r="L50" s="3">
        <v>0.0</v>
      </c>
      <c r="M50" s="3" t="s">
        <v>79</v>
      </c>
      <c r="N50" s="3">
        <v>1.0</v>
      </c>
      <c r="O50" s="3">
        <v>0.0</v>
      </c>
      <c r="P50" s="3">
        <v>-0.0423</v>
      </c>
      <c r="Q50" s="3">
        <v>0.0</v>
      </c>
      <c r="R50" s="3">
        <v>0.2396</v>
      </c>
      <c r="S50" s="3">
        <v>35.580002</v>
      </c>
      <c r="T50" s="3">
        <v>3.0</v>
      </c>
      <c r="U50" s="3">
        <f t="shared" si="2"/>
        <v>20.575</v>
      </c>
      <c r="V50" s="3"/>
      <c r="W50" s="3">
        <f t="shared" si="3"/>
        <v>20.580127</v>
      </c>
      <c r="X50" s="3">
        <f t="shared" si="4"/>
        <v>33.05282504</v>
      </c>
      <c r="Y50" s="3">
        <f t="shared" si="5"/>
        <v>33.02668253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160</v>
      </c>
      <c r="B51" s="3" t="s">
        <v>161</v>
      </c>
      <c r="C51" s="3" t="s">
        <v>133</v>
      </c>
      <c r="D51" s="3" t="s">
        <v>29</v>
      </c>
      <c r="E51" s="3">
        <v>15.0</v>
      </c>
      <c r="F51" s="3" t="s">
        <v>27</v>
      </c>
      <c r="G51" s="3">
        <v>19.15</v>
      </c>
      <c r="I51" s="3">
        <v>22.7</v>
      </c>
      <c r="K51" s="3">
        <v>0.0</v>
      </c>
      <c r="L51" s="3">
        <v>0.0</v>
      </c>
      <c r="M51" s="3" t="s">
        <v>80</v>
      </c>
      <c r="N51" s="3">
        <v>1.0</v>
      </c>
      <c r="O51" s="3">
        <v>0.0</v>
      </c>
      <c r="P51" s="3">
        <v>-0.0423</v>
      </c>
      <c r="Q51" s="3">
        <v>0.0</v>
      </c>
      <c r="R51" s="3">
        <v>0.2675</v>
      </c>
      <c r="S51" s="3">
        <v>36.299999</v>
      </c>
      <c r="T51" s="3">
        <v>2.0</v>
      </c>
      <c r="U51" s="3">
        <f t="shared" si="2"/>
        <v>20.925</v>
      </c>
      <c r="V51" s="3"/>
      <c r="W51" s="3">
        <f t="shared" si="3"/>
        <v>21.30008233</v>
      </c>
      <c r="X51" s="3">
        <f t="shared" si="4"/>
        <v>37.09725404</v>
      </c>
      <c r="Y51" s="3">
        <f t="shared" si="5"/>
        <v>37.07342324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160</v>
      </c>
      <c r="B52" s="3" t="s">
        <v>161</v>
      </c>
      <c r="C52" s="3" t="s">
        <v>133</v>
      </c>
      <c r="D52" s="3" t="s">
        <v>29</v>
      </c>
      <c r="E52" s="3">
        <v>15.0</v>
      </c>
      <c r="F52" s="3" t="s">
        <v>27</v>
      </c>
      <c r="G52" s="3">
        <v>19.55</v>
      </c>
      <c r="I52" s="3">
        <v>22.9</v>
      </c>
      <c r="K52" s="3">
        <v>0.0</v>
      </c>
      <c r="L52" s="3">
        <v>0.0</v>
      </c>
      <c r="M52" s="3" t="s">
        <v>81</v>
      </c>
      <c r="N52" s="3">
        <v>1.0</v>
      </c>
      <c r="O52" s="3">
        <v>0.0</v>
      </c>
      <c r="P52" s="3">
        <v>-0.0423</v>
      </c>
      <c r="Q52" s="3">
        <v>0.0</v>
      </c>
      <c r="R52" s="3">
        <v>1.2549</v>
      </c>
      <c r="S52" s="3">
        <v>36.34</v>
      </c>
      <c r="T52" s="3">
        <v>1.0</v>
      </c>
      <c r="U52" s="3">
        <f t="shared" si="2"/>
        <v>21.225</v>
      </c>
      <c r="V52" s="3"/>
      <c r="W52" s="3">
        <f t="shared" si="3"/>
        <v>21.34004167</v>
      </c>
      <c r="X52" s="3">
        <f t="shared" si="4"/>
        <v>11.233168</v>
      </c>
      <c r="Y52" s="3">
        <f t="shared" si="5"/>
        <v>11.15411673</v>
      </c>
      <c r="Z52" s="3">
        <f t="shared" ref="Z52:AA52" si="55">_xlfn.NORM.S.DIST(X52)</f>
        <v>1</v>
      </c>
      <c r="AA52" s="3">
        <f t="shared" si="55"/>
        <v>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162</v>
      </c>
      <c r="B2" s="3" t="s">
        <v>163</v>
      </c>
      <c r="C2" s="3" t="s">
        <v>128</v>
      </c>
      <c r="D2" s="3" t="s">
        <v>29</v>
      </c>
      <c r="E2" s="3">
        <v>17.0</v>
      </c>
      <c r="F2" s="3" t="s">
        <v>27</v>
      </c>
      <c r="G2" s="3">
        <v>15.75</v>
      </c>
      <c r="I2" s="3">
        <v>19.4</v>
      </c>
      <c r="K2" s="3">
        <v>0.0</v>
      </c>
      <c r="L2" s="3">
        <v>0.0</v>
      </c>
      <c r="M2" s="3" t="s">
        <v>30</v>
      </c>
      <c r="N2" s="3">
        <v>0.9914</v>
      </c>
      <c r="O2" s="3">
        <v>0.0</v>
      </c>
      <c r="P2" s="3">
        <v>0.9706</v>
      </c>
      <c r="Q2" s="3">
        <v>0.0</v>
      </c>
      <c r="R2" s="3">
        <v>0.24</v>
      </c>
      <c r="S2" s="3">
        <v>35.0</v>
      </c>
      <c r="T2" s="3">
        <v>75.0</v>
      </c>
      <c r="U2" s="3">
        <f t="shared" ref="U2:U76" si="2">(I2+G2)*0.5</f>
        <v>17.575</v>
      </c>
      <c r="V2" s="3"/>
      <c r="W2" s="3">
        <f t="shared" ref="W2:W76" si="3">( S2*Z2 ) - ( E2 * EXP(-0.0007*T2/$AC$2) * AA2)</f>
        <v>18.00354131</v>
      </c>
      <c r="X2" s="3">
        <f t="shared" ref="X2:X76" si="4">((LN(S2/E2) + (0.0007 + (R2^2)/2) * T2/$AC$2)) / (R2 * SQRT(T2/$AC$2))</f>
        <v>5.582451547</v>
      </c>
      <c r="Y2" s="3">
        <f t="shared" ref="Y2:Y76" si="5">X2-(R2*SQRT(T2/$AC$2))</f>
        <v>5.451520813</v>
      </c>
      <c r="Z2" s="3">
        <f t="shared" ref="Z2:AA2" si="1">_xlfn.NORM.S.DIST(X2)</f>
        <v>0.9999999881</v>
      </c>
      <c r="AA2" s="3">
        <f t="shared" si="1"/>
        <v>0.999999975</v>
      </c>
      <c r="AC2" s="6">
        <v>252.0</v>
      </c>
    </row>
    <row r="3" ht="14.25" customHeight="1">
      <c r="A3" s="3" t="s">
        <v>162</v>
      </c>
      <c r="B3" s="3" t="s">
        <v>163</v>
      </c>
      <c r="C3" s="3" t="s">
        <v>128</v>
      </c>
      <c r="D3" s="3" t="s">
        <v>29</v>
      </c>
      <c r="E3" s="3">
        <v>17.0</v>
      </c>
      <c r="F3" s="3" t="s">
        <v>27</v>
      </c>
      <c r="G3" s="3">
        <v>16.25</v>
      </c>
      <c r="I3" s="3">
        <v>19.7</v>
      </c>
      <c r="K3" s="3">
        <v>0.0</v>
      </c>
      <c r="L3" s="3">
        <v>0.0</v>
      </c>
      <c r="M3" s="3" t="s">
        <v>31</v>
      </c>
      <c r="N3" s="3">
        <v>0.9537</v>
      </c>
      <c r="O3" s="3">
        <v>0.0051</v>
      </c>
      <c r="P3" s="3">
        <v>-1.3658</v>
      </c>
      <c r="Q3" s="3">
        <v>1.5552</v>
      </c>
      <c r="R3" s="3">
        <v>0.8603</v>
      </c>
      <c r="S3" s="3">
        <v>35.02</v>
      </c>
      <c r="T3" s="3">
        <v>74.0</v>
      </c>
      <c r="U3" s="3">
        <f t="shared" si="2"/>
        <v>17.975</v>
      </c>
      <c r="V3" s="3"/>
      <c r="W3" s="3">
        <f t="shared" si="3"/>
        <v>18.31433758</v>
      </c>
      <c r="X3" s="3">
        <f t="shared" si="4"/>
        <v>1.783767299</v>
      </c>
      <c r="Y3" s="3">
        <f t="shared" si="5"/>
        <v>1.317574552</v>
      </c>
      <c r="Z3" s="3">
        <f t="shared" ref="Z3:AA3" si="6">_xlfn.NORM.S.DIST(X3)</f>
        <v>0.9627692574</v>
      </c>
      <c r="AA3" s="3">
        <f t="shared" si="6"/>
        <v>0.9061769455</v>
      </c>
    </row>
    <row r="4" ht="14.25" customHeight="1">
      <c r="A4" s="3" t="s">
        <v>162</v>
      </c>
      <c r="B4" s="3" t="s">
        <v>163</v>
      </c>
      <c r="C4" s="3" t="s">
        <v>128</v>
      </c>
      <c r="D4" s="3" t="s">
        <v>29</v>
      </c>
      <c r="E4" s="3">
        <v>17.0</v>
      </c>
      <c r="F4" s="3" t="s">
        <v>27</v>
      </c>
      <c r="G4" s="3">
        <v>16.5</v>
      </c>
      <c r="I4" s="3">
        <v>19.7</v>
      </c>
      <c r="K4" s="3">
        <v>0.0</v>
      </c>
      <c r="L4" s="3">
        <v>0.0</v>
      </c>
      <c r="M4" s="3" t="s">
        <v>32</v>
      </c>
      <c r="N4" s="3">
        <v>0.9958</v>
      </c>
      <c r="O4" s="3">
        <v>0.0</v>
      </c>
      <c r="P4" s="3">
        <v>0.4617</v>
      </c>
      <c r="Q4" s="3">
        <v>0.0</v>
      </c>
      <c r="R4" s="3">
        <v>0.2027</v>
      </c>
      <c r="S4" s="3">
        <v>35.23</v>
      </c>
      <c r="T4" s="3">
        <v>73.0</v>
      </c>
      <c r="U4" s="3">
        <f t="shared" si="2"/>
        <v>18.1</v>
      </c>
      <c r="V4" s="3"/>
      <c r="W4" s="3">
        <f t="shared" si="3"/>
        <v>18.23344687</v>
      </c>
      <c r="X4" s="3">
        <f t="shared" si="4"/>
        <v>6.735611502</v>
      </c>
      <c r="Y4" s="3">
        <f t="shared" si="5"/>
        <v>6.626513974</v>
      </c>
      <c r="Z4" s="3">
        <f t="shared" ref="Z4:AA4" si="7">_xlfn.NORM.S.DIST(X4)</f>
        <v>1</v>
      </c>
      <c r="AA4" s="3">
        <f t="shared" si="7"/>
        <v>1</v>
      </c>
    </row>
    <row r="5" ht="14.25" customHeight="1">
      <c r="A5" s="3" t="s">
        <v>162</v>
      </c>
      <c r="B5" s="3" t="s">
        <v>163</v>
      </c>
      <c r="C5" s="3" t="s">
        <v>128</v>
      </c>
      <c r="D5" s="3" t="s">
        <v>29</v>
      </c>
      <c r="E5" s="3">
        <v>17.0</v>
      </c>
      <c r="F5" s="3" t="s">
        <v>27</v>
      </c>
      <c r="G5" s="3">
        <v>16.45</v>
      </c>
      <c r="I5" s="3">
        <v>19.95</v>
      </c>
      <c r="K5" s="3">
        <v>0.0</v>
      </c>
      <c r="L5" s="3">
        <v>0.0</v>
      </c>
      <c r="M5" s="3" t="s">
        <v>33</v>
      </c>
      <c r="N5" s="3">
        <v>0.9966</v>
      </c>
      <c r="O5" s="3">
        <v>0.0</v>
      </c>
      <c r="P5" s="3">
        <v>0.3832</v>
      </c>
      <c r="Q5" s="3">
        <v>0.0</v>
      </c>
      <c r="R5" s="3">
        <v>0.2515</v>
      </c>
      <c r="S5" s="3">
        <v>35.389999</v>
      </c>
      <c r="T5" s="3">
        <v>72.0</v>
      </c>
      <c r="U5" s="3">
        <f t="shared" si="2"/>
        <v>18.2</v>
      </c>
      <c r="V5" s="3"/>
      <c r="W5" s="3">
        <f t="shared" si="3"/>
        <v>18.39339867</v>
      </c>
      <c r="X5" s="3">
        <f t="shared" si="4"/>
        <v>5.522864517</v>
      </c>
      <c r="Y5" s="3">
        <f t="shared" si="5"/>
        <v>5.388432112</v>
      </c>
      <c r="Z5" s="3">
        <f t="shared" ref="Z5:AA5" si="8">_xlfn.NORM.S.DIST(X5)</f>
        <v>0.9999999833</v>
      </c>
      <c r="AA5" s="3">
        <f t="shared" si="8"/>
        <v>0.9999999645</v>
      </c>
    </row>
    <row r="6" ht="14.25" customHeight="1">
      <c r="A6" s="3" t="s">
        <v>162</v>
      </c>
      <c r="B6" s="3" t="s">
        <v>163</v>
      </c>
      <c r="C6" s="3" t="s">
        <v>128</v>
      </c>
      <c r="D6" s="3" t="s">
        <v>29</v>
      </c>
      <c r="E6" s="3">
        <v>17.0</v>
      </c>
      <c r="F6" s="3" t="s">
        <v>27</v>
      </c>
      <c r="G6" s="3">
        <v>15.8</v>
      </c>
      <c r="I6" s="3">
        <v>18.9</v>
      </c>
      <c r="K6" s="3">
        <v>0.0</v>
      </c>
      <c r="L6" s="3">
        <v>0.0</v>
      </c>
      <c r="M6" s="3" t="s">
        <v>34</v>
      </c>
      <c r="N6" s="3">
        <v>0.9932</v>
      </c>
      <c r="O6" s="3">
        <v>0.0</v>
      </c>
      <c r="P6" s="3">
        <v>0.7895</v>
      </c>
      <c r="Q6" s="3">
        <v>0.0</v>
      </c>
      <c r="R6" s="3">
        <v>0.139</v>
      </c>
      <c r="S6" s="3">
        <v>34.349998</v>
      </c>
      <c r="T6" s="3">
        <v>71.0</v>
      </c>
      <c r="U6" s="3">
        <f t="shared" si="2"/>
        <v>17.35</v>
      </c>
      <c r="V6" s="3"/>
      <c r="W6" s="3">
        <f t="shared" si="3"/>
        <v>17.35335045</v>
      </c>
      <c r="X6" s="3">
        <f t="shared" si="4"/>
        <v>9.573047273</v>
      </c>
      <c r="Y6" s="3">
        <f t="shared" si="5"/>
        <v>9.499266414</v>
      </c>
      <c r="Z6" s="3">
        <f t="shared" ref="Z6:AA6" si="9">_xlfn.NORM.S.DIST(X6)</f>
        <v>1</v>
      </c>
      <c r="AA6" s="3">
        <f t="shared" si="9"/>
        <v>1</v>
      </c>
    </row>
    <row r="7" ht="14.25" customHeight="1">
      <c r="A7" s="3" t="s">
        <v>162</v>
      </c>
      <c r="B7" s="3" t="s">
        <v>163</v>
      </c>
      <c r="C7" s="3" t="s">
        <v>128</v>
      </c>
      <c r="D7" s="3" t="s">
        <v>29</v>
      </c>
      <c r="E7" s="3">
        <v>17.0</v>
      </c>
      <c r="F7" s="3" t="s">
        <v>27</v>
      </c>
      <c r="G7" s="3">
        <v>15.8</v>
      </c>
      <c r="I7" s="3">
        <v>19.05</v>
      </c>
      <c r="K7" s="3">
        <v>0.0</v>
      </c>
      <c r="L7" s="3">
        <v>0.0</v>
      </c>
      <c r="M7" s="3" t="s">
        <v>35</v>
      </c>
      <c r="N7" s="3">
        <v>0.9793</v>
      </c>
      <c r="O7" s="3">
        <v>0.003</v>
      </c>
      <c r="P7" s="3">
        <v>0.0516</v>
      </c>
      <c r="Q7" s="3">
        <v>0.6307</v>
      </c>
      <c r="R7" s="3">
        <v>0.652</v>
      </c>
      <c r="S7" s="3">
        <v>34.240002</v>
      </c>
      <c r="T7" s="3">
        <v>70.0</v>
      </c>
      <c r="U7" s="3">
        <f t="shared" si="2"/>
        <v>17.425</v>
      </c>
      <c r="V7" s="3"/>
      <c r="W7" s="3">
        <f t="shared" si="3"/>
        <v>17.30608109</v>
      </c>
      <c r="X7" s="3">
        <f t="shared" si="4"/>
        <v>2.209960456</v>
      </c>
      <c r="Y7" s="3">
        <f t="shared" si="5"/>
        <v>1.866326283</v>
      </c>
      <c r="Z7" s="3">
        <f t="shared" ref="Z7:AA7" si="10">_xlfn.NORM.S.DIST(X7)</f>
        <v>0.9864460466</v>
      </c>
      <c r="AA7" s="3">
        <f t="shared" si="10"/>
        <v>0.9690021352</v>
      </c>
    </row>
    <row r="8" ht="14.25" customHeight="1">
      <c r="A8" s="3" t="s">
        <v>162</v>
      </c>
      <c r="B8" s="3" t="s">
        <v>163</v>
      </c>
      <c r="C8" s="3" t="s">
        <v>128</v>
      </c>
      <c r="D8" s="3" t="s">
        <v>29</v>
      </c>
      <c r="E8" s="3">
        <v>17.0</v>
      </c>
      <c r="F8" s="3" t="s">
        <v>27</v>
      </c>
      <c r="G8" s="3">
        <v>15.8</v>
      </c>
      <c r="I8" s="3">
        <v>19.1</v>
      </c>
      <c r="K8" s="3">
        <v>0.0</v>
      </c>
      <c r="L8" s="3">
        <v>0.0</v>
      </c>
      <c r="M8" s="3" t="s">
        <v>36</v>
      </c>
      <c r="N8" s="3">
        <v>0.9867</v>
      </c>
      <c r="O8" s="3">
        <v>0.0019</v>
      </c>
      <c r="P8" s="3">
        <v>0.3432</v>
      </c>
      <c r="Q8" s="3">
        <v>0.3534</v>
      </c>
      <c r="R8" s="3">
        <v>0.5827</v>
      </c>
      <c r="S8" s="3">
        <v>34.369999</v>
      </c>
      <c r="T8" s="3">
        <v>69.0</v>
      </c>
      <c r="U8" s="3">
        <f t="shared" si="2"/>
        <v>17.45</v>
      </c>
      <c r="V8" s="3"/>
      <c r="W8" s="3">
        <f t="shared" si="3"/>
        <v>17.399258</v>
      </c>
      <c r="X8" s="3">
        <f t="shared" si="4"/>
        <v>2.46187739</v>
      </c>
      <c r="Y8" s="3">
        <f t="shared" si="5"/>
        <v>2.156969057</v>
      </c>
      <c r="Z8" s="3">
        <f t="shared" ref="Z8:AA8" si="11">_xlfn.NORM.S.DIST(X8)</f>
        <v>0.9930894047</v>
      </c>
      <c r="AA8" s="3">
        <f t="shared" si="11"/>
        <v>0.9844959623</v>
      </c>
    </row>
    <row r="9" ht="14.25" customHeight="1">
      <c r="A9" s="3" t="s">
        <v>162</v>
      </c>
      <c r="B9" s="3" t="s">
        <v>163</v>
      </c>
      <c r="C9" s="3" t="s">
        <v>128</v>
      </c>
      <c r="D9" s="3" t="s">
        <v>29</v>
      </c>
      <c r="E9" s="3">
        <v>17.0</v>
      </c>
      <c r="F9" s="3" t="s">
        <v>27</v>
      </c>
      <c r="G9" s="3">
        <v>15.7</v>
      </c>
      <c r="I9" s="3">
        <v>18.8</v>
      </c>
      <c r="K9" s="3">
        <v>0.0</v>
      </c>
      <c r="L9" s="3">
        <v>0.0</v>
      </c>
      <c r="M9" s="3" t="s">
        <v>37</v>
      </c>
      <c r="N9" s="3">
        <v>0.9909</v>
      </c>
      <c r="O9" s="3">
        <v>0.0011</v>
      </c>
      <c r="P9" s="3">
        <v>0.4785</v>
      </c>
      <c r="Q9" s="3">
        <v>0.185</v>
      </c>
      <c r="R9" s="3">
        <v>0.5234</v>
      </c>
      <c r="S9" s="3">
        <v>34.27</v>
      </c>
      <c r="T9" s="3">
        <v>68.0</v>
      </c>
      <c r="U9" s="3">
        <f t="shared" si="2"/>
        <v>17.25</v>
      </c>
      <c r="V9" s="3"/>
      <c r="W9" s="3">
        <f t="shared" si="3"/>
        <v>17.28339379</v>
      </c>
      <c r="X9" s="3">
        <f t="shared" si="4"/>
        <v>2.715127883</v>
      </c>
      <c r="Y9" s="3">
        <f t="shared" si="5"/>
        <v>2.44324122</v>
      </c>
      <c r="Z9" s="3">
        <f t="shared" ref="Z9:AA9" si="12">_xlfn.NORM.S.DIST(X9)</f>
        <v>0.9966874909</v>
      </c>
      <c r="AA9" s="3">
        <f t="shared" si="12"/>
        <v>0.9927219977</v>
      </c>
    </row>
    <row r="10" ht="14.25" customHeight="1">
      <c r="A10" s="3" t="s">
        <v>162</v>
      </c>
      <c r="B10" s="3" t="s">
        <v>163</v>
      </c>
      <c r="C10" s="3" t="s">
        <v>128</v>
      </c>
      <c r="D10" s="3" t="s">
        <v>29</v>
      </c>
      <c r="E10" s="3">
        <v>17.0</v>
      </c>
      <c r="F10" s="3" t="s">
        <v>27</v>
      </c>
      <c r="G10" s="3">
        <v>15.55</v>
      </c>
      <c r="I10" s="3">
        <v>18.8</v>
      </c>
      <c r="K10" s="3">
        <v>0.0</v>
      </c>
      <c r="L10" s="3">
        <v>0.0</v>
      </c>
      <c r="M10" s="3" t="s">
        <v>38</v>
      </c>
      <c r="N10" s="3">
        <v>0.9976</v>
      </c>
      <c r="O10" s="3">
        <v>0.0</v>
      </c>
      <c r="P10" s="3">
        <v>0.2544</v>
      </c>
      <c r="Q10" s="3">
        <v>0.002</v>
      </c>
      <c r="R10" s="3">
        <v>0.3424</v>
      </c>
      <c r="S10" s="3">
        <v>34.02</v>
      </c>
      <c r="T10" s="3">
        <v>67.0</v>
      </c>
      <c r="U10" s="3">
        <f t="shared" si="2"/>
        <v>17.175</v>
      </c>
      <c r="V10" s="3"/>
      <c r="W10" s="3">
        <f t="shared" si="3"/>
        <v>17.02320465</v>
      </c>
      <c r="X10" s="3">
        <f t="shared" si="4"/>
        <v>4.018699302</v>
      </c>
      <c r="Y10" s="3">
        <f t="shared" si="5"/>
        <v>3.842148015</v>
      </c>
      <c r="Z10" s="3">
        <f t="shared" ref="Z10:AA10" si="13">_xlfn.NORM.S.DIST(X10)</f>
        <v>0.9999707399</v>
      </c>
      <c r="AA10" s="3">
        <f t="shared" si="13"/>
        <v>0.9999390189</v>
      </c>
    </row>
    <row r="11" ht="14.25" customHeight="1">
      <c r="A11" s="3" t="s">
        <v>162</v>
      </c>
      <c r="B11" s="3" t="s">
        <v>163</v>
      </c>
      <c r="C11" s="3" t="s">
        <v>128</v>
      </c>
      <c r="D11" s="3" t="s">
        <v>29</v>
      </c>
      <c r="E11" s="3">
        <v>17.0</v>
      </c>
      <c r="F11" s="3" t="s">
        <v>27</v>
      </c>
      <c r="G11" s="3">
        <v>15.15</v>
      </c>
      <c r="I11" s="3">
        <v>18.65</v>
      </c>
      <c r="K11" s="3">
        <v>0.0</v>
      </c>
      <c r="L11" s="3">
        <v>0.0</v>
      </c>
      <c r="M11" s="3" t="s">
        <v>39</v>
      </c>
      <c r="N11" s="3">
        <v>1.0</v>
      </c>
      <c r="O11" s="3">
        <v>0.0</v>
      </c>
      <c r="P11" s="3">
        <v>-0.0514</v>
      </c>
      <c r="Q11" s="3">
        <v>0.0</v>
      </c>
      <c r="R11" s="3">
        <v>0.2128</v>
      </c>
      <c r="S11" s="3">
        <v>33.759998</v>
      </c>
      <c r="T11" s="3">
        <v>66.0</v>
      </c>
      <c r="U11" s="3">
        <f t="shared" si="2"/>
        <v>16.9</v>
      </c>
      <c r="V11" s="3"/>
      <c r="W11" s="3">
        <f t="shared" si="3"/>
        <v>16.76311438</v>
      </c>
      <c r="X11" s="3">
        <f t="shared" si="4"/>
        <v>6.355849556</v>
      </c>
      <c r="Y11" s="3">
        <f t="shared" si="5"/>
        <v>6.246945684</v>
      </c>
      <c r="Z11" s="3">
        <f t="shared" ref="Z11:AA11" si="14">_xlfn.NORM.S.DIST(X11)</f>
        <v>0.9999999999</v>
      </c>
      <c r="AA11" s="3">
        <f t="shared" si="14"/>
        <v>0.9999999998</v>
      </c>
    </row>
    <row r="12" ht="14.25" customHeight="1">
      <c r="A12" s="3" t="s">
        <v>162</v>
      </c>
      <c r="B12" s="3" t="s">
        <v>163</v>
      </c>
      <c r="C12" s="3" t="s">
        <v>128</v>
      </c>
      <c r="D12" s="3" t="s">
        <v>29</v>
      </c>
      <c r="E12" s="3">
        <v>17.0</v>
      </c>
      <c r="F12" s="3" t="s">
        <v>27</v>
      </c>
      <c r="G12" s="3">
        <v>14.75</v>
      </c>
      <c r="I12" s="3">
        <v>18.25</v>
      </c>
      <c r="K12" s="3">
        <v>0.0</v>
      </c>
      <c r="L12" s="3">
        <v>0.0</v>
      </c>
      <c r="M12" s="3" t="s">
        <v>40</v>
      </c>
      <c r="N12" s="3">
        <v>0.9977</v>
      </c>
      <c r="O12" s="3">
        <v>0.0</v>
      </c>
      <c r="P12" s="3">
        <v>0.2488</v>
      </c>
      <c r="Q12" s="3">
        <v>1.0E-4</v>
      </c>
      <c r="R12" s="3">
        <v>0.2851</v>
      </c>
      <c r="S12" s="3">
        <v>33.259998</v>
      </c>
      <c r="T12" s="3">
        <v>65.0</v>
      </c>
      <c r="U12" s="3">
        <f t="shared" si="2"/>
        <v>16.5</v>
      </c>
      <c r="V12" s="3"/>
      <c r="W12" s="3">
        <f t="shared" si="3"/>
        <v>16.26306838</v>
      </c>
      <c r="X12" s="3">
        <f t="shared" si="4"/>
        <v>4.70876294</v>
      </c>
      <c r="Y12" s="3">
        <f t="shared" si="5"/>
        <v>4.56396792</v>
      </c>
      <c r="Z12" s="3">
        <f t="shared" ref="Z12:AA12" si="15">_xlfn.NORM.S.DIST(X12)</f>
        <v>0.9999987539</v>
      </c>
      <c r="AA12" s="3">
        <f t="shared" si="15"/>
        <v>0.9999974902</v>
      </c>
    </row>
    <row r="13" ht="14.25" customHeight="1">
      <c r="A13" s="3" t="s">
        <v>162</v>
      </c>
      <c r="B13" s="3" t="s">
        <v>163</v>
      </c>
      <c r="C13" s="3" t="s">
        <v>128</v>
      </c>
      <c r="D13" s="3" t="s">
        <v>29</v>
      </c>
      <c r="E13" s="3">
        <v>17.0</v>
      </c>
      <c r="F13" s="3" t="s">
        <v>27</v>
      </c>
      <c r="G13" s="3">
        <v>14.45</v>
      </c>
      <c r="I13" s="3">
        <v>17.8</v>
      </c>
      <c r="K13" s="3">
        <v>0.0</v>
      </c>
      <c r="L13" s="3">
        <v>0.0</v>
      </c>
      <c r="M13" s="3" t="s">
        <v>41</v>
      </c>
      <c r="N13" s="3">
        <v>1.0</v>
      </c>
      <c r="O13" s="3">
        <v>0.0</v>
      </c>
      <c r="P13" s="3">
        <v>-0.0514</v>
      </c>
      <c r="Q13" s="3">
        <v>0.0</v>
      </c>
      <c r="R13" s="3">
        <v>0.2445</v>
      </c>
      <c r="S13" s="3">
        <v>33.200001</v>
      </c>
      <c r="T13" s="3">
        <v>64.0</v>
      </c>
      <c r="U13" s="3">
        <f t="shared" si="2"/>
        <v>16.125</v>
      </c>
      <c r="V13" s="3"/>
      <c r="W13" s="3">
        <f t="shared" si="3"/>
        <v>16.20302297</v>
      </c>
      <c r="X13" s="3">
        <f t="shared" si="4"/>
        <v>5.495253737</v>
      </c>
      <c r="Y13" s="3">
        <f t="shared" si="5"/>
        <v>5.372037319</v>
      </c>
      <c r="Z13" s="3">
        <f t="shared" ref="Z13:AA13" si="16">_xlfn.NORM.S.DIST(X13)</f>
        <v>0.9999999805</v>
      </c>
      <c r="AA13" s="3">
        <f t="shared" si="16"/>
        <v>0.9999999611</v>
      </c>
    </row>
    <row r="14" ht="14.25" customHeight="1">
      <c r="A14" s="3" t="s">
        <v>162</v>
      </c>
      <c r="B14" s="3" t="s">
        <v>163</v>
      </c>
      <c r="C14" s="3" t="s">
        <v>128</v>
      </c>
      <c r="D14" s="3" t="s">
        <v>29</v>
      </c>
      <c r="E14" s="3">
        <v>17.0</v>
      </c>
      <c r="F14" s="3" t="s">
        <v>27</v>
      </c>
      <c r="G14" s="3">
        <v>14.25</v>
      </c>
      <c r="I14" s="3">
        <v>17.85</v>
      </c>
      <c r="K14" s="3">
        <v>0.0</v>
      </c>
      <c r="L14" s="3">
        <v>0.0</v>
      </c>
      <c r="M14" s="3" t="s">
        <v>42</v>
      </c>
      <c r="N14" s="3">
        <v>0.998</v>
      </c>
      <c r="O14" s="3">
        <v>0.0</v>
      </c>
      <c r="P14" s="3">
        <v>0.2219</v>
      </c>
      <c r="Q14" s="3">
        <v>0.0</v>
      </c>
      <c r="R14" s="3">
        <v>0.227</v>
      </c>
      <c r="S14" s="3">
        <v>33.439999</v>
      </c>
      <c r="T14" s="3">
        <v>63.0</v>
      </c>
      <c r="U14" s="3">
        <f t="shared" si="2"/>
        <v>16.05</v>
      </c>
      <c r="V14" s="3"/>
      <c r="W14" s="3">
        <f t="shared" si="3"/>
        <v>16.44297374</v>
      </c>
      <c r="X14" s="3">
        <f t="shared" si="4"/>
        <v>6.018991535</v>
      </c>
      <c r="Y14" s="3">
        <f t="shared" si="5"/>
        <v>5.905491535</v>
      </c>
      <c r="Z14" s="3">
        <f t="shared" ref="Z14:AA14" si="17">_xlfn.NORM.S.DIST(X14)</f>
        <v>0.9999999991</v>
      </c>
      <c r="AA14" s="3">
        <f t="shared" si="17"/>
        <v>0.9999999982</v>
      </c>
    </row>
    <row r="15" ht="14.25" customHeight="1">
      <c r="A15" s="3" t="s">
        <v>162</v>
      </c>
      <c r="B15" s="3" t="s">
        <v>163</v>
      </c>
      <c r="C15" s="3" t="s">
        <v>128</v>
      </c>
      <c r="D15" s="3" t="s">
        <v>29</v>
      </c>
      <c r="E15" s="3">
        <v>17.0</v>
      </c>
      <c r="F15" s="3" t="s">
        <v>27</v>
      </c>
      <c r="G15" s="3">
        <v>14.8</v>
      </c>
      <c r="I15" s="3">
        <v>18.45</v>
      </c>
      <c r="K15" s="3">
        <v>0.0</v>
      </c>
      <c r="L15" s="3">
        <v>0.0</v>
      </c>
      <c r="M15" s="3" t="s">
        <v>43</v>
      </c>
      <c r="N15" s="3">
        <v>0.9932</v>
      </c>
      <c r="O15" s="3">
        <v>0.001</v>
      </c>
      <c r="P15" s="3">
        <v>0.3328</v>
      </c>
      <c r="Q15" s="3">
        <v>0.1469</v>
      </c>
      <c r="R15" s="3">
        <v>0.5282</v>
      </c>
      <c r="S15" s="3">
        <v>33.610001</v>
      </c>
      <c r="T15" s="3">
        <v>62.0</v>
      </c>
      <c r="U15" s="3">
        <f t="shared" si="2"/>
        <v>16.625</v>
      </c>
      <c r="V15" s="3"/>
      <c r="W15" s="3">
        <f t="shared" si="3"/>
        <v>16.6219641</v>
      </c>
      <c r="X15" s="3">
        <f t="shared" si="4"/>
        <v>2.733265125</v>
      </c>
      <c r="Y15" s="3">
        <f t="shared" si="5"/>
        <v>2.471269541</v>
      </c>
      <c r="Z15" s="3">
        <f t="shared" ref="Z15:AA15" si="18">_xlfn.NORM.S.DIST(X15)</f>
        <v>0.9968645084</v>
      </c>
      <c r="AA15" s="3">
        <f t="shared" si="18"/>
        <v>0.9932682851</v>
      </c>
    </row>
    <row r="16" ht="14.25" customHeight="1">
      <c r="A16" s="3" t="s">
        <v>162</v>
      </c>
      <c r="B16" s="3" t="s">
        <v>163</v>
      </c>
      <c r="C16" s="3" t="s">
        <v>128</v>
      </c>
      <c r="D16" s="3" t="s">
        <v>29</v>
      </c>
      <c r="E16" s="3">
        <v>17.0</v>
      </c>
      <c r="F16" s="3" t="s">
        <v>27</v>
      </c>
      <c r="G16" s="3">
        <v>15.05</v>
      </c>
      <c r="I16" s="3">
        <v>18.4</v>
      </c>
      <c r="K16" s="3">
        <v>0.0</v>
      </c>
      <c r="L16" s="3">
        <v>0.0</v>
      </c>
      <c r="M16" s="3" t="s">
        <v>44</v>
      </c>
      <c r="N16" s="3">
        <v>0.9938</v>
      </c>
      <c r="O16" s="3">
        <v>8.0E-4</v>
      </c>
      <c r="P16" s="3">
        <v>0.3686</v>
      </c>
      <c r="Q16" s="3">
        <v>0.1185</v>
      </c>
      <c r="R16" s="3">
        <v>0.5195</v>
      </c>
      <c r="S16" s="3">
        <v>33.779999</v>
      </c>
      <c r="T16" s="3">
        <v>61.0</v>
      </c>
      <c r="U16" s="3">
        <f t="shared" si="2"/>
        <v>16.725</v>
      </c>
      <c r="V16" s="3"/>
      <c r="W16" s="3">
        <f t="shared" si="3"/>
        <v>16.78960292</v>
      </c>
      <c r="X16" s="3">
        <f t="shared" si="4"/>
        <v>2.814971458</v>
      </c>
      <c r="Y16" s="3">
        <f t="shared" si="5"/>
        <v>2.559377726</v>
      </c>
      <c r="Z16" s="3">
        <f t="shared" ref="Z16:AA16" si="19">_xlfn.NORM.S.DIST(X16)</f>
        <v>0.9975609217</v>
      </c>
      <c r="AA16" s="3">
        <f t="shared" si="19"/>
        <v>0.9947570132</v>
      </c>
    </row>
    <row r="17" ht="14.25" customHeight="1">
      <c r="A17" s="3" t="s">
        <v>162</v>
      </c>
      <c r="B17" s="3" t="s">
        <v>163</v>
      </c>
      <c r="C17" s="3" t="s">
        <v>128</v>
      </c>
      <c r="D17" s="3" t="s">
        <v>29</v>
      </c>
      <c r="E17" s="3">
        <v>17.0</v>
      </c>
      <c r="F17" s="3" t="s">
        <v>27</v>
      </c>
      <c r="G17" s="3">
        <v>14.65</v>
      </c>
      <c r="I17" s="3">
        <v>19.1</v>
      </c>
      <c r="K17" s="3">
        <v>0.0</v>
      </c>
      <c r="L17" s="3">
        <v>0.0</v>
      </c>
      <c r="M17" s="3" t="s">
        <v>45</v>
      </c>
      <c r="N17" s="3">
        <v>0.9962</v>
      </c>
      <c r="O17" s="3">
        <v>0.0</v>
      </c>
      <c r="P17" s="3">
        <v>0.4993</v>
      </c>
      <c r="Q17" s="3">
        <v>0.0</v>
      </c>
      <c r="R17" s="3">
        <v>0.1323</v>
      </c>
      <c r="S17" s="3">
        <v>33.75</v>
      </c>
      <c r="T17" s="3">
        <v>60.0</v>
      </c>
      <c r="U17" s="3">
        <f t="shared" si="2"/>
        <v>16.875</v>
      </c>
      <c r="V17" s="3"/>
      <c r="W17" s="3">
        <f t="shared" si="3"/>
        <v>16.7528331</v>
      </c>
      <c r="X17" s="3">
        <f t="shared" si="4"/>
        <v>10.65771896</v>
      </c>
      <c r="Y17" s="3">
        <f t="shared" si="5"/>
        <v>10.59316317</v>
      </c>
      <c r="Z17" s="3">
        <f t="shared" ref="Z17:AA17" si="20">_xlfn.NORM.S.DIST(X17)</f>
        <v>1</v>
      </c>
      <c r="AA17" s="3">
        <f t="shared" si="20"/>
        <v>1</v>
      </c>
    </row>
    <row r="18" ht="14.25" customHeight="1">
      <c r="A18" s="3" t="s">
        <v>162</v>
      </c>
      <c r="B18" s="3" t="s">
        <v>163</v>
      </c>
      <c r="C18" s="3" t="s">
        <v>128</v>
      </c>
      <c r="D18" s="3" t="s">
        <v>29</v>
      </c>
      <c r="E18" s="3">
        <v>17.0</v>
      </c>
      <c r="F18" s="3" t="s">
        <v>27</v>
      </c>
      <c r="G18" s="3">
        <v>15.45</v>
      </c>
      <c r="I18" s="3">
        <v>18.5</v>
      </c>
      <c r="K18" s="3">
        <v>0.0</v>
      </c>
      <c r="L18" s="3">
        <v>0.0</v>
      </c>
      <c r="M18" s="3" t="s">
        <v>46</v>
      </c>
      <c r="N18" s="3">
        <v>0.9962</v>
      </c>
      <c r="O18" s="3">
        <v>0.0</v>
      </c>
      <c r="P18" s="3">
        <v>0.5051</v>
      </c>
      <c r="Q18" s="3">
        <v>0.0019</v>
      </c>
      <c r="R18" s="3">
        <v>0.3637</v>
      </c>
      <c r="S18" s="3">
        <v>34.02</v>
      </c>
      <c r="T18" s="3">
        <v>59.0</v>
      </c>
      <c r="U18" s="3">
        <f t="shared" si="2"/>
        <v>16.975</v>
      </c>
      <c r="V18" s="3"/>
      <c r="W18" s="3">
        <f t="shared" si="3"/>
        <v>17.02282462</v>
      </c>
      <c r="X18" s="3">
        <f t="shared" si="4"/>
        <v>4.030995976</v>
      </c>
      <c r="Y18" s="3">
        <f t="shared" si="5"/>
        <v>3.855013657</v>
      </c>
      <c r="Z18" s="3">
        <f t="shared" ref="Z18:AA18" si="21">_xlfn.NORM.S.DIST(X18)</f>
        <v>0.9999722295</v>
      </c>
      <c r="AA18" s="3">
        <f t="shared" si="21"/>
        <v>0.9999421384</v>
      </c>
    </row>
    <row r="19" ht="14.25" customHeight="1">
      <c r="A19" s="3" t="s">
        <v>162</v>
      </c>
      <c r="B19" s="3" t="s">
        <v>163</v>
      </c>
      <c r="C19" s="3" t="s">
        <v>128</v>
      </c>
      <c r="D19" s="3" t="s">
        <v>29</v>
      </c>
      <c r="E19" s="3">
        <v>17.0</v>
      </c>
      <c r="F19" s="3" t="s">
        <v>27</v>
      </c>
      <c r="G19" s="3">
        <v>15.4</v>
      </c>
      <c r="I19" s="3">
        <v>18.85</v>
      </c>
      <c r="K19" s="3">
        <v>0.0</v>
      </c>
      <c r="L19" s="3">
        <v>0.0</v>
      </c>
      <c r="M19" s="3" t="s">
        <v>47</v>
      </c>
      <c r="N19" s="3">
        <v>0.9963</v>
      </c>
      <c r="O19" s="3">
        <v>0.0</v>
      </c>
      <c r="P19" s="3">
        <v>0.5078</v>
      </c>
      <c r="Q19" s="3">
        <v>0.0</v>
      </c>
      <c r="R19" s="3">
        <v>0.1248</v>
      </c>
      <c r="S19" s="3">
        <v>34.130001</v>
      </c>
      <c r="T19" s="3">
        <v>58.0</v>
      </c>
      <c r="U19" s="3">
        <f t="shared" si="2"/>
        <v>17.125</v>
      </c>
      <c r="V19" s="3"/>
      <c r="W19" s="3">
        <f t="shared" si="3"/>
        <v>17.13273967</v>
      </c>
      <c r="X19" s="3">
        <f t="shared" si="4"/>
        <v>11.67339673</v>
      </c>
      <c r="Y19" s="3">
        <f t="shared" si="5"/>
        <v>11.61352411</v>
      </c>
      <c r="Z19" s="3">
        <f t="shared" ref="Z19:AA19" si="22">_xlfn.NORM.S.DIST(X19)</f>
        <v>1</v>
      </c>
      <c r="AA19" s="3">
        <f t="shared" si="22"/>
        <v>1</v>
      </c>
    </row>
    <row r="20" ht="14.25" customHeight="1">
      <c r="A20" s="3" t="s">
        <v>162</v>
      </c>
      <c r="B20" s="3" t="s">
        <v>163</v>
      </c>
      <c r="C20" s="3" t="s">
        <v>128</v>
      </c>
      <c r="D20" s="3" t="s">
        <v>29</v>
      </c>
      <c r="E20" s="3">
        <v>17.0</v>
      </c>
      <c r="F20" s="3" t="s">
        <v>27</v>
      </c>
      <c r="G20" s="3">
        <v>15.6</v>
      </c>
      <c r="I20" s="3">
        <v>19.3</v>
      </c>
      <c r="K20" s="3">
        <v>0.0</v>
      </c>
      <c r="L20" s="3">
        <v>0.0</v>
      </c>
      <c r="M20" s="3" t="s">
        <v>48</v>
      </c>
      <c r="N20" s="3">
        <v>0.9964</v>
      </c>
      <c r="O20" s="3">
        <v>0.0</v>
      </c>
      <c r="P20" s="3">
        <v>0.5204</v>
      </c>
      <c r="Q20" s="3">
        <v>0.0</v>
      </c>
      <c r="R20" s="3">
        <v>0.1201</v>
      </c>
      <c r="S20" s="3">
        <v>34.68</v>
      </c>
      <c r="T20" s="3">
        <v>57.0</v>
      </c>
      <c r="U20" s="3">
        <f t="shared" si="2"/>
        <v>17.45</v>
      </c>
      <c r="V20" s="3"/>
      <c r="W20" s="3">
        <f t="shared" si="3"/>
        <v>17.68269145</v>
      </c>
      <c r="X20" s="3">
        <f t="shared" si="4"/>
        <v>12.51317665</v>
      </c>
      <c r="Y20" s="3">
        <f t="shared" si="5"/>
        <v>12.4560577</v>
      </c>
      <c r="Z20" s="3">
        <f t="shared" ref="Z20:AA20" si="23">_xlfn.NORM.S.DIST(X20)</f>
        <v>1</v>
      </c>
      <c r="AA20" s="3">
        <f t="shared" si="23"/>
        <v>1</v>
      </c>
    </row>
    <row r="21" ht="14.25" customHeight="1">
      <c r="A21" s="3" t="s">
        <v>162</v>
      </c>
      <c r="B21" s="3" t="s">
        <v>163</v>
      </c>
      <c r="C21" s="3" t="s">
        <v>128</v>
      </c>
      <c r="D21" s="3" t="s">
        <v>29</v>
      </c>
      <c r="E21" s="3">
        <v>17.0</v>
      </c>
      <c r="F21" s="3" t="s">
        <v>27</v>
      </c>
      <c r="G21" s="3">
        <v>15.55</v>
      </c>
      <c r="I21" s="3">
        <v>19.15</v>
      </c>
      <c r="K21" s="3">
        <v>0.0</v>
      </c>
      <c r="L21" s="3">
        <v>0.0</v>
      </c>
      <c r="M21" s="3" t="s">
        <v>49</v>
      </c>
      <c r="N21" s="3">
        <v>0.9981</v>
      </c>
      <c r="O21" s="3">
        <v>0.0</v>
      </c>
      <c r="P21" s="3">
        <v>0.2477</v>
      </c>
      <c r="Q21" s="3">
        <v>0.0</v>
      </c>
      <c r="R21" s="3">
        <v>0.1213</v>
      </c>
      <c r="S21" s="3">
        <v>34.48</v>
      </c>
      <c r="T21" s="3">
        <v>56.0</v>
      </c>
      <c r="U21" s="3">
        <f t="shared" si="2"/>
        <v>17.35</v>
      </c>
      <c r="V21" s="3"/>
      <c r="W21" s="3">
        <f t="shared" si="3"/>
        <v>17.48264424</v>
      </c>
      <c r="X21" s="3">
        <f t="shared" si="4"/>
        <v>12.39838311</v>
      </c>
      <c r="Y21" s="3">
        <f t="shared" si="5"/>
        <v>12.34120174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162</v>
      </c>
      <c r="B22" s="3" t="s">
        <v>163</v>
      </c>
      <c r="C22" s="3" t="s">
        <v>128</v>
      </c>
      <c r="D22" s="3" t="s">
        <v>29</v>
      </c>
      <c r="E22" s="3">
        <v>17.0</v>
      </c>
      <c r="F22" s="3" t="s">
        <v>27</v>
      </c>
      <c r="G22" s="3">
        <v>15.55</v>
      </c>
      <c r="I22" s="3">
        <v>20.0</v>
      </c>
      <c r="K22" s="3">
        <v>0.0</v>
      </c>
      <c r="L22" s="3">
        <v>0.0</v>
      </c>
      <c r="M22" s="3" t="s">
        <v>50</v>
      </c>
      <c r="N22" s="3">
        <v>0.9981</v>
      </c>
      <c r="O22" s="3">
        <v>0.0</v>
      </c>
      <c r="P22" s="3">
        <v>0.2504</v>
      </c>
      <c r="Q22" s="3">
        <v>0.0</v>
      </c>
      <c r="R22" s="3">
        <v>0.1165</v>
      </c>
      <c r="S22" s="3">
        <v>34.790001</v>
      </c>
      <c r="T22" s="3">
        <v>55.0</v>
      </c>
      <c r="U22" s="3">
        <f t="shared" si="2"/>
        <v>17.775</v>
      </c>
      <c r="V22" s="3"/>
      <c r="W22" s="3">
        <f t="shared" si="3"/>
        <v>17.79259802</v>
      </c>
      <c r="X22" s="3">
        <f t="shared" si="4"/>
        <v>13.18762334</v>
      </c>
      <c r="Y22" s="3">
        <f t="shared" si="5"/>
        <v>13.13319727</v>
      </c>
      <c r="Z22" s="3">
        <f t="shared" ref="Z22:AA22" si="25">_xlfn.NORM.S.DIST(X22)</f>
        <v>1</v>
      </c>
      <c r="AA22" s="3">
        <f t="shared" si="25"/>
        <v>1</v>
      </c>
    </row>
    <row r="23" ht="14.25" customHeight="1">
      <c r="A23" s="3" t="s">
        <v>162</v>
      </c>
      <c r="B23" s="3" t="s">
        <v>163</v>
      </c>
      <c r="C23" s="3" t="s">
        <v>129</v>
      </c>
      <c r="D23" s="3" t="s">
        <v>29</v>
      </c>
      <c r="E23" s="3">
        <v>17.0</v>
      </c>
      <c r="F23" s="3" t="s">
        <v>27</v>
      </c>
      <c r="G23" s="3">
        <v>16.5</v>
      </c>
      <c r="I23" s="3">
        <v>20.05</v>
      </c>
      <c r="K23" s="3">
        <v>0.0</v>
      </c>
      <c r="L23" s="3">
        <v>0.0</v>
      </c>
      <c r="M23" s="3" t="s">
        <v>52</v>
      </c>
      <c r="N23" s="3">
        <v>0.9963</v>
      </c>
      <c r="O23" s="3">
        <v>0.0</v>
      </c>
      <c r="P23" s="3">
        <v>0.5656</v>
      </c>
      <c r="Q23" s="3">
        <v>0.0</v>
      </c>
      <c r="R23" s="3">
        <v>0.1178</v>
      </c>
      <c r="S23" s="3">
        <v>35.509998</v>
      </c>
      <c r="T23" s="3">
        <v>54.0</v>
      </c>
      <c r="U23" s="3">
        <f t="shared" si="2"/>
        <v>18.275</v>
      </c>
      <c r="V23" s="3"/>
      <c r="W23" s="3">
        <f t="shared" si="3"/>
        <v>18.51254781</v>
      </c>
      <c r="X23" s="3">
        <f t="shared" si="4"/>
        <v>13.53799501</v>
      </c>
      <c r="Y23" s="3">
        <f t="shared" si="5"/>
        <v>13.48346421</v>
      </c>
      <c r="Z23" s="3">
        <f t="shared" ref="Z23:AA23" si="26">_xlfn.NORM.S.DIST(X23)</f>
        <v>1</v>
      </c>
      <c r="AA23" s="3">
        <f t="shared" si="26"/>
        <v>1</v>
      </c>
    </row>
    <row r="24" ht="14.25" customHeight="1">
      <c r="A24" s="3" t="s">
        <v>162</v>
      </c>
      <c r="B24" s="3" t="s">
        <v>163</v>
      </c>
      <c r="C24" s="3" t="s">
        <v>129</v>
      </c>
      <c r="D24" s="3" t="s">
        <v>29</v>
      </c>
      <c r="E24" s="3">
        <v>17.0</v>
      </c>
      <c r="F24" s="3" t="s">
        <v>27</v>
      </c>
      <c r="G24" s="3">
        <v>16.45</v>
      </c>
      <c r="I24" s="3">
        <v>19.9</v>
      </c>
      <c r="K24" s="3">
        <v>0.0</v>
      </c>
      <c r="L24" s="3">
        <v>0.0</v>
      </c>
      <c r="M24" s="3" t="s">
        <v>53</v>
      </c>
      <c r="N24" s="3">
        <v>0.9982</v>
      </c>
      <c r="O24" s="3">
        <v>0.0</v>
      </c>
      <c r="P24" s="3">
        <v>0.268</v>
      </c>
      <c r="Q24" s="3">
        <v>0.0</v>
      </c>
      <c r="R24" s="3">
        <v>0.1259</v>
      </c>
      <c r="S24" s="3">
        <v>35.23</v>
      </c>
      <c r="T24" s="3">
        <v>53.0</v>
      </c>
      <c r="U24" s="3">
        <f t="shared" si="2"/>
        <v>18.175</v>
      </c>
      <c r="V24" s="3"/>
      <c r="W24" s="3">
        <f t="shared" si="3"/>
        <v>18.23250259</v>
      </c>
      <c r="X24" s="3">
        <f t="shared" si="4"/>
        <v>12.65190918</v>
      </c>
      <c r="Y24" s="3">
        <f t="shared" si="5"/>
        <v>12.59417096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162</v>
      </c>
      <c r="B25" s="3" t="s">
        <v>163</v>
      </c>
      <c r="C25" s="3" t="s">
        <v>129</v>
      </c>
      <c r="D25" s="3" t="s">
        <v>29</v>
      </c>
      <c r="E25" s="3">
        <v>17.0</v>
      </c>
      <c r="F25" s="3" t="s">
        <v>27</v>
      </c>
      <c r="G25" s="3">
        <v>16.8</v>
      </c>
      <c r="I25" s="3">
        <v>20.05</v>
      </c>
      <c r="K25" s="3">
        <v>0.0</v>
      </c>
      <c r="L25" s="3">
        <v>0.0</v>
      </c>
      <c r="M25" s="3" t="s">
        <v>54</v>
      </c>
      <c r="N25" s="3">
        <v>0.9961</v>
      </c>
      <c r="O25" s="3">
        <v>1.0E-4</v>
      </c>
      <c r="P25" s="3">
        <v>0.5662</v>
      </c>
      <c r="Q25" s="3">
        <v>0.0165</v>
      </c>
      <c r="R25" s="3">
        <v>0.4872</v>
      </c>
      <c r="S25" s="3">
        <v>35.349998</v>
      </c>
      <c r="T25" s="3">
        <v>52.0</v>
      </c>
      <c r="U25" s="3">
        <f t="shared" si="2"/>
        <v>18.425</v>
      </c>
      <c r="V25" s="3"/>
      <c r="W25" s="3">
        <f t="shared" si="3"/>
        <v>18.35311811</v>
      </c>
      <c r="X25" s="3">
        <f t="shared" si="4"/>
        <v>3.419213046</v>
      </c>
      <c r="Y25" s="3">
        <f t="shared" si="5"/>
        <v>3.197899151</v>
      </c>
      <c r="Z25" s="3">
        <f t="shared" ref="Z25:AA25" si="28">_xlfn.NORM.S.DIST(X25)</f>
        <v>0.9996859873</v>
      </c>
      <c r="AA25" s="3">
        <f t="shared" si="28"/>
        <v>0.9993078366</v>
      </c>
    </row>
    <row r="26" ht="14.25" customHeight="1">
      <c r="A26" s="3" t="s">
        <v>162</v>
      </c>
      <c r="B26" s="3" t="s">
        <v>163</v>
      </c>
      <c r="C26" s="3" t="s">
        <v>129</v>
      </c>
      <c r="D26" s="3" t="s">
        <v>29</v>
      </c>
      <c r="E26" s="3">
        <v>17.0</v>
      </c>
      <c r="F26" s="3" t="s">
        <v>27</v>
      </c>
      <c r="G26" s="3">
        <v>16.6</v>
      </c>
      <c r="I26" s="3">
        <v>19.9</v>
      </c>
      <c r="K26" s="3">
        <v>0.0</v>
      </c>
      <c r="L26" s="3">
        <v>0.0</v>
      </c>
      <c r="M26" s="3" t="s">
        <v>55</v>
      </c>
      <c r="N26" s="3">
        <v>0.9963</v>
      </c>
      <c r="O26" s="3">
        <v>0.0</v>
      </c>
      <c r="P26" s="3">
        <v>0.6147</v>
      </c>
      <c r="Q26" s="3">
        <v>0.0</v>
      </c>
      <c r="R26" s="3">
        <v>0.1237</v>
      </c>
      <c r="S26" s="3">
        <v>35.43</v>
      </c>
      <c r="T26" s="3">
        <v>51.0</v>
      </c>
      <c r="U26" s="3">
        <f t="shared" si="2"/>
        <v>18.25</v>
      </c>
      <c r="V26" s="3"/>
      <c r="W26" s="3">
        <f t="shared" si="3"/>
        <v>18.43240816</v>
      </c>
      <c r="X26" s="3">
        <f t="shared" si="4"/>
        <v>13.2264812</v>
      </c>
      <c r="Y26" s="3">
        <f t="shared" si="5"/>
        <v>13.17083257</v>
      </c>
      <c r="Z26" s="3">
        <f t="shared" ref="Z26:AA26" si="29">_xlfn.NORM.S.DIST(X26)</f>
        <v>1</v>
      </c>
      <c r="AA26" s="3">
        <f t="shared" si="29"/>
        <v>1</v>
      </c>
    </row>
    <row r="27" ht="14.25" customHeight="1">
      <c r="A27" s="3" t="s">
        <v>162</v>
      </c>
      <c r="B27" s="3" t="s">
        <v>163</v>
      </c>
      <c r="C27" s="3" t="s">
        <v>129</v>
      </c>
      <c r="D27" s="3" t="s">
        <v>29</v>
      </c>
      <c r="E27" s="3">
        <v>17.0</v>
      </c>
      <c r="F27" s="3" t="s">
        <v>27</v>
      </c>
      <c r="G27" s="3">
        <v>16.4</v>
      </c>
      <c r="I27" s="3">
        <v>19.75</v>
      </c>
      <c r="K27" s="3">
        <v>0.0</v>
      </c>
      <c r="L27" s="3">
        <v>0.0</v>
      </c>
      <c r="M27" s="3" t="s">
        <v>56</v>
      </c>
      <c r="N27" s="3">
        <v>0.9961</v>
      </c>
      <c r="O27" s="3">
        <v>0.0</v>
      </c>
      <c r="P27" s="3">
        <v>0.6475</v>
      </c>
      <c r="Q27" s="3">
        <v>0.0</v>
      </c>
      <c r="R27" s="3">
        <v>0.1295</v>
      </c>
      <c r="S27" s="3">
        <v>35.27</v>
      </c>
      <c r="T27" s="3">
        <v>50.0</v>
      </c>
      <c r="U27" s="3">
        <f t="shared" si="2"/>
        <v>18.075</v>
      </c>
      <c r="V27" s="3"/>
      <c r="W27" s="3">
        <f t="shared" si="3"/>
        <v>18.27236095</v>
      </c>
      <c r="X27" s="3">
        <f t="shared" si="4"/>
        <v>12.68329982</v>
      </c>
      <c r="Y27" s="3">
        <f t="shared" si="5"/>
        <v>12.62561593</v>
      </c>
      <c r="Z27" s="3">
        <f t="shared" ref="Z27:AA27" si="30">_xlfn.NORM.S.DIST(X27)</f>
        <v>1</v>
      </c>
      <c r="AA27" s="3">
        <f t="shared" si="30"/>
        <v>1</v>
      </c>
    </row>
    <row r="28" ht="14.25" customHeight="1">
      <c r="A28" s="3" t="s">
        <v>162</v>
      </c>
      <c r="B28" s="3" t="s">
        <v>163</v>
      </c>
      <c r="C28" s="3" t="s">
        <v>129</v>
      </c>
      <c r="D28" s="3" t="s">
        <v>29</v>
      </c>
      <c r="E28" s="3">
        <v>17.0</v>
      </c>
      <c r="F28" s="3" t="s">
        <v>27</v>
      </c>
      <c r="G28" s="3">
        <v>16.1</v>
      </c>
      <c r="I28" s="3">
        <v>20.55</v>
      </c>
      <c r="K28" s="3">
        <v>0.0</v>
      </c>
      <c r="L28" s="3">
        <v>0.0</v>
      </c>
      <c r="M28" s="3" t="s">
        <v>57</v>
      </c>
      <c r="N28" s="3">
        <v>0.9962</v>
      </c>
      <c r="O28" s="3">
        <v>0.0</v>
      </c>
      <c r="P28" s="3">
        <v>0.6385</v>
      </c>
      <c r="Q28" s="3">
        <v>0.0</v>
      </c>
      <c r="R28" s="3">
        <v>0.1128</v>
      </c>
      <c r="S28" s="3">
        <v>35.27</v>
      </c>
      <c r="T28" s="3">
        <v>49.0</v>
      </c>
      <c r="U28" s="3">
        <f t="shared" si="2"/>
        <v>18.325</v>
      </c>
      <c r="V28" s="3"/>
      <c r="W28" s="3">
        <f t="shared" si="3"/>
        <v>18.27231373</v>
      </c>
      <c r="X28" s="3">
        <f t="shared" si="4"/>
        <v>14.70025571</v>
      </c>
      <c r="Y28" s="3">
        <f t="shared" si="5"/>
        <v>14.65051558</v>
      </c>
      <c r="Z28" s="3">
        <f t="shared" ref="Z28:AA28" si="31">_xlfn.NORM.S.DIST(X28)</f>
        <v>1</v>
      </c>
      <c r="AA28" s="3">
        <f t="shared" si="31"/>
        <v>1</v>
      </c>
    </row>
    <row r="29" ht="14.25" customHeight="1">
      <c r="A29" s="3" t="s">
        <v>162</v>
      </c>
      <c r="B29" s="3" t="s">
        <v>163</v>
      </c>
      <c r="C29" s="3" t="s">
        <v>129</v>
      </c>
      <c r="D29" s="3" t="s">
        <v>29</v>
      </c>
      <c r="E29" s="3">
        <v>17.0</v>
      </c>
      <c r="F29" s="3" t="s">
        <v>27</v>
      </c>
      <c r="G29" s="3">
        <v>16.0</v>
      </c>
      <c r="I29" s="3">
        <v>20.35</v>
      </c>
      <c r="K29" s="3">
        <v>0.0</v>
      </c>
      <c r="L29" s="3">
        <v>0.0</v>
      </c>
      <c r="M29" s="3" t="s">
        <v>58</v>
      </c>
      <c r="N29" s="3">
        <v>0.9959</v>
      </c>
      <c r="O29" s="3">
        <v>0.0</v>
      </c>
      <c r="P29" s="3">
        <v>0.732</v>
      </c>
      <c r="Q29" s="3">
        <v>0.0</v>
      </c>
      <c r="R29" s="3">
        <v>0.117</v>
      </c>
      <c r="S29" s="3">
        <v>35.23</v>
      </c>
      <c r="T29" s="3">
        <v>48.0</v>
      </c>
      <c r="U29" s="3">
        <f t="shared" si="2"/>
        <v>18.175</v>
      </c>
      <c r="V29" s="3"/>
      <c r="W29" s="3">
        <f t="shared" si="3"/>
        <v>18.23226652</v>
      </c>
      <c r="X29" s="3">
        <f t="shared" si="4"/>
        <v>14.29845273</v>
      </c>
      <c r="Y29" s="3">
        <f t="shared" si="5"/>
        <v>14.24738974</v>
      </c>
      <c r="Z29" s="3">
        <f t="shared" ref="Z29:AA29" si="32">_xlfn.NORM.S.DIST(X29)</f>
        <v>1</v>
      </c>
      <c r="AA29" s="3">
        <f t="shared" si="32"/>
        <v>1</v>
      </c>
    </row>
    <row r="30" ht="14.25" customHeight="1">
      <c r="A30" s="3" t="s">
        <v>162</v>
      </c>
      <c r="B30" s="3" t="s">
        <v>163</v>
      </c>
      <c r="C30" s="3" t="s">
        <v>129</v>
      </c>
      <c r="D30" s="3" t="s">
        <v>29</v>
      </c>
      <c r="E30" s="3">
        <v>17.0</v>
      </c>
      <c r="F30" s="3" t="s">
        <v>27</v>
      </c>
      <c r="G30" s="3">
        <v>16.65</v>
      </c>
      <c r="I30" s="3">
        <v>20.1</v>
      </c>
      <c r="K30" s="3">
        <v>0.0</v>
      </c>
      <c r="L30" s="3">
        <v>0.0</v>
      </c>
      <c r="M30" s="3" t="s">
        <v>59</v>
      </c>
      <c r="N30" s="3">
        <v>0.9958</v>
      </c>
      <c r="O30" s="3">
        <v>0.0</v>
      </c>
      <c r="P30" s="3">
        <v>0.7699</v>
      </c>
      <c r="Q30" s="3">
        <v>0.0</v>
      </c>
      <c r="R30" s="3">
        <v>0.1149</v>
      </c>
      <c r="S30" s="3">
        <v>35.599998</v>
      </c>
      <c r="T30" s="3">
        <v>47.0</v>
      </c>
      <c r="U30" s="3">
        <f t="shared" si="2"/>
        <v>18.375</v>
      </c>
      <c r="V30" s="3"/>
      <c r="W30" s="3">
        <f t="shared" si="3"/>
        <v>18.6022173</v>
      </c>
      <c r="X30" s="3">
        <f t="shared" si="4"/>
        <v>14.92288586</v>
      </c>
      <c r="Y30" s="3">
        <f t="shared" si="5"/>
        <v>14.8732645</v>
      </c>
      <c r="Z30" s="3">
        <f t="shared" ref="Z30:AA30" si="33">_xlfn.NORM.S.DIST(X30)</f>
        <v>1</v>
      </c>
      <c r="AA30" s="3">
        <f t="shared" si="33"/>
        <v>1</v>
      </c>
    </row>
    <row r="31" ht="14.25" customHeight="1">
      <c r="A31" s="3" t="s">
        <v>162</v>
      </c>
      <c r="B31" s="3" t="s">
        <v>163</v>
      </c>
      <c r="C31" s="3" t="s">
        <v>129</v>
      </c>
      <c r="D31" s="3" t="s">
        <v>29</v>
      </c>
      <c r="E31" s="3">
        <v>17.0</v>
      </c>
      <c r="F31" s="3" t="s">
        <v>27</v>
      </c>
      <c r="G31" s="3">
        <v>16.95</v>
      </c>
      <c r="I31" s="3">
        <v>20.25</v>
      </c>
      <c r="K31" s="3">
        <v>0.0</v>
      </c>
      <c r="L31" s="3">
        <v>0.0</v>
      </c>
      <c r="M31" s="3" t="s">
        <v>60</v>
      </c>
      <c r="N31" s="3">
        <v>0.9958</v>
      </c>
      <c r="O31" s="3">
        <v>0.0</v>
      </c>
      <c r="P31" s="3">
        <v>0.7738</v>
      </c>
      <c r="Q31" s="3">
        <v>0.0</v>
      </c>
      <c r="R31" s="3">
        <v>0.1176</v>
      </c>
      <c r="S31" s="3">
        <v>35.419998</v>
      </c>
      <c r="T31" s="3">
        <v>46.0</v>
      </c>
      <c r="U31" s="3">
        <f t="shared" si="2"/>
        <v>18.6</v>
      </c>
      <c r="V31" s="3"/>
      <c r="W31" s="3">
        <f t="shared" si="3"/>
        <v>18.42217008</v>
      </c>
      <c r="X31" s="3">
        <f t="shared" si="4"/>
        <v>14.63757401</v>
      </c>
      <c r="Y31" s="3">
        <f t="shared" si="5"/>
        <v>14.58732981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162</v>
      </c>
      <c r="B32" s="3" t="s">
        <v>163</v>
      </c>
      <c r="C32" s="3" t="s">
        <v>129</v>
      </c>
      <c r="D32" s="3" t="s">
        <v>29</v>
      </c>
      <c r="E32" s="3">
        <v>17.0</v>
      </c>
      <c r="F32" s="3" t="s">
        <v>27</v>
      </c>
      <c r="G32" s="3">
        <v>16.6</v>
      </c>
      <c r="I32" s="3">
        <v>19.0</v>
      </c>
      <c r="K32" s="3">
        <v>0.0</v>
      </c>
      <c r="L32" s="3">
        <v>0.0</v>
      </c>
      <c r="M32" s="3" t="s">
        <v>61</v>
      </c>
      <c r="N32" s="3">
        <v>0.9959</v>
      </c>
      <c r="O32" s="3">
        <v>0.0</v>
      </c>
      <c r="P32" s="3">
        <v>0.7789</v>
      </c>
      <c r="Q32" s="3">
        <v>0.0</v>
      </c>
      <c r="R32" s="3">
        <v>0.1203</v>
      </c>
      <c r="S32" s="3">
        <v>35.290001</v>
      </c>
      <c r="T32" s="3">
        <v>45.0</v>
      </c>
      <c r="U32" s="3">
        <f t="shared" si="2"/>
        <v>17.8</v>
      </c>
      <c r="V32" s="3"/>
      <c r="W32" s="3">
        <f t="shared" si="3"/>
        <v>18.29212587</v>
      </c>
      <c r="X32" s="3">
        <f t="shared" si="4"/>
        <v>14.39537068</v>
      </c>
      <c r="Y32" s="3">
        <f t="shared" si="5"/>
        <v>14.34453465</v>
      </c>
      <c r="Z32" s="3">
        <f t="shared" ref="Z32:AA32" si="35">_xlfn.NORM.S.DIST(X32)</f>
        <v>1</v>
      </c>
      <c r="AA32" s="3">
        <f t="shared" si="35"/>
        <v>1</v>
      </c>
    </row>
    <row r="33" ht="14.25" customHeight="1">
      <c r="A33" s="3" t="s">
        <v>162</v>
      </c>
      <c r="B33" s="3" t="s">
        <v>163</v>
      </c>
      <c r="C33" s="3" t="s">
        <v>129</v>
      </c>
      <c r="D33" s="3" t="s">
        <v>29</v>
      </c>
      <c r="E33" s="3">
        <v>17.0</v>
      </c>
      <c r="F33" s="3" t="s">
        <v>27</v>
      </c>
      <c r="G33" s="3">
        <v>16.7</v>
      </c>
      <c r="I33" s="3">
        <v>19.8</v>
      </c>
      <c r="K33" s="3">
        <v>0.0</v>
      </c>
      <c r="L33" s="3">
        <v>0.0</v>
      </c>
      <c r="M33" s="3" t="s">
        <v>62</v>
      </c>
      <c r="N33" s="3">
        <v>0.9958</v>
      </c>
      <c r="O33" s="3">
        <v>0.0</v>
      </c>
      <c r="P33" s="3">
        <v>0.7987</v>
      </c>
      <c r="Q33" s="3">
        <v>0.0</v>
      </c>
      <c r="R33" s="3">
        <v>0.1188</v>
      </c>
      <c r="S33" s="3">
        <v>35.360001</v>
      </c>
      <c r="T33" s="3">
        <v>44.0</v>
      </c>
      <c r="U33" s="3">
        <f t="shared" si="2"/>
        <v>18.25</v>
      </c>
      <c r="V33" s="3"/>
      <c r="W33" s="3">
        <f t="shared" si="3"/>
        <v>18.36207865</v>
      </c>
      <c r="X33" s="3">
        <f t="shared" si="4"/>
        <v>14.78050227</v>
      </c>
      <c r="Y33" s="3">
        <f t="shared" si="5"/>
        <v>14.73086104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162</v>
      </c>
      <c r="B34" s="3" t="s">
        <v>163</v>
      </c>
      <c r="C34" s="3" t="s">
        <v>129</v>
      </c>
      <c r="D34" s="3" t="s">
        <v>29</v>
      </c>
      <c r="E34" s="3">
        <v>17.0</v>
      </c>
      <c r="F34" s="3" t="s">
        <v>27</v>
      </c>
      <c r="G34" s="3">
        <v>16.8</v>
      </c>
      <c r="I34" s="3">
        <v>20.25</v>
      </c>
      <c r="K34" s="3">
        <v>0.0</v>
      </c>
      <c r="L34" s="3">
        <v>0.0</v>
      </c>
      <c r="M34" s="3" t="s">
        <v>63</v>
      </c>
      <c r="N34" s="3">
        <v>0.998</v>
      </c>
      <c r="O34" s="3">
        <v>0.0</v>
      </c>
      <c r="P34" s="3">
        <v>0.3885</v>
      </c>
      <c r="Q34" s="3">
        <v>0.0</v>
      </c>
      <c r="R34" s="3">
        <v>0.2645</v>
      </c>
      <c r="S34" s="3">
        <v>35.669998</v>
      </c>
      <c r="T34" s="3">
        <v>43.0</v>
      </c>
      <c r="U34" s="3">
        <f t="shared" si="2"/>
        <v>18.525</v>
      </c>
      <c r="V34" s="3"/>
      <c r="W34" s="3">
        <f t="shared" si="3"/>
        <v>18.67202843</v>
      </c>
      <c r="X34" s="3">
        <f t="shared" si="4"/>
        <v>6.838619464</v>
      </c>
      <c r="Y34" s="3">
        <f t="shared" si="5"/>
        <v>6.729359857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162</v>
      </c>
      <c r="B35" s="3" t="s">
        <v>163</v>
      </c>
      <c r="C35" s="3" t="s">
        <v>129</v>
      </c>
      <c r="D35" s="3" t="s">
        <v>29</v>
      </c>
      <c r="E35" s="3">
        <v>17.0</v>
      </c>
      <c r="F35" s="3" t="s">
        <v>27</v>
      </c>
      <c r="G35" s="3">
        <v>17.05</v>
      </c>
      <c r="I35" s="3">
        <v>20.45</v>
      </c>
      <c r="K35" s="3">
        <v>0.0</v>
      </c>
      <c r="L35" s="3">
        <v>0.0</v>
      </c>
      <c r="M35" s="3" t="s">
        <v>64</v>
      </c>
      <c r="N35" s="3">
        <v>1.0</v>
      </c>
      <c r="O35" s="3">
        <v>0.0</v>
      </c>
      <c r="P35" s="3">
        <v>-0.0494</v>
      </c>
      <c r="Q35" s="3">
        <v>0.0</v>
      </c>
      <c r="R35" s="3">
        <v>0.188</v>
      </c>
      <c r="S35" s="3">
        <v>35.470001</v>
      </c>
      <c r="T35" s="3">
        <v>42.0</v>
      </c>
      <c r="U35" s="3">
        <f t="shared" si="2"/>
        <v>18.75</v>
      </c>
      <c r="V35" s="3"/>
      <c r="W35" s="3">
        <f t="shared" si="3"/>
        <v>18.47198422</v>
      </c>
      <c r="X35" s="3">
        <f t="shared" si="4"/>
        <v>9.622533199</v>
      </c>
      <c r="Y35" s="3">
        <f t="shared" si="5"/>
        <v>9.54578252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162</v>
      </c>
      <c r="B36" s="3" t="s">
        <v>163</v>
      </c>
      <c r="C36" s="3" t="s">
        <v>129</v>
      </c>
      <c r="D36" s="3" t="s">
        <v>29</v>
      </c>
      <c r="E36" s="3">
        <v>17.0</v>
      </c>
      <c r="F36" s="3" t="s">
        <v>27</v>
      </c>
      <c r="G36" s="3">
        <v>16.45</v>
      </c>
      <c r="I36" s="3">
        <v>20.4</v>
      </c>
      <c r="K36" s="3">
        <v>0.0</v>
      </c>
      <c r="L36" s="3">
        <v>0.0</v>
      </c>
      <c r="M36" s="3" t="s">
        <v>65</v>
      </c>
      <c r="N36" s="3">
        <v>1.0</v>
      </c>
      <c r="O36" s="3">
        <v>0.0</v>
      </c>
      <c r="P36" s="3">
        <v>-0.0494</v>
      </c>
      <c r="Q36" s="3">
        <v>0.0</v>
      </c>
      <c r="R36" s="3">
        <v>0.1899</v>
      </c>
      <c r="S36" s="3">
        <v>35.43</v>
      </c>
      <c r="T36" s="3">
        <v>41.0</v>
      </c>
      <c r="U36" s="3">
        <f t="shared" si="2"/>
        <v>18.425</v>
      </c>
      <c r="V36" s="3"/>
      <c r="W36" s="3">
        <f t="shared" si="3"/>
        <v>18.431936</v>
      </c>
      <c r="X36" s="3">
        <f t="shared" si="4"/>
        <v>9.626810761</v>
      </c>
      <c r="Y36" s="3">
        <f t="shared" si="5"/>
        <v>9.550212903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162</v>
      </c>
      <c r="B37" s="3" t="s">
        <v>163</v>
      </c>
      <c r="C37" s="3" t="s">
        <v>129</v>
      </c>
      <c r="D37" s="3" t="s">
        <v>29</v>
      </c>
      <c r="E37" s="3">
        <v>17.0</v>
      </c>
      <c r="F37" s="3" t="s">
        <v>27</v>
      </c>
      <c r="G37" s="3">
        <v>16.75</v>
      </c>
      <c r="I37" s="3">
        <v>20.15</v>
      </c>
      <c r="K37" s="3">
        <v>0.0</v>
      </c>
      <c r="L37" s="3">
        <v>0.0</v>
      </c>
      <c r="M37" s="3" t="s">
        <v>66</v>
      </c>
      <c r="N37" s="3">
        <v>0.998</v>
      </c>
      <c r="O37" s="3">
        <v>0.0</v>
      </c>
      <c r="P37" s="3">
        <v>0.4189</v>
      </c>
      <c r="Q37" s="3">
        <v>0.0</v>
      </c>
      <c r="R37" s="3">
        <v>0.2872</v>
      </c>
      <c r="S37" s="3">
        <v>35.68</v>
      </c>
      <c r="T37" s="3">
        <v>40.0</v>
      </c>
      <c r="U37" s="3">
        <f t="shared" si="2"/>
        <v>18.45</v>
      </c>
      <c r="V37" s="3"/>
      <c r="W37" s="3">
        <f t="shared" si="3"/>
        <v>18.68188878</v>
      </c>
      <c r="X37" s="3">
        <f t="shared" si="4"/>
        <v>6.537435485</v>
      </c>
      <c r="Y37" s="3">
        <f t="shared" si="5"/>
        <v>6.423012266</v>
      </c>
      <c r="Z37" s="3">
        <f t="shared" ref="Z37:AA37" si="40">_xlfn.NORM.S.DIST(X37)</f>
        <v>1</v>
      </c>
      <c r="AA37" s="3">
        <f t="shared" si="40"/>
        <v>0.9999999999</v>
      </c>
    </row>
    <row r="38" ht="14.25" customHeight="1">
      <c r="A38" s="3" t="s">
        <v>162</v>
      </c>
      <c r="B38" s="3" t="s">
        <v>163</v>
      </c>
      <c r="C38" s="3" t="s">
        <v>129</v>
      </c>
      <c r="D38" s="3" t="s">
        <v>29</v>
      </c>
      <c r="E38" s="3">
        <v>17.0</v>
      </c>
      <c r="F38" s="3" t="s">
        <v>27</v>
      </c>
      <c r="G38" s="3">
        <v>16.85</v>
      </c>
      <c r="I38" s="3">
        <v>19.85</v>
      </c>
      <c r="K38" s="3">
        <v>0.0</v>
      </c>
      <c r="L38" s="3">
        <v>0.0</v>
      </c>
      <c r="M38" s="3" t="s">
        <v>67</v>
      </c>
      <c r="N38" s="3">
        <v>0.9979</v>
      </c>
      <c r="O38" s="3">
        <v>0.0</v>
      </c>
      <c r="P38" s="3">
        <v>0.4534</v>
      </c>
      <c r="Q38" s="3">
        <v>0.0</v>
      </c>
      <c r="R38" s="3">
        <v>0.1396</v>
      </c>
      <c r="S38" s="3">
        <v>35.189999</v>
      </c>
      <c r="T38" s="3">
        <v>39.0</v>
      </c>
      <c r="U38" s="3">
        <f t="shared" si="2"/>
        <v>18.35</v>
      </c>
      <c r="V38" s="3"/>
      <c r="W38" s="3">
        <f t="shared" si="3"/>
        <v>18.19184057</v>
      </c>
      <c r="X38" s="3">
        <f t="shared" si="4"/>
        <v>13.27725566</v>
      </c>
      <c r="Y38" s="3">
        <f t="shared" si="5"/>
        <v>13.22233732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162</v>
      </c>
      <c r="B39" s="3" t="s">
        <v>163</v>
      </c>
      <c r="C39" s="3" t="s">
        <v>129</v>
      </c>
      <c r="D39" s="3" t="s">
        <v>29</v>
      </c>
      <c r="E39" s="3">
        <v>17.0</v>
      </c>
      <c r="F39" s="3" t="s">
        <v>27</v>
      </c>
      <c r="G39" s="3">
        <v>16.9</v>
      </c>
      <c r="I39" s="3">
        <v>20.15</v>
      </c>
      <c r="K39" s="3">
        <v>0.0</v>
      </c>
      <c r="L39" s="3">
        <v>0.0</v>
      </c>
      <c r="M39" s="3" t="s">
        <v>68</v>
      </c>
      <c r="N39" s="3">
        <v>0.9924</v>
      </c>
      <c r="O39" s="3">
        <v>0.001</v>
      </c>
      <c r="P39" s="3">
        <v>0.5875</v>
      </c>
      <c r="Q39" s="3">
        <v>0.1409</v>
      </c>
      <c r="R39" s="3">
        <v>0.7576</v>
      </c>
      <c r="S39" s="3">
        <v>35.490002</v>
      </c>
      <c r="T39" s="3">
        <v>38.0</v>
      </c>
      <c r="U39" s="3">
        <f t="shared" si="2"/>
        <v>18.525</v>
      </c>
      <c r="V39" s="3"/>
      <c r="W39" s="3">
        <f t="shared" si="3"/>
        <v>18.5060483</v>
      </c>
      <c r="X39" s="3">
        <f t="shared" si="4"/>
        <v>2.649346983</v>
      </c>
      <c r="Y39" s="3">
        <f t="shared" si="5"/>
        <v>2.355154553</v>
      </c>
      <c r="Z39" s="3">
        <f t="shared" ref="Z39:AA39" si="42">_xlfn.NORM.S.DIST(X39)</f>
        <v>0.9959676258</v>
      </c>
      <c r="AA39" s="3">
        <f t="shared" si="42"/>
        <v>0.9907424984</v>
      </c>
    </row>
    <row r="40" ht="14.25" customHeight="1">
      <c r="A40" s="3" t="s">
        <v>162</v>
      </c>
      <c r="B40" s="3" t="s">
        <v>163</v>
      </c>
      <c r="C40" s="3" t="s">
        <v>129</v>
      </c>
      <c r="D40" s="3" t="s">
        <v>29</v>
      </c>
      <c r="E40" s="3">
        <v>17.0</v>
      </c>
      <c r="F40" s="3" t="s">
        <v>27</v>
      </c>
      <c r="G40" s="3">
        <v>16.9</v>
      </c>
      <c r="I40" s="3">
        <v>20.35</v>
      </c>
      <c r="K40" s="3">
        <v>0.0</v>
      </c>
      <c r="L40" s="3">
        <v>0.0</v>
      </c>
      <c r="M40" s="3" t="s">
        <v>69</v>
      </c>
      <c r="N40" s="3">
        <v>0.996</v>
      </c>
      <c r="O40" s="3">
        <v>0.0</v>
      </c>
      <c r="P40" s="3">
        <v>0.9739</v>
      </c>
      <c r="Q40" s="3">
        <v>0.0</v>
      </c>
      <c r="R40" s="3">
        <v>0.3363</v>
      </c>
      <c r="S40" s="3">
        <v>35.849998</v>
      </c>
      <c r="T40" s="3">
        <v>37.0</v>
      </c>
      <c r="U40" s="3">
        <f t="shared" si="2"/>
        <v>18.625</v>
      </c>
      <c r="V40" s="3"/>
      <c r="W40" s="3">
        <f t="shared" si="3"/>
        <v>18.85174513</v>
      </c>
      <c r="X40" s="3">
        <f t="shared" si="4"/>
        <v>5.855343307</v>
      </c>
      <c r="Y40" s="3">
        <f t="shared" si="5"/>
        <v>5.726480539</v>
      </c>
      <c r="Z40" s="3">
        <f t="shared" ref="Z40:AA40" si="43">_xlfn.NORM.S.DIST(X40)</f>
        <v>0.9999999976</v>
      </c>
      <c r="AA40" s="3">
        <f t="shared" si="43"/>
        <v>0.9999999949</v>
      </c>
    </row>
    <row r="41" ht="14.25" customHeight="1">
      <c r="A41" s="3" t="s">
        <v>162</v>
      </c>
      <c r="B41" s="3" t="s">
        <v>163</v>
      </c>
      <c r="C41" s="3" t="s">
        <v>129</v>
      </c>
      <c r="D41" s="3" t="s">
        <v>29</v>
      </c>
      <c r="E41" s="3">
        <v>17.0</v>
      </c>
      <c r="F41" s="3" t="s">
        <v>27</v>
      </c>
      <c r="G41" s="3">
        <v>17.2</v>
      </c>
      <c r="I41" s="3">
        <v>20.75</v>
      </c>
      <c r="K41" s="3">
        <v>0.0</v>
      </c>
      <c r="L41" s="3">
        <v>0.0</v>
      </c>
      <c r="M41" s="3" t="s">
        <v>70</v>
      </c>
      <c r="N41" s="3">
        <v>0.9588</v>
      </c>
      <c r="O41" s="3">
        <v>0.0047</v>
      </c>
      <c r="P41" s="3">
        <v>-4.1436</v>
      </c>
      <c r="Q41" s="3">
        <v>1.0817</v>
      </c>
      <c r="R41" s="3">
        <v>1.3003</v>
      </c>
      <c r="S41" s="3">
        <v>35.91</v>
      </c>
      <c r="T41" s="3">
        <v>36.0</v>
      </c>
      <c r="U41" s="3">
        <f t="shared" si="2"/>
        <v>18.975</v>
      </c>
      <c r="V41" s="3"/>
      <c r="W41" s="3">
        <f t="shared" si="3"/>
        <v>19.24292162</v>
      </c>
      <c r="X41" s="3">
        <f t="shared" si="4"/>
        <v>1.76750852</v>
      </c>
      <c r="Y41" s="3">
        <f t="shared" si="5"/>
        <v>1.276041315</v>
      </c>
      <c r="Z41" s="3">
        <f t="shared" ref="Z41:AA41" si="44">_xlfn.NORM.S.DIST(X41)</f>
        <v>0.9614284483</v>
      </c>
      <c r="AA41" s="3">
        <f t="shared" si="44"/>
        <v>0.8990295427</v>
      </c>
    </row>
    <row r="42" ht="14.25" customHeight="1">
      <c r="A42" s="3" t="s">
        <v>162</v>
      </c>
      <c r="B42" s="3" t="s">
        <v>163</v>
      </c>
      <c r="C42" s="3" t="s">
        <v>129</v>
      </c>
      <c r="D42" s="3" t="s">
        <v>29</v>
      </c>
      <c r="E42" s="3">
        <v>17.0</v>
      </c>
      <c r="F42" s="3" t="s">
        <v>27</v>
      </c>
      <c r="G42" s="3">
        <v>17.15</v>
      </c>
      <c r="I42" s="3">
        <v>20.75</v>
      </c>
      <c r="K42" s="3">
        <v>0.0</v>
      </c>
      <c r="L42" s="3">
        <v>0.0</v>
      </c>
      <c r="M42" s="3" t="s">
        <v>71</v>
      </c>
      <c r="N42" s="3">
        <v>0.996</v>
      </c>
      <c r="O42" s="3">
        <v>0.0</v>
      </c>
      <c r="P42" s="3">
        <v>1.0088</v>
      </c>
      <c r="Q42" s="3">
        <v>0.0</v>
      </c>
      <c r="R42" s="3">
        <v>0.3559</v>
      </c>
      <c r="S42" s="3">
        <v>36.009998</v>
      </c>
      <c r="T42" s="3">
        <v>35.0</v>
      </c>
      <c r="U42" s="3">
        <f t="shared" si="2"/>
        <v>18.95</v>
      </c>
      <c r="V42" s="3"/>
      <c r="W42" s="3">
        <f t="shared" si="3"/>
        <v>19.0116507</v>
      </c>
      <c r="X42" s="3">
        <f t="shared" si="4"/>
        <v>5.726017835</v>
      </c>
      <c r="Y42" s="3">
        <f t="shared" si="5"/>
        <v>5.593381736</v>
      </c>
      <c r="Z42" s="3">
        <f t="shared" ref="Z42:AA42" si="45">_xlfn.NORM.S.DIST(X42)</f>
        <v>0.9999999949</v>
      </c>
      <c r="AA42" s="3">
        <f t="shared" si="45"/>
        <v>0.9999999889</v>
      </c>
    </row>
    <row r="43" ht="14.25" customHeight="1">
      <c r="A43" s="3" t="s">
        <v>162</v>
      </c>
      <c r="B43" s="3" t="s">
        <v>163</v>
      </c>
      <c r="C43" s="3" t="s">
        <v>129</v>
      </c>
      <c r="D43" s="3" t="s">
        <v>29</v>
      </c>
      <c r="E43" s="3">
        <v>17.0</v>
      </c>
      <c r="F43" s="3" t="s">
        <v>27</v>
      </c>
      <c r="G43" s="3">
        <v>17.4</v>
      </c>
      <c r="I43" s="3">
        <v>20.75</v>
      </c>
      <c r="K43" s="3">
        <v>0.0</v>
      </c>
      <c r="L43" s="3">
        <v>0.0</v>
      </c>
      <c r="M43" s="3" t="s">
        <v>72</v>
      </c>
      <c r="N43" s="3">
        <v>0.9957</v>
      </c>
      <c r="O43" s="3">
        <v>0.0</v>
      </c>
      <c r="P43" s="3">
        <v>1.1808</v>
      </c>
      <c r="Q43" s="3">
        <v>0.0</v>
      </c>
      <c r="R43" s="3">
        <v>0.4104</v>
      </c>
      <c r="S43" s="3">
        <v>36.23</v>
      </c>
      <c r="T43" s="3">
        <v>34.0</v>
      </c>
      <c r="U43" s="3">
        <f t="shared" si="2"/>
        <v>19.075</v>
      </c>
      <c r="V43" s="3"/>
      <c r="W43" s="3">
        <f t="shared" si="3"/>
        <v>19.23160566</v>
      </c>
      <c r="X43" s="3">
        <f t="shared" si="4"/>
        <v>5.095521659</v>
      </c>
      <c r="Y43" s="3">
        <f t="shared" si="5"/>
        <v>4.944775401</v>
      </c>
      <c r="Z43" s="3">
        <f t="shared" ref="Z43:AA43" si="46">_xlfn.NORM.S.DIST(X43)</f>
        <v>0.9999998261</v>
      </c>
      <c r="AA43" s="3">
        <f t="shared" si="46"/>
        <v>0.9999996188</v>
      </c>
    </row>
    <row r="44" ht="14.25" customHeight="1">
      <c r="A44" s="3" t="s">
        <v>162</v>
      </c>
      <c r="B44" s="3" t="s">
        <v>163</v>
      </c>
      <c r="C44" s="3" t="s">
        <v>129</v>
      </c>
      <c r="D44" s="3" t="s">
        <v>29</v>
      </c>
      <c r="E44" s="3">
        <v>17.0</v>
      </c>
      <c r="F44" s="3" t="s">
        <v>27</v>
      </c>
      <c r="G44" s="3">
        <v>17.9</v>
      </c>
      <c r="I44" s="3">
        <v>21.25</v>
      </c>
      <c r="K44" s="3">
        <v>0.0</v>
      </c>
      <c r="L44" s="3">
        <v>0.0</v>
      </c>
      <c r="M44" s="3" t="s">
        <v>73</v>
      </c>
      <c r="N44" s="3">
        <v>0.9957</v>
      </c>
      <c r="O44" s="3">
        <v>0.0</v>
      </c>
      <c r="P44" s="3">
        <v>1.2036</v>
      </c>
      <c r="Q44" s="3">
        <v>0.0</v>
      </c>
      <c r="R44" s="3">
        <v>0.4306</v>
      </c>
      <c r="S44" s="3">
        <v>36.599998</v>
      </c>
      <c r="T44" s="3">
        <v>33.0</v>
      </c>
      <c r="U44" s="3">
        <f t="shared" si="2"/>
        <v>19.575</v>
      </c>
      <c r="V44" s="3"/>
      <c r="W44" s="3">
        <f t="shared" si="3"/>
        <v>19.60155658</v>
      </c>
      <c r="X44" s="3">
        <f t="shared" si="4"/>
        <v>4.999700722</v>
      </c>
      <c r="Y44" s="3">
        <f t="shared" si="5"/>
        <v>4.843878022</v>
      </c>
      <c r="Z44" s="3">
        <f t="shared" ref="Z44:AA44" si="47">_xlfn.NORM.S.DIST(X44)</f>
        <v>0.9999997129</v>
      </c>
      <c r="AA44" s="3">
        <f t="shared" si="47"/>
        <v>0.9999993634</v>
      </c>
    </row>
    <row r="45" ht="14.25" customHeight="1">
      <c r="A45" s="3" t="s">
        <v>162</v>
      </c>
      <c r="B45" s="3" t="s">
        <v>163</v>
      </c>
      <c r="C45" s="3" t="s">
        <v>129</v>
      </c>
      <c r="D45" s="3" t="s">
        <v>29</v>
      </c>
      <c r="E45" s="3">
        <v>17.0</v>
      </c>
      <c r="F45" s="3" t="s">
        <v>27</v>
      </c>
      <c r="G45" s="3">
        <v>17.9</v>
      </c>
      <c r="I45" s="3">
        <v>20.9</v>
      </c>
      <c r="K45" s="3">
        <v>0.0</v>
      </c>
      <c r="L45" s="3">
        <v>0.0</v>
      </c>
      <c r="M45" s="3" t="s">
        <v>74</v>
      </c>
      <c r="N45" s="3">
        <v>0.9957</v>
      </c>
      <c r="O45" s="3">
        <v>0.0</v>
      </c>
      <c r="P45" s="3">
        <v>1.2293</v>
      </c>
      <c r="Q45" s="3">
        <v>0.0</v>
      </c>
      <c r="R45" s="3">
        <v>0.1236</v>
      </c>
      <c r="S45" s="3">
        <v>36.290001</v>
      </c>
      <c r="T45" s="3">
        <v>32.0</v>
      </c>
      <c r="U45" s="3">
        <f t="shared" si="2"/>
        <v>19.4</v>
      </c>
      <c r="V45" s="3"/>
      <c r="W45" s="3">
        <f t="shared" si="3"/>
        <v>19.29151204</v>
      </c>
      <c r="X45" s="3">
        <f t="shared" si="4"/>
        <v>17.24131565</v>
      </c>
      <c r="Y45" s="3">
        <f t="shared" si="5"/>
        <v>17.197271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162</v>
      </c>
      <c r="B46" s="3" t="s">
        <v>163</v>
      </c>
      <c r="C46" s="3" t="s">
        <v>129</v>
      </c>
      <c r="D46" s="3" t="s">
        <v>29</v>
      </c>
      <c r="E46" s="3">
        <v>17.0</v>
      </c>
      <c r="F46" s="3" t="s">
        <v>27</v>
      </c>
      <c r="G46" s="3">
        <v>17.65</v>
      </c>
      <c r="I46" s="3">
        <v>20.95</v>
      </c>
      <c r="K46" s="3">
        <v>0.0</v>
      </c>
      <c r="L46" s="3">
        <v>0.0</v>
      </c>
      <c r="M46" s="3" t="s">
        <v>75</v>
      </c>
      <c r="N46" s="3">
        <v>0.9534</v>
      </c>
      <c r="O46" s="3">
        <v>0.0047</v>
      </c>
      <c r="P46" s="3">
        <v>-5.977</v>
      </c>
      <c r="Q46" s="3">
        <v>1.1317</v>
      </c>
      <c r="R46" s="3">
        <v>1.5024</v>
      </c>
      <c r="S46" s="3">
        <v>36.389999</v>
      </c>
      <c r="T46" s="3">
        <v>31.0</v>
      </c>
      <c r="U46" s="3">
        <f t="shared" si="2"/>
        <v>19.3</v>
      </c>
      <c r="V46" s="3"/>
      <c r="W46" s="3">
        <f t="shared" si="3"/>
        <v>19.8161867</v>
      </c>
      <c r="X46" s="3">
        <f t="shared" si="4"/>
        <v>1.707960091</v>
      </c>
      <c r="Y46" s="3">
        <f t="shared" si="5"/>
        <v>1.181014044</v>
      </c>
      <c r="Z46" s="3">
        <f t="shared" ref="Z46:AA46" si="49">_xlfn.NORM.S.DIST(X46)</f>
        <v>0.9561781261</v>
      </c>
      <c r="AA46" s="3">
        <f t="shared" si="49"/>
        <v>0.8812014278</v>
      </c>
    </row>
    <row r="47" ht="14.25" customHeight="1">
      <c r="A47" s="3" t="s">
        <v>162</v>
      </c>
      <c r="B47" s="3" t="s">
        <v>163</v>
      </c>
      <c r="C47" s="3" t="s">
        <v>129</v>
      </c>
      <c r="D47" s="3" t="s">
        <v>29</v>
      </c>
      <c r="E47" s="3">
        <v>17.0</v>
      </c>
      <c r="F47" s="3" t="s">
        <v>27</v>
      </c>
      <c r="G47" s="3">
        <v>18.7</v>
      </c>
      <c r="I47" s="3">
        <v>21.25</v>
      </c>
      <c r="K47" s="3">
        <v>0.0</v>
      </c>
      <c r="L47" s="3">
        <v>0.0</v>
      </c>
      <c r="M47" s="3" t="s">
        <v>76</v>
      </c>
      <c r="N47" s="3">
        <v>0.996</v>
      </c>
      <c r="O47" s="3">
        <v>0.0</v>
      </c>
      <c r="P47" s="3">
        <v>1.2067</v>
      </c>
      <c r="Q47" s="3">
        <v>0.0</v>
      </c>
      <c r="R47" s="3">
        <v>0.4408</v>
      </c>
      <c r="S47" s="3">
        <v>36.68</v>
      </c>
      <c r="T47" s="3">
        <v>30.0</v>
      </c>
      <c r="U47" s="3">
        <f t="shared" si="2"/>
        <v>19.975</v>
      </c>
      <c r="V47" s="3"/>
      <c r="W47" s="3">
        <f t="shared" si="3"/>
        <v>19.68141676</v>
      </c>
      <c r="X47" s="3">
        <f t="shared" si="4"/>
        <v>5.132915267</v>
      </c>
      <c r="Y47" s="3">
        <f t="shared" si="5"/>
        <v>4.980824818</v>
      </c>
      <c r="Z47" s="3">
        <f t="shared" ref="Z47:AA47" si="50">_xlfn.NORM.S.DIST(X47)</f>
        <v>0.9999998574</v>
      </c>
      <c r="AA47" s="3">
        <f t="shared" si="50"/>
        <v>0.9999996834</v>
      </c>
    </row>
    <row r="48" ht="14.25" customHeight="1">
      <c r="A48" s="3" t="s">
        <v>162</v>
      </c>
      <c r="B48" s="3" t="s">
        <v>163</v>
      </c>
      <c r="C48" s="3" t="s">
        <v>129</v>
      </c>
      <c r="D48" s="3" t="s">
        <v>29</v>
      </c>
      <c r="E48" s="3">
        <v>17.0</v>
      </c>
      <c r="F48" s="3" t="s">
        <v>27</v>
      </c>
      <c r="G48" s="3">
        <v>18.0</v>
      </c>
      <c r="I48" s="3">
        <v>20.4</v>
      </c>
      <c r="K48" s="3">
        <v>0.0</v>
      </c>
      <c r="L48" s="3">
        <v>0.0</v>
      </c>
      <c r="M48" s="3" t="s">
        <v>77</v>
      </c>
      <c r="N48" s="3">
        <v>0.9961</v>
      </c>
      <c r="O48" s="3">
        <v>0.0</v>
      </c>
      <c r="P48" s="3">
        <v>1.2865</v>
      </c>
      <c r="Q48" s="3">
        <v>0.0</v>
      </c>
      <c r="R48" s="3">
        <v>0.4546</v>
      </c>
      <c r="S48" s="3">
        <v>36.599998</v>
      </c>
      <c r="T48" s="3">
        <v>29.0</v>
      </c>
      <c r="U48" s="3">
        <f t="shared" si="2"/>
        <v>19.2</v>
      </c>
      <c r="V48" s="3"/>
      <c r="W48" s="3">
        <f t="shared" si="3"/>
        <v>19.60136763</v>
      </c>
      <c r="X48" s="3">
        <f t="shared" si="4"/>
        <v>5.050117369</v>
      </c>
      <c r="Y48" s="3">
        <f t="shared" si="5"/>
        <v>4.895901821</v>
      </c>
      <c r="Z48" s="3">
        <f t="shared" ref="Z48:AA48" si="51">_xlfn.NORM.S.DIST(X48)</f>
        <v>0.9999997792</v>
      </c>
      <c r="AA48" s="3">
        <f t="shared" si="51"/>
        <v>0.9999995107</v>
      </c>
    </row>
    <row r="49" ht="14.25" customHeight="1">
      <c r="A49" s="3" t="s">
        <v>162</v>
      </c>
      <c r="B49" s="3" t="s">
        <v>163</v>
      </c>
      <c r="C49" s="3" t="s">
        <v>129</v>
      </c>
      <c r="D49" s="3" t="s">
        <v>29</v>
      </c>
      <c r="E49" s="3">
        <v>17.0</v>
      </c>
      <c r="F49" s="3" t="s">
        <v>27</v>
      </c>
      <c r="G49" s="3">
        <v>18.15</v>
      </c>
      <c r="I49" s="3">
        <v>20.5</v>
      </c>
      <c r="K49" s="3">
        <v>0.0</v>
      </c>
      <c r="L49" s="3">
        <v>0.0</v>
      </c>
      <c r="M49" s="3" t="s">
        <v>78</v>
      </c>
      <c r="N49" s="3">
        <v>0.9961</v>
      </c>
      <c r="O49" s="3">
        <v>0.0</v>
      </c>
      <c r="P49" s="3">
        <v>1.3003</v>
      </c>
      <c r="Q49" s="3">
        <v>0.0</v>
      </c>
      <c r="R49" s="3">
        <v>0.4461</v>
      </c>
      <c r="S49" s="3">
        <v>36.720001</v>
      </c>
      <c r="T49" s="3">
        <v>28.0</v>
      </c>
      <c r="U49" s="3">
        <f t="shared" si="2"/>
        <v>19.325</v>
      </c>
      <c r="V49" s="3"/>
      <c r="W49" s="3">
        <f t="shared" si="3"/>
        <v>19.72132325</v>
      </c>
      <c r="X49" s="3">
        <f t="shared" si="4"/>
        <v>5.253812184</v>
      </c>
      <c r="Y49" s="3">
        <f t="shared" si="5"/>
        <v>5.105112184</v>
      </c>
      <c r="Z49" s="3">
        <f t="shared" ref="Z49:AA49" si="52">_xlfn.NORM.S.DIST(X49)</f>
        <v>0.9999999255</v>
      </c>
      <c r="AA49" s="3">
        <f t="shared" si="52"/>
        <v>0.9999998347</v>
      </c>
    </row>
    <row r="50" ht="14.25" customHeight="1">
      <c r="A50" s="3" t="s">
        <v>162</v>
      </c>
      <c r="B50" s="3" t="s">
        <v>163</v>
      </c>
      <c r="C50" s="3" t="s">
        <v>129</v>
      </c>
      <c r="D50" s="3" t="s">
        <v>29</v>
      </c>
      <c r="E50" s="3">
        <v>17.0</v>
      </c>
      <c r="F50" s="3" t="s">
        <v>27</v>
      </c>
      <c r="G50" s="3">
        <v>18.85</v>
      </c>
      <c r="I50" s="3">
        <v>21.2</v>
      </c>
      <c r="K50" s="3">
        <v>0.0</v>
      </c>
      <c r="L50" s="3">
        <v>0.0</v>
      </c>
      <c r="M50" s="3" t="s">
        <v>79</v>
      </c>
      <c r="N50" s="3">
        <v>0.9981</v>
      </c>
      <c r="O50" s="3">
        <v>0.0</v>
      </c>
      <c r="P50" s="3">
        <v>0.641</v>
      </c>
      <c r="Q50" s="3">
        <v>0.0</v>
      </c>
      <c r="R50" s="3">
        <v>0.1078</v>
      </c>
      <c r="S50" s="3">
        <v>36.599998</v>
      </c>
      <c r="T50" s="3">
        <v>27.0</v>
      </c>
      <c r="U50" s="3">
        <f t="shared" si="2"/>
        <v>20.025</v>
      </c>
      <c r="V50" s="3"/>
      <c r="W50" s="3">
        <f t="shared" si="3"/>
        <v>19.60127295</v>
      </c>
      <c r="X50" s="3">
        <f t="shared" si="4"/>
        <v>21.7518569</v>
      </c>
      <c r="Y50" s="3">
        <f t="shared" si="5"/>
        <v>21.71657107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162</v>
      </c>
      <c r="B51" s="3" t="s">
        <v>163</v>
      </c>
      <c r="C51" s="3" t="s">
        <v>129</v>
      </c>
      <c r="D51" s="3" t="s">
        <v>29</v>
      </c>
      <c r="E51" s="3">
        <v>17.0</v>
      </c>
      <c r="F51" s="3" t="s">
        <v>27</v>
      </c>
      <c r="G51" s="3">
        <v>18.25</v>
      </c>
      <c r="I51" s="3">
        <v>21.35</v>
      </c>
      <c r="K51" s="3">
        <v>0.0</v>
      </c>
      <c r="L51" s="3">
        <v>0.0</v>
      </c>
      <c r="M51" s="3" t="s">
        <v>80</v>
      </c>
      <c r="N51" s="3">
        <v>0.9977</v>
      </c>
      <c r="O51" s="3">
        <v>0.0</v>
      </c>
      <c r="P51" s="3">
        <v>0.8027</v>
      </c>
      <c r="Q51" s="3">
        <v>0.0</v>
      </c>
      <c r="R51" s="3">
        <v>0.3094</v>
      </c>
      <c r="S51" s="3">
        <v>36.860001</v>
      </c>
      <c r="T51" s="3">
        <v>26.0</v>
      </c>
      <c r="U51" s="3">
        <f t="shared" si="2"/>
        <v>19.8</v>
      </c>
      <c r="V51" s="3"/>
      <c r="W51" s="3">
        <f t="shared" si="3"/>
        <v>19.86122873</v>
      </c>
      <c r="X51" s="3">
        <f t="shared" si="4"/>
        <v>7.837697508</v>
      </c>
      <c r="Y51" s="3">
        <f t="shared" si="5"/>
        <v>7.738315741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162</v>
      </c>
      <c r="B52" s="3" t="s">
        <v>163</v>
      </c>
      <c r="C52" s="3" t="s">
        <v>129</v>
      </c>
      <c r="D52" s="3" t="s">
        <v>29</v>
      </c>
      <c r="E52" s="3">
        <v>17.0</v>
      </c>
      <c r="F52" s="3" t="s">
        <v>27</v>
      </c>
      <c r="G52" s="3">
        <v>17.75</v>
      </c>
      <c r="I52" s="3">
        <v>20.9</v>
      </c>
      <c r="K52" s="3">
        <v>0.0</v>
      </c>
      <c r="L52" s="3">
        <v>0.0</v>
      </c>
      <c r="M52" s="3" t="s">
        <v>81</v>
      </c>
      <c r="N52" s="3">
        <v>1.0</v>
      </c>
      <c r="O52" s="3">
        <v>0.0</v>
      </c>
      <c r="P52" s="3">
        <v>-0.0479</v>
      </c>
      <c r="Q52" s="3">
        <v>0.0</v>
      </c>
      <c r="R52" s="3">
        <v>0.097</v>
      </c>
      <c r="S52" s="3">
        <v>36.43</v>
      </c>
      <c r="T52" s="3">
        <v>25.0</v>
      </c>
      <c r="U52" s="3">
        <f t="shared" si="2"/>
        <v>19.325</v>
      </c>
      <c r="V52" s="3"/>
      <c r="W52" s="3">
        <f t="shared" si="3"/>
        <v>19.43118051</v>
      </c>
      <c r="X52" s="3">
        <f t="shared" si="4"/>
        <v>24.96439599</v>
      </c>
      <c r="Y52" s="3">
        <f t="shared" si="5"/>
        <v>24.93384386</v>
      </c>
      <c r="Z52" s="3">
        <f t="shared" ref="Z52:AA52" si="55">_xlfn.NORM.S.DIST(X52)</f>
        <v>1</v>
      </c>
      <c r="AA52" s="3">
        <f t="shared" si="55"/>
        <v>1</v>
      </c>
    </row>
    <row r="53" ht="14.25" customHeight="1">
      <c r="A53" s="3" t="s">
        <v>162</v>
      </c>
      <c r="B53" s="3" t="s">
        <v>163</v>
      </c>
      <c r="C53" s="3" t="s">
        <v>129</v>
      </c>
      <c r="D53" s="3" t="s">
        <v>29</v>
      </c>
      <c r="E53" s="3">
        <v>17.0</v>
      </c>
      <c r="F53" s="3" t="s">
        <v>27</v>
      </c>
      <c r="G53" s="3">
        <v>17.6</v>
      </c>
      <c r="I53" s="3">
        <v>20.75</v>
      </c>
      <c r="K53" s="3">
        <v>0.0</v>
      </c>
      <c r="L53" s="3">
        <v>0.0</v>
      </c>
      <c r="M53" s="3" t="s">
        <v>82</v>
      </c>
      <c r="N53" s="3">
        <v>0.9957</v>
      </c>
      <c r="O53" s="3">
        <v>1.0E-4</v>
      </c>
      <c r="P53" s="3">
        <v>1.6067</v>
      </c>
      <c r="Q53" s="3">
        <v>0.0078</v>
      </c>
      <c r="R53" s="3">
        <v>0.7322</v>
      </c>
      <c r="S53" s="3">
        <v>36.150002</v>
      </c>
      <c r="T53" s="3">
        <v>24.0</v>
      </c>
      <c r="U53" s="3">
        <f t="shared" si="2"/>
        <v>19.175</v>
      </c>
      <c r="V53" s="3"/>
      <c r="W53" s="3">
        <f t="shared" si="3"/>
        <v>19.1517457</v>
      </c>
      <c r="X53" s="3">
        <f t="shared" si="4"/>
        <v>3.452174709</v>
      </c>
      <c r="Y53" s="3">
        <f t="shared" si="5"/>
        <v>3.226212884</v>
      </c>
      <c r="Z53" s="3">
        <f t="shared" ref="Z53:AA53" si="56">_xlfn.NORM.S.DIST(X53)</f>
        <v>0.9997219562</v>
      </c>
      <c r="AA53" s="3">
        <f t="shared" si="56"/>
        <v>0.9993727999</v>
      </c>
    </row>
    <row r="54" ht="14.25" customHeight="1">
      <c r="A54" s="3" t="s">
        <v>162</v>
      </c>
      <c r="B54" s="3" t="s">
        <v>163</v>
      </c>
      <c r="C54" s="3" t="s">
        <v>129</v>
      </c>
      <c r="D54" s="3" t="s">
        <v>29</v>
      </c>
      <c r="E54" s="3">
        <v>17.0</v>
      </c>
      <c r="F54" s="3" t="s">
        <v>27</v>
      </c>
      <c r="G54" s="3">
        <v>17.6</v>
      </c>
      <c r="I54" s="3">
        <v>20.75</v>
      </c>
      <c r="K54" s="3">
        <v>0.0</v>
      </c>
      <c r="L54" s="3">
        <v>0.0</v>
      </c>
      <c r="M54" s="3" t="s">
        <v>83</v>
      </c>
      <c r="N54" s="3">
        <v>0.9959</v>
      </c>
      <c r="O54" s="3">
        <v>0.0</v>
      </c>
      <c r="P54" s="3">
        <v>1.6604</v>
      </c>
      <c r="Q54" s="3">
        <v>0.0</v>
      </c>
      <c r="R54" s="3">
        <v>0.4284</v>
      </c>
      <c r="S54" s="3">
        <v>36.139999</v>
      </c>
      <c r="T54" s="3">
        <v>23.0</v>
      </c>
      <c r="U54" s="3">
        <f t="shared" si="2"/>
        <v>19.175</v>
      </c>
      <c r="V54" s="3"/>
      <c r="W54" s="3">
        <f t="shared" si="3"/>
        <v>19.14108508</v>
      </c>
      <c r="X54" s="3">
        <f t="shared" si="4"/>
        <v>5.892485336</v>
      </c>
      <c r="Y54" s="3">
        <f t="shared" si="5"/>
        <v>5.763061845</v>
      </c>
      <c r="Z54" s="3">
        <f t="shared" ref="Z54:AA54" si="57">_xlfn.NORM.S.DIST(X54)</f>
        <v>0.9999999981</v>
      </c>
      <c r="AA54" s="3">
        <f t="shared" si="57"/>
        <v>0.9999999959</v>
      </c>
    </row>
    <row r="55" ht="14.25" customHeight="1">
      <c r="A55" s="3" t="s">
        <v>162</v>
      </c>
      <c r="B55" s="3" t="s">
        <v>163</v>
      </c>
      <c r="C55" s="3" t="s">
        <v>129</v>
      </c>
      <c r="D55" s="3" t="s">
        <v>29</v>
      </c>
      <c r="E55" s="3">
        <v>17.0</v>
      </c>
      <c r="F55" s="3" t="s">
        <v>27</v>
      </c>
      <c r="G55" s="3">
        <v>17.65</v>
      </c>
      <c r="I55" s="3">
        <v>20.8</v>
      </c>
      <c r="K55" s="3">
        <v>0.0</v>
      </c>
      <c r="L55" s="3">
        <v>0.0</v>
      </c>
      <c r="M55" s="3" t="s">
        <v>84</v>
      </c>
      <c r="N55" s="3">
        <v>0.9958</v>
      </c>
      <c r="O55" s="3">
        <v>0.0</v>
      </c>
      <c r="P55" s="3">
        <v>1.7923</v>
      </c>
      <c r="Q55" s="3">
        <v>0.0</v>
      </c>
      <c r="R55" s="3">
        <v>0.4347</v>
      </c>
      <c r="S55" s="3">
        <v>36.189999</v>
      </c>
      <c r="T55" s="3">
        <v>22.0</v>
      </c>
      <c r="U55" s="3">
        <f t="shared" si="2"/>
        <v>19.225</v>
      </c>
      <c r="V55" s="3"/>
      <c r="W55" s="3">
        <f t="shared" si="3"/>
        <v>19.19103786</v>
      </c>
      <c r="X55" s="3">
        <f t="shared" si="4"/>
        <v>5.947355049</v>
      </c>
      <c r="Y55" s="3">
        <f t="shared" si="5"/>
        <v>5.818914927</v>
      </c>
      <c r="Z55" s="3">
        <f t="shared" ref="Z55:AA55" si="58">_xlfn.NORM.S.DIST(X55)</f>
        <v>0.9999999986</v>
      </c>
      <c r="AA55" s="3">
        <f t="shared" si="58"/>
        <v>0.999999997</v>
      </c>
    </row>
    <row r="56" ht="14.25" customHeight="1">
      <c r="A56" s="3" t="s">
        <v>162</v>
      </c>
      <c r="B56" s="3" t="s">
        <v>163</v>
      </c>
      <c r="C56" s="3" t="s">
        <v>129</v>
      </c>
      <c r="D56" s="3" t="s">
        <v>29</v>
      </c>
      <c r="E56" s="3">
        <v>17.0</v>
      </c>
      <c r="F56" s="3" t="s">
        <v>27</v>
      </c>
      <c r="G56" s="3">
        <v>18.25</v>
      </c>
      <c r="I56" s="3">
        <v>20.5</v>
      </c>
      <c r="K56" s="3">
        <v>0.0</v>
      </c>
      <c r="L56" s="3">
        <v>0.0</v>
      </c>
      <c r="M56" s="3" t="s">
        <v>85</v>
      </c>
      <c r="N56" s="3">
        <v>0.9952</v>
      </c>
      <c r="O56" s="3">
        <v>0.0</v>
      </c>
      <c r="P56" s="3">
        <v>2.1166</v>
      </c>
      <c r="Q56" s="3">
        <v>0.0</v>
      </c>
      <c r="R56" s="3">
        <v>0.4639</v>
      </c>
      <c r="S56" s="3">
        <v>36.150002</v>
      </c>
      <c r="T56" s="3">
        <v>21.0</v>
      </c>
      <c r="U56" s="3">
        <f t="shared" si="2"/>
        <v>19.375</v>
      </c>
      <c r="V56" s="3"/>
      <c r="W56" s="3">
        <f t="shared" si="3"/>
        <v>19.15099364</v>
      </c>
      <c r="X56" s="3">
        <f t="shared" si="4"/>
        <v>5.701234669</v>
      </c>
      <c r="Y56" s="3">
        <f t="shared" si="5"/>
        <v>5.567318274</v>
      </c>
      <c r="Z56" s="3">
        <f t="shared" ref="Z56:AA56" si="59">_xlfn.NORM.S.DIST(X56)</f>
        <v>0.9999999941</v>
      </c>
      <c r="AA56" s="3">
        <f t="shared" si="59"/>
        <v>0.9999999871</v>
      </c>
    </row>
    <row r="57" ht="14.25" customHeight="1">
      <c r="A57" s="3" t="s">
        <v>162</v>
      </c>
      <c r="B57" s="3" t="s">
        <v>163</v>
      </c>
      <c r="C57" s="3" t="s">
        <v>129</v>
      </c>
      <c r="D57" s="3" t="s">
        <v>29</v>
      </c>
      <c r="E57" s="3">
        <v>17.0</v>
      </c>
      <c r="F57" s="3" t="s">
        <v>27</v>
      </c>
      <c r="G57" s="3">
        <v>17.85</v>
      </c>
      <c r="I57" s="3">
        <v>21.0</v>
      </c>
      <c r="K57" s="3">
        <v>0.0</v>
      </c>
      <c r="L57" s="3">
        <v>0.0</v>
      </c>
      <c r="M57" s="3" t="s">
        <v>86</v>
      </c>
      <c r="N57" s="3">
        <v>0.9958</v>
      </c>
      <c r="O57" s="3">
        <v>0.0</v>
      </c>
      <c r="P57" s="3">
        <v>1.9353</v>
      </c>
      <c r="Q57" s="3">
        <v>0.0</v>
      </c>
      <c r="R57" s="3">
        <v>0.4227</v>
      </c>
      <c r="S57" s="3">
        <v>36.43</v>
      </c>
      <c r="T57" s="3">
        <v>20.0</v>
      </c>
      <c r="U57" s="3">
        <f t="shared" si="2"/>
        <v>19.425</v>
      </c>
      <c r="V57" s="3"/>
      <c r="W57" s="3">
        <f t="shared" si="3"/>
        <v>19.43094442</v>
      </c>
      <c r="X57" s="3">
        <f t="shared" si="4"/>
        <v>6.460452435</v>
      </c>
      <c r="Y57" s="3">
        <f t="shared" si="5"/>
        <v>6.341370201</v>
      </c>
      <c r="Z57" s="3">
        <f t="shared" ref="Z57:AA57" si="60">_xlfn.NORM.S.DIST(X57)</f>
        <v>0.9999999999</v>
      </c>
      <c r="AA57" s="3">
        <f t="shared" si="60"/>
        <v>0.9999999999</v>
      </c>
    </row>
    <row r="58" ht="14.25" customHeight="1">
      <c r="A58" s="3" t="s">
        <v>162</v>
      </c>
      <c r="B58" s="3" t="s">
        <v>163</v>
      </c>
      <c r="C58" s="3" t="s">
        <v>129</v>
      </c>
      <c r="D58" s="3" t="s">
        <v>29</v>
      </c>
      <c r="E58" s="3">
        <v>17.0</v>
      </c>
      <c r="F58" s="3" t="s">
        <v>27</v>
      </c>
      <c r="G58" s="3">
        <v>17.8</v>
      </c>
      <c r="I58" s="3">
        <v>20.95</v>
      </c>
      <c r="K58" s="3">
        <v>0.0</v>
      </c>
      <c r="L58" s="3">
        <v>0.0</v>
      </c>
      <c r="M58" s="3" t="s">
        <v>87</v>
      </c>
      <c r="N58" s="3">
        <v>0.9955</v>
      </c>
      <c r="O58" s="3">
        <v>0.0</v>
      </c>
      <c r="P58" s="3">
        <v>2.3307</v>
      </c>
      <c r="Q58" s="3">
        <v>0.0</v>
      </c>
      <c r="R58" s="3">
        <v>0.4281</v>
      </c>
      <c r="S58" s="3">
        <v>36.389999</v>
      </c>
      <c r="T58" s="3">
        <v>19.0</v>
      </c>
      <c r="U58" s="3">
        <f t="shared" si="2"/>
        <v>19.375</v>
      </c>
      <c r="V58" s="3"/>
      <c r="W58" s="3">
        <f t="shared" si="3"/>
        <v>19.3908962</v>
      </c>
      <c r="X58" s="3">
        <f t="shared" si="4"/>
        <v>6.533763842</v>
      </c>
      <c r="Y58" s="3">
        <f t="shared" si="5"/>
        <v>6.416214079</v>
      </c>
      <c r="Z58" s="3">
        <f t="shared" ref="Z58:AA58" si="61">_xlfn.NORM.S.DIST(X58)</f>
        <v>1</v>
      </c>
      <c r="AA58" s="3">
        <f t="shared" si="61"/>
        <v>0.9999999999</v>
      </c>
    </row>
    <row r="59" ht="14.25" customHeight="1">
      <c r="A59" s="3" t="s">
        <v>162</v>
      </c>
      <c r="B59" s="3" t="s">
        <v>163</v>
      </c>
      <c r="C59" s="3" t="s">
        <v>129</v>
      </c>
      <c r="D59" s="3" t="s">
        <v>29</v>
      </c>
      <c r="E59" s="3">
        <v>17.0</v>
      </c>
      <c r="F59" s="3" t="s">
        <v>27</v>
      </c>
      <c r="G59" s="3">
        <v>18.2</v>
      </c>
      <c r="I59" s="3">
        <v>21.3</v>
      </c>
      <c r="K59" s="3">
        <v>0.0</v>
      </c>
      <c r="L59" s="3">
        <v>0.0</v>
      </c>
      <c r="M59" s="3" t="s">
        <v>88</v>
      </c>
      <c r="N59" s="3">
        <v>0.9956</v>
      </c>
      <c r="O59" s="3">
        <v>0.0</v>
      </c>
      <c r="P59" s="3">
        <v>2.3553</v>
      </c>
      <c r="Q59" s="3">
        <v>0.0</v>
      </c>
      <c r="R59" s="3">
        <v>0.3162</v>
      </c>
      <c r="S59" s="3">
        <v>36.740002</v>
      </c>
      <c r="T59" s="3">
        <v>18.0</v>
      </c>
      <c r="U59" s="3">
        <f t="shared" si="2"/>
        <v>19.75</v>
      </c>
      <c r="V59" s="3"/>
      <c r="W59" s="3">
        <f t="shared" si="3"/>
        <v>19.74085198</v>
      </c>
      <c r="X59" s="3">
        <f t="shared" si="4"/>
        <v>9.162133154</v>
      </c>
      <c r="Y59" s="3">
        <f t="shared" si="5"/>
        <v>9.07762515</v>
      </c>
      <c r="Z59" s="3">
        <f t="shared" ref="Z59:AA59" si="62">_xlfn.NORM.S.DIST(X59)</f>
        <v>1</v>
      </c>
      <c r="AA59" s="3">
        <f t="shared" si="62"/>
        <v>1</v>
      </c>
    </row>
    <row r="60" ht="14.25" customHeight="1">
      <c r="A60" s="3" t="s">
        <v>162</v>
      </c>
      <c r="B60" s="3" t="s">
        <v>163</v>
      </c>
      <c r="C60" s="3" t="s">
        <v>129</v>
      </c>
      <c r="D60" s="3" t="s">
        <v>29</v>
      </c>
      <c r="E60" s="3">
        <v>17.0</v>
      </c>
      <c r="F60" s="3" t="s">
        <v>27</v>
      </c>
      <c r="G60" s="3">
        <v>18.1</v>
      </c>
      <c r="I60" s="3">
        <v>21.2</v>
      </c>
      <c r="K60" s="3">
        <v>0.0</v>
      </c>
      <c r="L60" s="3">
        <v>0.0</v>
      </c>
      <c r="M60" s="3" t="s">
        <v>89</v>
      </c>
      <c r="N60" s="3">
        <v>0.9958</v>
      </c>
      <c r="O60" s="3">
        <v>0.0</v>
      </c>
      <c r="P60" s="3">
        <v>2.3466</v>
      </c>
      <c r="Q60" s="3">
        <v>0.0</v>
      </c>
      <c r="R60" s="3">
        <v>0.4523</v>
      </c>
      <c r="S60" s="3">
        <v>36.619999</v>
      </c>
      <c r="T60" s="3">
        <v>17.0</v>
      </c>
      <c r="U60" s="3">
        <f t="shared" si="2"/>
        <v>19.65</v>
      </c>
      <c r="V60" s="3"/>
      <c r="W60" s="3">
        <f t="shared" si="3"/>
        <v>19.62080176</v>
      </c>
      <c r="X60" s="3">
        <f t="shared" si="4"/>
        <v>6.591353514</v>
      </c>
      <c r="Y60" s="3">
        <f t="shared" si="5"/>
        <v>6.473877074</v>
      </c>
      <c r="Z60" s="3">
        <f t="shared" ref="Z60:AA60" si="63">_xlfn.NORM.S.DIST(X60)</f>
        <v>1</v>
      </c>
      <c r="AA60" s="3">
        <f t="shared" si="63"/>
        <v>1</v>
      </c>
    </row>
    <row r="61" ht="14.25" customHeight="1">
      <c r="A61" s="3" t="s">
        <v>162</v>
      </c>
      <c r="B61" s="3" t="s">
        <v>163</v>
      </c>
      <c r="C61" s="3" t="s">
        <v>129</v>
      </c>
      <c r="D61" s="3" t="s">
        <v>29</v>
      </c>
      <c r="E61" s="3">
        <v>17.0</v>
      </c>
      <c r="F61" s="3" t="s">
        <v>27</v>
      </c>
      <c r="G61" s="3">
        <v>18.25</v>
      </c>
      <c r="I61" s="3">
        <v>21.3</v>
      </c>
      <c r="K61" s="3">
        <v>0.0</v>
      </c>
      <c r="L61" s="3">
        <v>0.0</v>
      </c>
      <c r="M61" s="3" t="s">
        <v>90</v>
      </c>
      <c r="N61" s="3">
        <v>1.0</v>
      </c>
      <c r="O61" s="3">
        <v>0.0</v>
      </c>
      <c r="P61" s="3">
        <v>-0.0479</v>
      </c>
      <c r="Q61" s="3">
        <v>0.0</v>
      </c>
      <c r="R61" s="3">
        <v>0.1082</v>
      </c>
      <c r="S61" s="3">
        <v>36.689999</v>
      </c>
      <c r="T61" s="3">
        <v>16.0</v>
      </c>
      <c r="U61" s="3">
        <f t="shared" si="2"/>
        <v>19.775</v>
      </c>
      <c r="V61" s="3"/>
      <c r="W61" s="3">
        <f t="shared" si="3"/>
        <v>19.69075454</v>
      </c>
      <c r="X61" s="3">
        <f t="shared" si="4"/>
        <v>28.23179147</v>
      </c>
      <c r="Y61" s="3">
        <f t="shared" si="5"/>
        <v>28.20452763</v>
      </c>
      <c r="Z61" s="3">
        <f t="shared" ref="Z61:AA61" si="64">_xlfn.NORM.S.DIST(X61)</f>
        <v>1</v>
      </c>
      <c r="AA61" s="3">
        <f t="shared" si="64"/>
        <v>1</v>
      </c>
    </row>
    <row r="62" ht="14.25" customHeight="1">
      <c r="A62" s="3" t="s">
        <v>162</v>
      </c>
      <c r="B62" s="3" t="s">
        <v>163</v>
      </c>
      <c r="C62" s="3" t="s">
        <v>129</v>
      </c>
      <c r="D62" s="3" t="s">
        <v>29</v>
      </c>
      <c r="E62" s="3">
        <v>17.0</v>
      </c>
      <c r="F62" s="3" t="s">
        <v>27</v>
      </c>
      <c r="G62" s="3">
        <v>18.7</v>
      </c>
      <c r="I62" s="3">
        <v>21.7</v>
      </c>
      <c r="K62" s="3">
        <v>0.0</v>
      </c>
      <c r="L62" s="3">
        <v>0.0</v>
      </c>
      <c r="M62" s="3" t="s">
        <v>91</v>
      </c>
      <c r="N62" s="3">
        <v>1.0</v>
      </c>
      <c r="O62" s="3">
        <v>0.0</v>
      </c>
      <c r="P62" s="3">
        <v>-0.0472</v>
      </c>
      <c r="Q62" s="3">
        <v>0.0</v>
      </c>
      <c r="R62" s="3">
        <v>0.1146</v>
      </c>
      <c r="S62" s="3">
        <v>37.25</v>
      </c>
      <c r="T62" s="3">
        <v>15.0</v>
      </c>
      <c r="U62" s="3">
        <f t="shared" si="2"/>
        <v>20.2</v>
      </c>
      <c r="V62" s="3"/>
      <c r="W62" s="3">
        <f t="shared" si="3"/>
        <v>20.25070832</v>
      </c>
      <c r="X62" s="3">
        <f t="shared" si="4"/>
        <v>28.07167847</v>
      </c>
      <c r="Y62" s="3">
        <f t="shared" si="5"/>
        <v>28.04371893</v>
      </c>
      <c r="Z62" s="3">
        <f t="shared" ref="Z62:AA62" si="65">_xlfn.NORM.S.DIST(X62)</f>
        <v>1</v>
      </c>
      <c r="AA62" s="3">
        <f t="shared" si="65"/>
        <v>1</v>
      </c>
    </row>
    <row r="63" ht="14.25" customHeight="1">
      <c r="A63" s="3" t="s">
        <v>162</v>
      </c>
      <c r="B63" s="3" t="s">
        <v>163</v>
      </c>
      <c r="C63" s="3" t="s">
        <v>129</v>
      </c>
      <c r="D63" s="3" t="s">
        <v>29</v>
      </c>
      <c r="E63" s="3">
        <v>17.0</v>
      </c>
      <c r="F63" s="3" t="s">
        <v>27</v>
      </c>
      <c r="G63" s="3">
        <v>19.3</v>
      </c>
      <c r="I63" s="3">
        <v>21.75</v>
      </c>
      <c r="K63" s="3">
        <v>0.0</v>
      </c>
      <c r="L63" s="3">
        <v>0.0</v>
      </c>
      <c r="M63" s="3" t="s">
        <v>92</v>
      </c>
      <c r="N63" s="3">
        <v>0.9984</v>
      </c>
      <c r="O63" s="3">
        <v>0.0</v>
      </c>
      <c r="P63" s="3">
        <v>1.2526</v>
      </c>
      <c r="Q63" s="3">
        <v>0.0</v>
      </c>
      <c r="R63" s="3">
        <v>0.2141</v>
      </c>
      <c r="S63" s="3">
        <v>37.57</v>
      </c>
      <c r="T63" s="3">
        <v>14.0</v>
      </c>
      <c r="U63" s="3">
        <f t="shared" si="2"/>
        <v>20.525</v>
      </c>
      <c r="V63" s="3"/>
      <c r="W63" s="3">
        <f t="shared" si="3"/>
        <v>20.5706611</v>
      </c>
      <c r="X63" s="3">
        <f t="shared" si="4"/>
        <v>15.7400722</v>
      </c>
      <c r="Y63" s="3">
        <f t="shared" si="5"/>
        <v>15.68960835</v>
      </c>
      <c r="Z63" s="3">
        <f t="shared" ref="Z63:AA63" si="66">_xlfn.NORM.S.DIST(X63)</f>
        <v>1</v>
      </c>
      <c r="AA63" s="3">
        <f t="shared" si="66"/>
        <v>1</v>
      </c>
    </row>
    <row r="64" ht="14.25" customHeight="1">
      <c r="A64" s="3" t="s">
        <v>162</v>
      </c>
      <c r="B64" s="3" t="s">
        <v>163</v>
      </c>
      <c r="C64" s="3" t="s">
        <v>129</v>
      </c>
      <c r="D64" s="3" t="s">
        <v>29</v>
      </c>
      <c r="E64" s="3">
        <v>17.0</v>
      </c>
      <c r="F64" s="3" t="s">
        <v>27</v>
      </c>
      <c r="G64" s="3">
        <v>18.7</v>
      </c>
      <c r="I64" s="3">
        <v>21.85</v>
      </c>
      <c r="K64" s="3">
        <v>0.0</v>
      </c>
      <c r="L64" s="3">
        <v>0.0</v>
      </c>
      <c r="M64" s="3" t="s">
        <v>93</v>
      </c>
      <c r="N64" s="3">
        <v>1.0</v>
      </c>
      <c r="O64" s="3">
        <v>0.0</v>
      </c>
      <c r="P64" s="3">
        <v>-0.0472</v>
      </c>
      <c r="Q64" s="3">
        <v>0.0</v>
      </c>
      <c r="R64" s="3">
        <v>0.1197</v>
      </c>
      <c r="S64" s="3">
        <v>37.279999</v>
      </c>
      <c r="T64" s="3">
        <v>13.0</v>
      </c>
      <c r="U64" s="3">
        <f t="shared" si="2"/>
        <v>20.275</v>
      </c>
      <c r="V64" s="3"/>
      <c r="W64" s="3">
        <f t="shared" si="3"/>
        <v>20.28061288</v>
      </c>
      <c r="X64" s="3">
        <f t="shared" si="4"/>
        <v>28.89769306</v>
      </c>
      <c r="Y64" s="3">
        <f t="shared" si="5"/>
        <v>28.87050579</v>
      </c>
      <c r="Z64" s="3">
        <f t="shared" ref="Z64:AA64" si="67">_xlfn.NORM.S.DIST(X64)</f>
        <v>1</v>
      </c>
      <c r="AA64" s="3">
        <f t="shared" si="67"/>
        <v>1</v>
      </c>
    </row>
    <row r="65" ht="14.25" customHeight="1">
      <c r="A65" s="3" t="s">
        <v>162</v>
      </c>
      <c r="B65" s="3" t="s">
        <v>163</v>
      </c>
      <c r="C65" s="3" t="s">
        <v>129</v>
      </c>
      <c r="D65" s="3" t="s">
        <v>29</v>
      </c>
      <c r="E65" s="3">
        <v>17.0</v>
      </c>
      <c r="F65" s="3" t="s">
        <v>27</v>
      </c>
      <c r="G65" s="3">
        <v>19.35</v>
      </c>
      <c r="I65" s="3">
        <v>22.5</v>
      </c>
      <c r="K65" s="3">
        <v>0.0</v>
      </c>
      <c r="L65" s="3">
        <v>0.0</v>
      </c>
      <c r="M65" s="3" t="s">
        <v>94</v>
      </c>
      <c r="N65" s="3">
        <v>1.0</v>
      </c>
      <c r="O65" s="3">
        <v>0.0</v>
      </c>
      <c r="P65" s="3">
        <v>-0.0472</v>
      </c>
      <c r="Q65" s="3">
        <v>0.0</v>
      </c>
      <c r="R65" s="3">
        <v>0.1039</v>
      </c>
      <c r="S65" s="3">
        <v>37.91</v>
      </c>
      <c r="T65" s="3">
        <v>12.0</v>
      </c>
      <c r="U65" s="3">
        <f t="shared" si="2"/>
        <v>20.925</v>
      </c>
      <c r="V65" s="3"/>
      <c r="W65" s="3">
        <f t="shared" si="3"/>
        <v>20.91056666</v>
      </c>
      <c r="X65" s="3">
        <f t="shared" si="4"/>
        <v>35.38559749</v>
      </c>
      <c r="Y65" s="3">
        <f t="shared" si="5"/>
        <v>35.36292465</v>
      </c>
      <c r="Z65" s="3">
        <f t="shared" ref="Z65:AA65" si="68">_xlfn.NORM.S.DIST(X65)</f>
        <v>1</v>
      </c>
      <c r="AA65" s="3">
        <f t="shared" si="68"/>
        <v>1</v>
      </c>
    </row>
    <row r="66" ht="14.25" customHeight="1">
      <c r="A66" s="3" t="s">
        <v>162</v>
      </c>
      <c r="B66" s="3" t="s">
        <v>163</v>
      </c>
      <c r="C66" s="3" t="s">
        <v>129</v>
      </c>
      <c r="D66" s="3" t="s">
        <v>29</v>
      </c>
      <c r="E66" s="3">
        <v>17.0</v>
      </c>
      <c r="F66" s="3" t="s">
        <v>27</v>
      </c>
      <c r="G66" s="3">
        <v>19.4</v>
      </c>
      <c r="I66" s="3">
        <v>22.5</v>
      </c>
      <c r="K66" s="3">
        <v>0.0</v>
      </c>
      <c r="L66" s="3">
        <v>0.0</v>
      </c>
      <c r="M66" s="3" t="s">
        <v>95</v>
      </c>
      <c r="N66" s="3">
        <v>1.0</v>
      </c>
      <c r="O66" s="3">
        <v>0.0</v>
      </c>
      <c r="P66" s="3">
        <v>-0.0472</v>
      </c>
      <c r="Q66" s="3">
        <v>0.0</v>
      </c>
      <c r="R66" s="3">
        <v>0.1065</v>
      </c>
      <c r="S66" s="3">
        <v>38.02</v>
      </c>
      <c r="T66" s="3">
        <v>11.0</v>
      </c>
      <c r="U66" s="3">
        <f t="shared" si="2"/>
        <v>20.95</v>
      </c>
      <c r="V66" s="3"/>
      <c r="W66" s="3">
        <f t="shared" si="3"/>
        <v>21.02051944</v>
      </c>
      <c r="X66" s="3">
        <f t="shared" si="4"/>
        <v>36.18642949</v>
      </c>
      <c r="Y66" s="3">
        <f t="shared" si="5"/>
        <v>36.16417869</v>
      </c>
      <c r="Z66" s="3">
        <f t="shared" ref="Z66:AA66" si="69">_xlfn.NORM.S.DIST(X66)</f>
        <v>1</v>
      </c>
      <c r="AA66" s="3">
        <f t="shared" si="69"/>
        <v>1</v>
      </c>
    </row>
    <row r="67" ht="14.25" customHeight="1">
      <c r="A67" s="3" t="s">
        <v>162</v>
      </c>
      <c r="B67" s="3" t="s">
        <v>163</v>
      </c>
      <c r="C67" s="3" t="s">
        <v>129</v>
      </c>
      <c r="D67" s="3" t="s">
        <v>29</v>
      </c>
      <c r="E67" s="3">
        <v>17.0</v>
      </c>
      <c r="F67" s="3" t="s">
        <v>27</v>
      </c>
      <c r="G67" s="3">
        <v>19.05</v>
      </c>
      <c r="I67" s="3">
        <v>22.1</v>
      </c>
      <c r="K67" s="3">
        <v>0.0</v>
      </c>
      <c r="L67" s="3">
        <v>0.0</v>
      </c>
      <c r="M67" s="3" t="s">
        <v>96</v>
      </c>
      <c r="N67" s="3">
        <v>1.0</v>
      </c>
      <c r="O67" s="3">
        <v>0.0</v>
      </c>
      <c r="P67" s="3">
        <v>-0.0472</v>
      </c>
      <c r="Q67" s="3">
        <v>0.0</v>
      </c>
      <c r="R67" s="3">
        <v>0.1951</v>
      </c>
      <c r="S67" s="3">
        <v>37.619999</v>
      </c>
      <c r="T67" s="3">
        <v>10.0</v>
      </c>
      <c r="U67" s="3">
        <f t="shared" si="2"/>
        <v>20.575</v>
      </c>
      <c r="V67" s="3"/>
      <c r="W67" s="3">
        <f t="shared" si="3"/>
        <v>20.62047122</v>
      </c>
      <c r="X67" s="3">
        <f t="shared" si="4"/>
        <v>20.45821516</v>
      </c>
      <c r="Y67" s="3">
        <f t="shared" si="5"/>
        <v>20.41935031</v>
      </c>
      <c r="Z67" s="3">
        <f t="shared" ref="Z67:AA67" si="70">_xlfn.NORM.S.DIST(X67)</f>
        <v>1</v>
      </c>
      <c r="AA67" s="3">
        <f t="shared" si="70"/>
        <v>1</v>
      </c>
    </row>
    <row r="68" ht="14.25" customHeight="1">
      <c r="A68" s="3" t="s">
        <v>162</v>
      </c>
      <c r="B68" s="3" t="s">
        <v>163</v>
      </c>
      <c r="C68" s="3" t="s">
        <v>129</v>
      </c>
      <c r="D68" s="3" t="s">
        <v>29</v>
      </c>
      <c r="E68" s="3">
        <v>17.0</v>
      </c>
      <c r="F68" s="3" t="s">
        <v>27</v>
      </c>
      <c r="G68" s="3">
        <v>19.2</v>
      </c>
      <c r="I68" s="3">
        <v>22.35</v>
      </c>
      <c r="K68" s="3">
        <v>0.0</v>
      </c>
      <c r="L68" s="3">
        <v>0.0</v>
      </c>
      <c r="M68" s="3" t="s">
        <v>97</v>
      </c>
      <c r="N68" s="3">
        <v>1.0</v>
      </c>
      <c r="O68" s="3">
        <v>0.0</v>
      </c>
      <c r="P68" s="3">
        <v>-0.0472</v>
      </c>
      <c r="Q68" s="3">
        <v>0.0</v>
      </c>
      <c r="R68" s="3">
        <v>0.245</v>
      </c>
      <c r="S68" s="3">
        <v>37.759998</v>
      </c>
      <c r="T68" s="3">
        <v>9.0</v>
      </c>
      <c r="U68" s="3">
        <f t="shared" si="2"/>
        <v>20.775</v>
      </c>
      <c r="V68" s="3"/>
      <c r="W68" s="3">
        <f t="shared" si="3"/>
        <v>20.76042299</v>
      </c>
      <c r="X68" s="3">
        <f t="shared" si="4"/>
        <v>17.25966816</v>
      </c>
      <c r="Y68" s="3">
        <f t="shared" si="5"/>
        <v>17.21336752</v>
      </c>
      <c r="Z68" s="3">
        <f t="shared" ref="Z68:AA68" si="71">_xlfn.NORM.S.DIST(X68)</f>
        <v>1</v>
      </c>
      <c r="AA68" s="3">
        <f t="shared" si="71"/>
        <v>1</v>
      </c>
    </row>
    <row r="69" ht="14.25" customHeight="1">
      <c r="A69" s="3" t="s">
        <v>162</v>
      </c>
      <c r="B69" s="3" t="s">
        <v>163</v>
      </c>
      <c r="C69" s="3" t="s">
        <v>129</v>
      </c>
      <c r="D69" s="3" t="s">
        <v>29</v>
      </c>
      <c r="E69" s="3">
        <v>17.0</v>
      </c>
      <c r="F69" s="3" t="s">
        <v>27</v>
      </c>
      <c r="G69" s="3">
        <v>19.65</v>
      </c>
      <c r="I69" s="3">
        <v>22.75</v>
      </c>
      <c r="K69" s="3">
        <v>0.0</v>
      </c>
      <c r="L69" s="3">
        <v>0.0</v>
      </c>
      <c r="M69" s="3" t="s">
        <v>98</v>
      </c>
      <c r="N69" s="3">
        <v>1.0</v>
      </c>
      <c r="O69" s="3">
        <v>0.0</v>
      </c>
      <c r="P69" s="3">
        <v>-0.0472</v>
      </c>
      <c r="Q69" s="3">
        <v>0.0</v>
      </c>
      <c r="R69" s="3">
        <v>0.2362</v>
      </c>
      <c r="S69" s="3">
        <v>38.18</v>
      </c>
      <c r="T69" s="3">
        <v>8.0</v>
      </c>
      <c r="U69" s="3">
        <f t="shared" si="2"/>
        <v>21.2</v>
      </c>
      <c r="V69" s="3"/>
      <c r="W69" s="3">
        <f t="shared" si="3"/>
        <v>21.18037777</v>
      </c>
      <c r="X69" s="3">
        <f t="shared" si="4"/>
        <v>19.24703156</v>
      </c>
      <c r="Y69" s="3">
        <f t="shared" si="5"/>
        <v>19.20494682</v>
      </c>
      <c r="Z69" s="3">
        <f t="shared" ref="Z69:AA69" si="72">_xlfn.NORM.S.DIST(X69)</f>
        <v>1</v>
      </c>
      <c r="AA69" s="3">
        <f t="shared" si="72"/>
        <v>1</v>
      </c>
    </row>
    <row r="70" ht="14.25" customHeight="1">
      <c r="A70" s="3" t="s">
        <v>162</v>
      </c>
      <c r="B70" s="3" t="s">
        <v>163</v>
      </c>
      <c r="C70" s="3" t="s">
        <v>129</v>
      </c>
      <c r="D70" s="3" t="s">
        <v>29</v>
      </c>
      <c r="E70" s="3">
        <v>17.0</v>
      </c>
      <c r="F70" s="3" t="s">
        <v>27</v>
      </c>
      <c r="G70" s="3">
        <v>20.1</v>
      </c>
      <c r="I70" s="3">
        <v>23.15</v>
      </c>
      <c r="K70" s="3">
        <v>0.0</v>
      </c>
      <c r="L70" s="3">
        <v>0.0</v>
      </c>
      <c r="M70" s="3" t="s">
        <v>99</v>
      </c>
      <c r="N70" s="3">
        <v>1.0</v>
      </c>
      <c r="O70" s="3">
        <v>0.0</v>
      </c>
      <c r="P70" s="3">
        <v>-0.0472</v>
      </c>
      <c r="Q70" s="3">
        <v>0.0</v>
      </c>
      <c r="R70" s="3">
        <v>0.2808</v>
      </c>
      <c r="S70" s="3">
        <v>38.540001</v>
      </c>
      <c r="T70" s="3">
        <v>7.0</v>
      </c>
      <c r="U70" s="3">
        <f t="shared" si="2"/>
        <v>21.625</v>
      </c>
      <c r="V70" s="3"/>
      <c r="W70" s="3">
        <f t="shared" si="3"/>
        <v>21.54033155</v>
      </c>
      <c r="X70" s="3">
        <f t="shared" si="4"/>
        <v>17.51277584</v>
      </c>
      <c r="Y70" s="3">
        <f t="shared" si="5"/>
        <v>17.46597584</v>
      </c>
      <c r="Z70" s="3">
        <f t="shared" ref="Z70:AA70" si="73">_xlfn.NORM.S.DIST(X70)</f>
        <v>1</v>
      </c>
      <c r="AA70" s="3">
        <f t="shared" si="73"/>
        <v>1</v>
      </c>
    </row>
    <row r="71" ht="14.25" customHeight="1">
      <c r="A71" s="3" t="s">
        <v>162</v>
      </c>
      <c r="B71" s="3" t="s">
        <v>163</v>
      </c>
      <c r="C71" s="3" t="s">
        <v>129</v>
      </c>
      <c r="D71" s="3" t="s">
        <v>29</v>
      </c>
      <c r="E71" s="3">
        <v>17.0</v>
      </c>
      <c r="F71" s="3" t="s">
        <v>27</v>
      </c>
      <c r="G71" s="3">
        <v>20.0</v>
      </c>
      <c r="I71" s="3">
        <v>22.45</v>
      </c>
      <c r="K71" s="3">
        <v>0.0</v>
      </c>
      <c r="L71" s="3">
        <v>0.0</v>
      </c>
      <c r="M71" s="3" t="s">
        <v>100</v>
      </c>
      <c r="N71" s="3">
        <v>1.0</v>
      </c>
      <c r="O71" s="3">
        <v>0.0</v>
      </c>
      <c r="P71" s="3">
        <v>-0.0472</v>
      </c>
      <c r="Q71" s="3">
        <v>0.0</v>
      </c>
      <c r="R71" s="3">
        <v>0.1792</v>
      </c>
      <c r="S71" s="3">
        <v>38.59</v>
      </c>
      <c r="T71" s="3">
        <v>6.0</v>
      </c>
      <c r="U71" s="3">
        <f t="shared" si="2"/>
        <v>21.225</v>
      </c>
      <c r="V71" s="3"/>
      <c r="W71" s="3">
        <f t="shared" si="3"/>
        <v>21.59028333</v>
      </c>
      <c r="X71" s="3">
        <f t="shared" si="4"/>
        <v>29.66164104</v>
      </c>
      <c r="Y71" s="3">
        <f t="shared" si="5"/>
        <v>29.63398988</v>
      </c>
      <c r="Z71" s="3">
        <f t="shared" ref="Z71:AA71" si="74">_xlfn.NORM.S.DIST(X71)</f>
        <v>1</v>
      </c>
      <c r="AA71" s="3">
        <f t="shared" si="74"/>
        <v>1</v>
      </c>
    </row>
    <row r="72" ht="14.25" customHeight="1">
      <c r="A72" s="3" t="s">
        <v>162</v>
      </c>
      <c r="B72" s="3" t="s">
        <v>163</v>
      </c>
      <c r="C72" s="3" t="s">
        <v>129</v>
      </c>
      <c r="D72" s="3" t="s">
        <v>29</v>
      </c>
      <c r="E72" s="3">
        <v>17.0</v>
      </c>
      <c r="F72" s="3" t="s">
        <v>27</v>
      </c>
      <c r="G72" s="3">
        <v>19.35</v>
      </c>
      <c r="I72" s="3">
        <v>22.45</v>
      </c>
      <c r="K72" s="3">
        <v>0.0</v>
      </c>
      <c r="L72" s="3">
        <v>0.0</v>
      </c>
      <c r="M72" s="3" t="s">
        <v>101</v>
      </c>
      <c r="N72" s="3">
        <v>1.0</v>
      </c>
      <c r="O72" s="3">
        <v>0.0</v>
      </c>
      <c r="P72" s="3">
        <v>-0.0472</v>
      </c>
      <c r="Q72" s="3">
        <v>0.0</v>
      </c>
      <c r="R72" s="3">
        <v>0.3902</v>
      </c>
      <c r="S72" s="3">
        <v>37.950001</v>
      </c>
      <c r="T72" s="3">
        <v>5.0</v>
      </c>
      <c r="U72" s="3">
        <f t="shared" si="2"/>
        <v>20.9</v>
      </c>
      <c r="V72" s="3"/>
      <c r="W72" s="3">
        <f t="shared" si="3"/>
        <v>20.95023711</v>
      </c>
      <c r="X72" s="3">
        <f t="shared" si="4"/>
        <v>14.63853225</v>
      </c>
      <c r="Y72" s="3">
        <f t="shared" si="5"/>
        <v>14.58356905</v>
      </c>
      <c r="Z72" s="3">
        <f t="shared" ref="Z72:AA72" si="75">_xlfn.NORM.S.DIST(X72)</f>
        <v>1</v>
      </c>
      <c r="AA72" s="3">
        <f t="shared" si="75"/>
        <v>1</v>
      </c>
    </row>
    <row r="73" ht="14.25" customHeight="1">
      <c r="A73" s="3" t="s">
        <v>162</v>
      </c>
      <c r="B73" s="3" t="s">
        <v>163</v>
      </c>
      <c r="C73" s="3" t="s">
        <v>129</v>
      </c>
      <c r="D73" s="3" t="s">
        <v>29</v>
      </c>
      <c r="E73" s="3">
        <v>17.0</v>
      </c>
      <c r="F73" s="3" t="s">
        <v>27</v>
      </c>
      <c r="G73" s="3">
        <v>19.5</v>
      </c>
      <c r="I73" s="3">
        <v>22.45</v>
      </c>
      <c r="K73" s="3">
        <v>0.0</v>
      </c>
      <c r="L73" s="3">
        <v>0.0</v>
      </c>
      <c r="M73" s="3" t="s">
        <v>102</v>
      </c>
      <c r="N73" s="3">
        <v>1.0</v>
      </c>
      <c r="O73" s="3">
        <v>0.0</v>
      </c>
      <c r="P73" s="3">
        <v>-0.0472</v>
      </c>
      <c r="Q73" s="3">
        <v>0.0</v>
      </c>
      <c r="R73" s="3">
        <v>0.1957</v>
      </c>
      <c r="S73" s="3">
        <v>37.939999</v>
      </c>
      <c r="T73" s="3">
        <v>4.0</v>
      </c>
      <c r="U73" s="3">
        <f t="shared" si="2"/>
        <v>20.975</v>
      </c>
      <c r="V73" s="3"/>
      <c r="W73" s="3">
        <f t="shared" si="3"/>
        <v>20.94018789</v>
      </c>
      <c r="X73" s="3">
        <f t="shared" si="4"/>
        <v>32.5726594</v>
      </c>
      <c r="Y73" s="3">
        <f t="shared" si="5"/>
        <v>32.54800352</v>
      </c>
      <c r="Z73" s="3">
        <f t="shared" ref="Z73:AA73" si="76">_xlfn.NORM.S.DIST(X73)</f>
        <v>1</v>
      </c>
      <c r="AA73" s="3">
        <f t="shared" si="76"/>
        <v>1</v>
      </c>
    </row>
    <row r="74" ht="14.25" customHeight="1">
      <c r="A74" s="3" t="s">
        <v>162</v>
      </c>
      <c r="B74" s="3" t="s">
        <v>163</v>
      </c>
      <c r="C74" s="3" t="s">
        <v>129</v>
      </c>
      <c r="D74" s="3" t="s">
        <v>29</v>
      </c>
      <c r="E74" s="3">
        <v>17.0</v>
      </c>
      <c r="F74" s="3" t="s">
        <v>27</v>
      </c>
      <c r="G74" s="3">
        <v>19.05</v>
      </c>
      <c r="I74" s="3">
        <v>22.45</v>
      </c>
      <c r="K74" s="3">
        <v>0.0</v>
      </c>
      <c r="L74" s="3">
        <v>0.0</v>
      </c>
      <c r="M74" s="3" t="s">
        <v>103</v>
      </c>
      <c r="N74" s="3">
        <v>1.0</v>
      </c>
      <c r="O74" s="3">
        <v>0.0</v>
      </c>
      <c r="P74" s="3">
        <v>-0.0472</v>
      </c>
      <c r="Q74" s="3">
        <v>0.0</v>
      </c>
      <c r="R74" s="3">
        <v>0.3559</v>
      </c>
      <c r="S74" s="3">
        <v>37.779999</v>
      </c>
      <c r="T74" s="3">
        <v>3.0</v>
      </c>
      <c r="U74" s="3">
        <f t="shared" si="2"/>
        <v>20.75</v>
      </c>
      <c r="V74" s="3"/>
      <c r="W74" s="3">
        <f t="shared" si="3"/>
        <v>20.78014067</v>
      </c>
      <c r="X74" s="3">
        <f t="shared" si="4"/>
        <v>20.58434756</v>
      </c>
      <c r="Y74" s="3">
        <f t="shared" si="5"/>
        <v>20.54551569</v>
      </c>
      <c r="Z74" s="3">
        <f t="shared" ref="Z74:AA74" si="77">_xlfn.NORM.S.DIST(X74)</f>
        <v>1</v>
      </c>
      <c r="AA74" s="3">
        <f t="shared" si="77"/>
        <v>1</v>
      </c>
    </row>
    <row r="75" ht="14.25" customHeight="1">
      <c r="A75" s="3" t="s">
        <v>162</v>
      </c>
      <c r="B75" s="3" t="s">
        <v>163</v>
      </c>
      <c r="C75" s="3" t="s">
        <v>129</v>
      </c>
      <c r="D75" s="3" t="s">
        <v>29</v>
      </c>
      <c r="E75" s="3">
        <v>17.0</v>
      </c>
      <c r="F75" s="3" t="s">
        <v>27</v>
      </c>
      <c r="G75" s="3">
        <v>19.05</v>
      </c>
      <c r="I75" s="3">
        <v>22.45</v>
      </c>
      <c r="K75" s="3">
        <v>0.0</v>
      </c>
      <c r="L75" s="3">
        <v>0.0</v>
      </c>
      <c r="M75" s="3" t="s">
        <v>104</v>
      </c>
      <c r="N75" s="3">
        <v>1.0</v>
      </c>
      <c r="O75" s="3">
        <v>0.0</v>
      </c>
      <c r="P75" s="3">
        <v>-0.0472</v>
      </c>
      <c r="Q75" s="3">
        <v>0.0</v>
      </c>
      <c r="R75" s="3">
        <v>0.2698</v>
      </c>
      <c r="S75" s="3">
        <v>37.740002</v>
      </c>
      <c r="T75" s="3">
        <v>2.0</v>
      </c>
      <c r="U75" s="3">
        <f t="shared" si="2"/>
        <v>20.75</v>
      </c>
      <c r="V75" s="3"/>
      <c r="W75" s="3">
        <f t="shared" si="3"/>
        <v>20.74009644</v>
      </c>
      <c r="X75" s="3">
        <f t="shared" si="4"/>
        <v>33.19237006</v>
      </c>
      <c r="Y75" s="3">
        <f t="shared" si="5"/>
        <v>33.16833437</v>
      </c>
      <c r="Z75" s="3">
        <f t="shared" ref="Z75:AA75" si="78">_xlfn.NORM.S.DIST(X75)</f>
        <v>1</v>
      </c>
      <c r="AA75" s="3">
        <f t="shared" si="78"/>
        <v>1</v>
      </c>
    </row>
    <row r="76" ht="14.25" customHeight="1">
      <c r="A76" s="3" t="s">
        <v>162</v>
      </c>
      <c r="B76" s="3" t="s">
        <v>163</v>
      </c>
      <c r="C76" s="3" t="s">
        <v>129</v>
      </c>
      <c r="D76" s="3" t="s">
        <v>29</v>
      </c>
      <c r="E76" s="3">
        <v>17.0</v>
      </c>
      <c r="F76" s="3" t="s">
        <v>27</v>
      </c>
      <c r="G76" s="3">
        <v>19.2</v>
      </c>
      <c r="I76" s="3">
        <v>22.45</v>
      </c>
      <c r="K76" s="3">
        <v>0.0</v>
      </c>
      <c r="L76" s="3">
        <v>0.0</v>
      </c>
      <c r="M76" s="3" t="s">
        <v>105</v>
      </c>
      <c r="N76" s="3">
        <v>1.0</v>
      </c>
      <c r="O76" s="3">
        <v>0.0</v>
      </c>
      <c r="P76" s="3">
        <v>-0.0472</v>
      </c>
      <c r="Q76" s="3">
        <v>0.0</v>
      </c>
      <c r="R76" s="3">
        <v>0.7207</v>
      </c>
      <c r="S76" s="3">
        <v>38.279999</v>
      </c>
      <c r="T76" s="3">
        <v>1.0</v>
      </c>
      <c r="U76" s="3">
        <f t="shared" si="2"/>
        <v>20.825</v>
      </c>
      <c r="V76" s="3"/>
      <c r="W76" s="3">
        <f t="shared" si="3"/>
        <v>21.28004622</v>
      </c>
      <c r="X76" s="3">
        <f t="shared" si="4"/>
        <v>17.90199434</v>
      </c>
      <c r="Y76" s="3">
        <f t="shared" si="5"/>
        <v>17.85659451</v>
      </c>
      <c r="Z76" s="3">
        <f t="shared" ref="Z76:AA76" si="79">_xlfn.NORM.S.DIST(X76)</f>
        <v>1</v>
      </c>
      <c r="AA76" s="3">
        <f t="shared" si="79"/>
        <v>1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29"/>
    <col customWidth="1" min="4" max="12" width="8.71"/>
    <col customWidth="1" min="13" max="13" width="10.71"/>
    <col customWidth="1" min="14" max="21" width="8.71"/>
    <col customWidth="1" min="22" max="22" width="8.86"/>
    <col customWidth="1" min="23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164</v>
      </c>
      <c r="B2" s="3" t="s">
        <v>165</v>
      </c>
      <c r="C2" s="3" t="s">
        <v>132</v>
      </c>
      <c r="D2" s="3" t="s">
        <v>29</v>
      </c>
      <c r="E2" s="3">
        <v>45.0</v>
      </c>
      <c r="F2" s="3" t="s">
        <v>27</v>
      </c>
      <c r="G2" s="3">
        <v>39.35</v>
      </c>
      <c r="I2" s="3">
        <v>42.25</v>
      </c>
      <c r="K2" s="3">
        <v>0.0</v>
      </c>
      <c r="L2" s="3">
        <v>0.0</v>
      </c>
      <c r="M2" s="3" t="s">
        <v>30</v>
      </c>
      <c r="N2" s="3">
        <v>1.0</v>
      </c>
      <c r="O2" s="3">
        <v>0.0</v>
      </c>
      <c r="P2" s="3">
        <v>-0.1362</v>
      </c>
      <c r="Q2" s="3">
        <v>0.0</v>
      </c>
      <c r="R2" s="3">
        <v>0.2079</v>
      </c>
      <c r="S2" s="3">
        <v>86.739998</v>
      </c>
      <c r="T2" s="3">
        <v>51.0</v>
      </c>
      <c r="U2" s="3">
        <f t="shared" ref="U2:U52" si="2">(I2+G2)*0.5</f>
        <v>40.8</v>
      </c>
      <c r="V2" s="3"/>
      <c r="W2" s="3">
        <f t="shared" ref="W2:W52" si="3">( S2*Z2 ) - ( E2 * EXP(-0.0007*T2/$AC$2) * AA2)</f>
        <v>41.74637255</v>
      </c>
      <c r="X2" s="3">
        <f t="shared" ref="X2:X52" si="4">((LN(S2/E2) + (0.0007 + (R2^2)/2) * T2/$AC$2)) / (R2 * SQRT(T2/$AC$2))</f>
        <v>7.064959686</v>
      </c>
      <c r="Y2" s="3">
        <f t="shared" ref="Y2:Y52" si="5">X2-(R2*SQRT(T2/$AC$2))</f>
        <v>6.97143219</v>
      </c>
      <c r="Z2" s="3">
        <f t="shared" ref="Z2:AA2" si="1">_xlfn.NORM.S.DIST(X2)</f>
        <v>1</v>
      </c>
      <c r="AA2" s="3">
        <f t="shared" si="1"/>
        <v>1</v>
      </c>
      <c r="AC2" s="6">
        <v>252.0</v>
      </c>
    </row>
    <row r="3" ht="14.25" customHeight="1">
      <c r="A3" s="3" t="s">
        <v>164</v>
      </c>
      <c r="B3" s="3" t="s">
        <v>165</v>
      </c>
      <c r="C3" s="3" t="s">
        <v>132</v>
      </c>
      <c r="D3" s="3" t="s">
        <v>29</v>
      </c>
      <c r="E3" s="3">
        <v>45.0</v>
      </c>
      <c r="F3" s="3" t="s">
        <v>27</v>
      </c>
      <c r="G3" s="3">
        <v>38.75</v>
      </c>
      <c r="I3" s="3">
        <v>43.0</v>
      </c>
      <c r="K3" s="3">
        <v>0.0</v>
      </c>
      <c r="L3" s="3">
        <v>0.0</v>
      </c>
      <c r="M3" s="3" t="s">
        <v>31</v>
      </c>
      <c r="N3" s="3">
        <v>1.0</v>
      </c>
      <c r="O3" s="3">
        <v>0.0</v>
      </c>
      <c r="P3" s="3">
        <v>-0.1362</v>
      </c>
      <c r="Q3" s="3">
        <v>0.0</v>
      </c>
      <c r="R3" s="3">
        <v>0.2027</v>
      </c>
      <c r="S3" s="3">
        <v>85.860001</v>
      </c>
      <c r="T3" s="3">
        <v>50.0</v>
      </c>
      <c r="U3" s="3">
        <f t="shared" si="2"/>
        <v>40.875</v>
      </c>
      <c r="V3" s="3"/>
      <c r="W3" s="3">
        <f t="shared" si="3"/>
        <v>40.86625057</v>
      </c>
      <c r="X3" s="3">
        <f t="shared" si="4"/>
        <v>7.202041746</v>
      </c>
      <c r="Y3" s="3">
        <f t="shared" si="5"/>
        <v>7.11175199</v>
      </c>
      <c r="Z3" s="3">
        <f t="shared" ref="Z3:AA3" si="6">_xlfn.NORM.S.DIST(X3)</f>
        <v>1</v>
      </c>
      <c r="AA3" s="3">
        <f t="shared" si="6"/>
        <v>1</v>
      </c>
    </row>
    <row r="4" ht="14.25" customHeight="1">
      <c r="A4" s="3" t="s">
        <v>164</v>
      </c>
      <c r="B4" s="3" t="s">
        <v>165</v>
      </c>
      <c r="C4" s="3" t="s">
        <v>132</v>
      </c>
      <c r="D4" s="3" t="s">
        <v>29</v>
      </c>
      <c r="E4" s="3">
        <v>45.0</v>
      </c>
      <c r="F4" s="3" t="s">
        <v>27</v>
      </c>
      <c r="G4" s="3">
        <v>39.4</v>
      </c>
      <c r="I4" s="3">
        <v>43.1</v>
      </c>
      <c r="K4" s="3">
        <v>0.0</v>
      </c>
      <c r="L4" s="3">
        <v>0.0</v>
      </c>
      <c r="M4" s="3" t="s">
        <v>32</v>
      </c>
      <c r="N4" s="3">
        <v>1.0</v>
      </c>
      <c r="O4" s="3">
        <v>0.0</v>
      </c>
      <c r="P4" s="3">
        <v>-0.1362</v>
      </c>
      <c r="Q4" s="3">
        <v>0.0</v>
      </c>
      <c r="R4" s="3">
        <v>0.2003</v>
      </c>
      <c r="S4" s="3">
        <v>86.519997</v>
      </c>
      <c r="T4" s="3">
        <v>49.0</v>
      </c>
      <c r="U4" s="3">
        <f t="shared" si="2"/>
        <v>41.25</v>
      </c>
      <c r="V4" s="3"/>
      <c r="W4" s="3">
        <f t="shared" si="3"/>
        <v>41.52612158</v>
      </c>
      <c r="X4" s="3">
        <f t="shared" si="4"/>
        <v>7.447010636</v>
      </c>
      <c r="Y4" s="3">
        <f t="shared" si="5"/>
        <v>7.358686638</v>
      </c>
      <c r="Z4" s="3">
        <f t="shared" ref="Z4:AA4" si="7">_xlfn.NORM.S.DIST(X4)</f>
        <v>1</v>
      </c>
      <c r="AA4" s="3">
        <f t="shared" si="7"/>
        <v>1</v>
      </c>
    </row>
    <row r="5" ht="14.25" customHeight="1">
      <c r="A5" s="3" t="s">
        <v>164</v>
      </c>
      <c r="B5" s="3" t="s">
        <v>165</v>
      </c>
      <c r="C5" s="3" t="s">
        <v>132</v>
      </c>
      <c r="D5" s="3" t="s">
        <v>29</v>
      </c>
      <c r="E5" s="3">
        <v>45.0</v>
      </c>
      <c r="F5" s="3" t="s">
        <v>27</v>
      </c>
      <c r="G5" s="3">
        <v>39.5</v>
      </c>
      <c r="I5" s="3">
        <v>42.8</v>
      </c>
      <c r="K5" s="3">
        <v>0.0</v>
      </c>
      <c r="L5" s="3">
        <v>0.0</v>
      </c>
      <c r="M5" s="3" t="s">
        <v>33</v>
      </c>
      <c r="N5" s="3">
        <v>0.9996</v>
      </c>
      <c r="O5" s="3">
        <v>0.0</v>
      </c>
      <c r="P5" s="3">
        <v>0.033</v>
      </c>
      <c r="Q5" s="3">
        <v>0.0</v>
      </c>
      <c r="R5" s="3">
        <v>0.251</v>
      </c>
      <c r="S5" s="3">
        <v>86.25</v>
      </c>
      <c r="T5" s="3">
        <v>48.0</v>
      </c>
      <c r="U5" s="3">
        <f t="shared" si="2"/>
        <v>41.15</v>
      </c>
      <c r="V5" s="3"/>
      <c r="W5" s="3">
        <f t="shared" si="3"/>
        <v>41.2559996</v>
      </c>
      <c r="X5" s="3">
        <f t="shared" si="4"/>
        <v>5.994967468</v>
      </c>
      <c r="Y5" s="3">
        <f t="shared" si="5"/>
        <v>5.885422087</v>
      </c>
      <c r="Z5" s="3">
        <f t="shared" ref="Z5:AA5" si="8">_xlfn.NORM.S.DIST(X5)</f>
        <v>0.999999999</v>
      </c>
      <c r="AA5" s="3">
        <f t="shared" si="8"/>
        <v>0.999999998</v>
      </c>
    </row>
    <row r="6" ht="14.25" customHeight="1">
      <c r="A6" s="3" t="s">
        <v>164</v>
      </c>
      <c r="B6" s="3" t="s">
        <v>165</v>
      </c>
      <c r="C6" s="3" t="s">
        <v>132</v>
      </c>
      <c r="D6" s="3" t="s">
        <v>29</v>
      </c>
      <c r="E6" s="3">
        <v>45.0</v>
      </c>
      <c r="F6" s="3" t="s">
        <v>27</v>
      </c>
      <c r="G6" s="3">
        <v>39.15</v>
      </c>
      <c r="I6" s="3">
        <v>42.75</v>
      </c>
      <c r="K6" s="3">
        <v>0.0</v>
      </c>
      <c r="L6" s="3">
        <v>0.0</v>
      </c>
      <c r="M6" s="3" t="s">
        <v>34</v>
      </c>
      <c r="N6" s="3">
        <v>0.9993</v>
      </c>
      <c r="O6" s="3">
        <v>0.0</v>
      </c>
      <c r="P6" s="3">
        <v>0.2014</v>
      </c>
      <c r="Q6" s="3">
        <v>0.0</v>
      </c>
      <c r="R6" s="3">
        <v>0.2537</v>
      </c>
      <c r="S6" s="3">
        <v>86.089996</v>
      </c>
      <c r="T6" s="3">
        <v>47.0</v>
      </c>
      <c r="U6" s="3">
        <f t="shared" si="2"/>
        <v>40.95</v>
      </c>
      <c r="V6" s="3"/>
      <c r="W6" s="3">
        <f t="shared" si="3"/>
        <v>41.09587062</v>
      </c>
      <c r="X6" s="3">
        <f t="shared" si="4"/>
        <v>5.976977564</v>
      </c>
      <c r="Y6" s="3">
        <f t="shared" si="5"/>
        <v>5.86741325</v>
      </c>
      <c r="Z6" s="3">
        <f t="shared" ref="Z6:AA6" si="9">_xlfn.NORM.S.DIST(X6)</f>
        <v>0.9999999989</v>
      </c>
      <c r="AA6" s="3">
        <f t="shared" si="9"/>
        <v>0.9999999978</v>
      </c>
    </row>
    <row r="7" ht="14.25" customHeight="1">
      <c r="A7" s="3" t="s">
        <v>164</v>
      </c>
      <c r="B7" s="3" t="s">
        <v>165</v>
      </c>
      <c r="C7" s="3" t="s">
        <v>132</v>
      </c>
      <c r="D7" s="3" t="s">
        <v>29</v>
      </c>
      <c r="E7" s="3">
        <v>45.0</v>
      </c>
      <c r="F7" s="3" t="s">
        <v>27</v>
      </c>
      <c r="G7" s="3">
        <v>39.75</v>
      </c>
      <c r="I7" s="3">
        <v>43.0</v>
      </c>
      <c r="K7" s="3">
        <v>0.0</v>
      </c>
      <c r="L7" s="3">
        <v>0.0</v>
      </c>
      <c r="M7" s="3" t="s">
        <v>35</v>
      </c>
      <c r="N7" s="3">
        <v>0.9993</v>
      </c>
      <c r="O7" s="3">
        <v>0.0</v>
      </c>
      <c r="P7" s="3">
        <v>0.2023</v>
      </c>
      <c r="Q7" s="3">
        <v>0.0</v>
      </c>
      <c r="R7" s="3">
        <v>0.2914</v>
      </c>
      <c r="S7" s="3">
        <v>85.830002</v>
      </c>
      <c r="T7" s="3">
        <v>46.0</v>
      </c>
      <c r="U7" s="3">
        <f t="shared" si="2"/>
        <v>41.375</v>
      </c>
      <c r="V7" s="3"/>
      <c r="W7" s="3">
        <f t="shared" si="3"/>
        <v>40.83575178</v>
      </c>
      <c r="X7" s="3">
        <f t="shared" si="4"/>
        <v>5.249684612</v>
      </c>
      <c r="Y7" s="3">
        <f t="shared" si="5"/>
        <v>5.125184944</v>
      </c>
      <c r="Z7" s="3">
        <f t="shared" ref="Z7:AA7" si="10">_xlfn.NORM.S.DIST(X7)</f>
        <v>0.9999999238</v>
      </c>
      <c r="AA7" s="3">
        <f t="shared" si="10"/>
        <v>0.9999998514</v>
      </c>
    </row>
    <row r="8" ht="14.25" customHeight="1">
      <c r="A8" s="3" t="s">
        <v>164</v>
      </c>
      <c r="B8" s="3" t="s">
        <v>165</v>
      </c>
      <c r="C8" s="3" t="s">
        <v>132</v>
      </c>
      <c r="D8" s="3" t="s">
        <v>29</v>
      </c>
      <c r="E8" s="3">
        <v>45.0</v>
      </c>
      <c r="F8" s="3" t="s">
        <v>27</v>
      </c>
      <c r="G8" s="3">
        <v>39.75</v>
      </c>
      <c r="I8" s="3">
        <v>44.05</v>
      </c>
      <c r="K8" s="3">
        <v>0.0</v>
      </c>
      <c r="L8" s="3">
        <v>0.0</v>
      </c>
      <c r="M8" s="3" t="s">
        <v>36</v>
      </c>
      <c r="N8" s="3">
        <v>0.9993</v>
      </c>
      <c r="O8" s="3">
        <v>0.0</v>
      </c>
      <c r="P8" s="3">
        <v>0.2101</v>
      </c>
      <c r="Q8" s="3">
        <v>0.0</v>
      </c>
      <c r="R8" s="3">
        <v>0.2109</v>
      </c>
      <c r="S8" s="3">
        <v>87.290001</v>
      </c>
      <c r="T8" s="3">
        <v>45.0</v>
      </c>
      <c r="U8" s="3">
        <f t="shared" si="2"/>
        <v>41.9</v>
      </c>
      <c r="V8" s="3"/>
      <c r="W8" s="3">
        <f t="shared" si="3"/>
        <v>42.29562565</v>
      </c>
      <c r="X8" s="3">
        <f t="shared" si="4"/>
        <v>7.480457935</v>
      </c>
      <c r="Y8" s="3">
        <f t="shared" si="5"/>
        <v>7.391336419</v>
      </c>
      <c r="Z8" s="3">
        <f t="shared" ref="Z8:AA8" si="11">_xlfn.NORM.S.DIST(X8)</f>
        <v>1</v>
      </c>
      <c r="AA8" s="3">
        <f t="shared" si="11"/>
        <v>1</v>
      </c>
    </row>
    <row r="9" ht="14.25" customHeight="1">
      <c r="A9" s="3" t="s">
        <v>164</v>
      </c>
      <c r="B9" s="3" t="s">
        <v>165</v>
      </c>
      <c r="C9" s="3" t="s">
        <v>132</v>
      </c>
      <c r="D9" s="3" t="s">
        <v>29</v>
      </c>
      <c r="E9" s="3">
        <v>45.0</v>
      </c>
      <c r="F9" s="3" t="s">
        <v>27</v>
      </c>
      <c r="G9" s="3">
        <v>42.4</v>
      </c>
      <c r="I9" s="3">
        <v>45.8</v>
      </c>
      <c r="K9" s="3">
        <v>0.0</v>
      </c>
      <c r="L9" s="3">
        <v>0.0</v>
      </c>
      <c r="M9" s="3" t="s">
        <v>37</v>
      </c>
      <c r="N9" s="3">
        <v>0.9993</v>
      </c>
      <c r="O9" s="3">
        <v>0.0</v>
      </c>
      <c r="P9" s="3">
        <v>0.2177</v>
      </c>
      <c r="Q9" s="3">
        <v>0.0</v>
      </c>
      <c r="R9" s="3">
        <v>0.2393</v>
      </c>
      <c r="S9" s="3">
        <v>89.230003</v>
      </c>
      <c r="T9" s="3">
        <v>44.0</v>
      </c>
      <c r="U9" s="3">
        <f t="shared" si="2"/>
        <v>44.1</v>
      </c>
      <c r="V9" s="3"/>
      <c r="W9" s="3">
        <f t="shared" si="3"/>
        <v>44.23550266</v>
      </c>
      <c r="X9" s="3">
        <f t="shared" si="4"/>
        <v>6.897259547</v>
      </c>
      <c r="Y9" s="3">
        <f t="shared" si="5"/>
        <v>6.797266738</v>
      </c>
      <c r="Z9" s="3">
        <f t="shared" ref="Z9:AA9" si="12">_xlfn.NORM.S.DIST(X9)</f>
        <v>1</v>
      </c>
      <c r="AA9" s="3">
        <f t="shared" si="12"/>
        <v>1</v>
      </c>
    </row>
    <row r="10" ht="14.25" customHeight="1">
      <c r="A10" s="3" t="s">
        <v>164</v>
      </c>
      <c r="B10" s="3" t="s">
        <v>165</v>
      </c>
      <c r="C10" s="3" t="s">
        <v>132</v>
      </c>
      <c r="D10" s="3" t="s">
        <v>29</v>
      </c>
      <c r="E10" s="3">
        <v>45.0</v>
      </c>
      <c r="F10" s="3" t="s">
        <v>27</v>
      </c>
      <c r="G10" s="3">
        <v>42.2</v>
      </c>
      <c r="I10" s="3">
        <v>45.9</v>
      </c>
      <c r="K10" s="3">
        <v>0.0</v>
      </c>
      <c r="L10" s="3">
        <v>0.0</v>
      </c>
      <c r="M10" s="3" t="s">
        <v>38</v>
      </c>
      <c r="N10" s="3">
        <v>0.9993</v>
      </c>
      <c r="O10" s="3">
        <v>0.0</v>
      </c>
      <c r="P10" s="3">
        <v>0.2151</v>
      </c>
      <c r="Q10" s="3">
        <v>0.0</v>
      </c>
      <c r="R10" s="3">
        <v>0.2347</v>
      </c>
      <c r="S10" s="3">
        <v>89.07</v>
      </c>
      <c r="T10" s="3">
        <v>43.0</v>
      </c>
      <c r="U10" s="3">
        <f t="shared" si="2"/>
        <v>44.05</v>
      </c>
      <c r="V10" s="3"/>
      <c r="W10" s="3">
        <f t="shared" si="3"/>
        <v>44.07537468</v>
      </c>
      <c r="X10" s="3">
        <f t="shared" si="4"/>
        <v>7.092113256</v>
      </c>
      <c r="Y10" s="3">
        <f t="shared" si="5"/>
        <v>6.995163427</v>
      </c>
      <c r="Z10" s="3">
        <f t="shared" ref="Z10:AA10" si="13">_xlfn.NORM.S.DIST(X10)</f>
        <v>1</v>
      </c>
      <c r="AA10" s="3">
        <f t="shared" si="13"/>
        <v>1</v>
      </c>
    </row>
    <row r="11" ht="14.25" customHeight="1">
      <c r="A11" s="3" t="s">
        <v>164</v>
      </c>
      <c r="B11" s="3" t="s">
        <v>165</v>
      </c>
      <c r="C11" s="3" t="s">
        <v>132</v>
      </c>
      <c r="D11" s="3" t="s">
        <v>29</v>
      </c>
      <c r="E11" s="3">
        <v>45.0</v>
      </c>
      <c r="F11" s="3" t="s">
        <v>27</v>
      </c>
      <c r="G11" s="3">
        <v>42.05</v>
      </c>
      <c r="I11" s="3">
        <v>45.8</v>
      </c>
      <c r="K11" s="3">
        <v>0.0</v>
      </c>
      <c r="L11" s="3">
        <v>0.0</v>
      </c>
      <c r="M11" s="3" t="s">
        <v>39</v>
      </c>
      <c r="N11" s="3">
        <v>0.9994</v>
      </c>
      <c r="O11" s="3">
        <v>0.0</v>
      </c>
      <c r="P11" s="3">
        <v>0.2125</v>
      </c>
      <c r="Q11" s="3">
        <v>0.0</v>
      </c>
      <c r="R11" s="3">
        <v>0.2472</v>
      </c>
      <c r="S11" s="3">
        <v>88.919998</v>
      </c>
      <c r="T11" s="3">
        <v>42.0</v>
      </c>
      <c r="U11" s="3">
        <f t="shared" si="2"/>
        <v>43.925</v>
      </c>
      <c r="V11" s="3"/>
      <c r="W11" s="3">
        <f t="shared" si="3"/>
        <v>43.92524769</v>
      </c>
      <c r="X11" s="3">
        <f t="shared" si="4"/>
        <v>6.800342028</v>
      </c>
      <c r="Y11" s="3">
        <f t="shared" si="5"/>
        <v>6.699423051</v>
      </c>
      <c r="Z11" s="3">
        <f t="shared" ref="Z11:AA11" si="14">_xlfn.NORM.S.DIST(X11)</f>
        <v>1</v>
      </c>
      <c r="AA11" s="3">
        <f t="shared" si="14"/>
        <v>1</v>
      </c>
    </row>
    <row r="12" ht="14.25" customHeight="1">
      <c r="A12" s="3" t="s">
        <v>164</v>
      </c>
      <c r="B12" s="3" t="s">
        <v>165</v>
      </c>
      <c r="C12" s="3" t="s">
        <v>132</v>
      </c>
      <c r="D12" s="3" t="s">
        <v>29</v>
      </c>
      <c r="E12" s="3">
        <v>45.0</v>
      </c>
      <c r="F12" s="3" t="s">
        <v>27</v>
      </c>
      <c r="G12" s="3">
        <v>41.5</v>
      </c>
      <c r="I12" s="3">
        <v>45.25</v>
      </c>
      <c r="K12" s="3">
        <v>0.0</v>
      </c>
      <c r="L12" s="3">
        <v>0.0</v>
      </c>
      <c r="M12" s="3" t="s">
        <v>40</v>
      </c>
      <c r="N12" s="3">
        <v>0.9994</v>
      </c>
      <c r="O12" s="3">
        <v>0.0</v>
      </c>
      <c r="P12" s="3">
        <v>0.2093</v>
      </c>
      <c r="Q12" s="3">
        <v>0.0</v>
      </c>
      <c r="R12" s="3">
        <v>0.2407</v>
      </c>
      <c r="S12" s="3">
        <v>88.339996</v>
      </c>
      <c r="T12" s="3">
        <v>41.0</v>
      </c>
      <c r="U12" s="3">
        <f t="shared" si="2"/>
        <v>43.375</v>
      </c>
      <c r="V12" s="3"/>
      <c r="W12" s="3">
        <f t="shared" si="3"/>
        <v>43.34512071</v>
      </c>
      <c r="X12" s="3">
        <f t="shared" si="4"/>
        <v>6.997301585</v>
      </c>
      <c r="Y12" s="3">
        <f t="shared" si="5"/>
        <v>6.900213095</v>
      </c>
      <c r="Z12" s="3">
        <f t="shared" ref="Z12:AA12" si="15">_xlfn.NORM.S.DIST(X12)</f>
        <v>1</v>
      </c>
      <c r="AA12" s="3">
        <f t="shared" si="15"/>
        <v>1</v>
      </c>
    </row>
    <row r="13" ht="14.25" customHeight="1">
      <c r="A13" s="3" t="s">
        <v>164</v>
      </c>
      <c r="B13" s="3" t="s">
        <v>165</v>
      </c>
      <c r="C13" s="3" t="s">
        <v>132</v>
      </c>
      <c r="D13" s="3" t="s">
        <v>29</v>
      </c>
      <c r="E13" s="3">
        <v>45.0</v>
      </c>
      <c r="F13" s="3" t="s">
        <v>27</v>
      </c>
      <c r="G13" s="3">
        <v>41.9</v>
      </c>
      <c r="I13" s="3">
        <v>45.9</v>
      </c>
      <c r="K13" s="3">
        <v>0.0</v>
      </c>
      <c r="L13" s="3">
        <v>0.0</v>
      </c>
      <c r="M13" s="3" t="s">
        <v>41</v>
      </c>
      <c r="N13" s="3">
        <v>0.9994</v>
      </c>
      <c r="O13" s="3">
        <v>0.0</v>
      </c>
      <c r="P13" s="3">
        <v>0.1954</v>
      </c>
      <c r="Q13" s="3">
        <v>0.0</v>
      </c>
      <c r="R13" s="3">
        <v>0.2454</v>
      </c>
      <c r="S13" s="3">
        <v>89.139999</v>
      </c>
      <c r="T13" s="3">
        <v>40.0</v>
      </c>
      <c r="U13" s="3">
        <f t="shared" si="2"/>
        <v>43.9</v>
      </c>
      <c r="V13" s="3"/>
      <c r="W13" s="3">
        <f t="shared" si="3"/>
        <v>44.14499872</v>
      </c>
      <c r="X13" s="3">
        <f t="shared" si="4"/>
        <v>7.041406827</v>
      </c>
      <c r="Y13" s="3">
        <f t="shared" si="5"/>
        <v>6.943637127</v>
      </c>
      <c r="Z13" s="3">
        <f t="shared" ref="Z13:AA13" si="16">_xlfn.NORM.S.DIST(X13)</f>
        <v>1</v>
      </c>
      <c r="AA13" s="3">
        <f t="shared" si="16"/>
        <v>1</v>
      </c>
    </row>
    <row r="14" ht="14.25" customHeight="1">
      <c r="A14" s="3" t="s">
        <v>164</v>
      </c>
      <c r="B14" s="3" t="s">
        <v>165</v>
      </c>
      <c r="C14" s="3" t="s">
        <v>132</v>
      </c>
      <c r="D14" s="3" t="s">
        <v>29</v>
      </c>
      <c r="E14" s="3">
        <v>45.0</v>
      </c>
      <c r="F14" s="3" t="s">
        <v>27</v>
      </c>
      <c r="G14" s="3">
        <v>42.55</v>
      </c>
      <c r="I14" s="3">
        <v>46.55</v>
      </c>
      <c r="K14" s="3">
        <v>0.0</v>
      </c>
      <c r="L14" s="3">
        <v>0.0</v>
      </c>
      <c r="M14" s="3" t="s">
        <v>42</v>
      </c>
      <c r="N14" s="3">
        <v>0.9994</v>
      </c>
      <c r="O14" s="3">
        <v>0.0</v>
      </c>
      <c r="P14" s="3">
        <v>0.1906</v>
      </c>
      <c r="Q14" s="3">
        <v>0.0</v>
      </c>
      <c r="R14" s="3">
        <v>0.1959</v>
      </c>
      <c r="S14" s="3">
        <v>89.980003</v>
      </c>
      <c r="T14" s="3">
        <v>39.0</v>
      </c>
      <c r="U14" s="3">
        <f t="shared" si="2"/>
        <v>44.55</v>
      </c>
      <c r="V14" s="3"/>
      <c r="W14" s="3">
        <f t="shared" si="3"/>
        <v>44.98487774</v>
      </c>
      <c r="X14" s="3">
        <f t="shared" si="4"/>
        <v>9.031182147</v>
      </c>
      <c r="Y14" s="3">
        <f t="shared" si="5"/>
        <v>8.9541155</v>
      </c>
      <c r="Z14" s="3">
        <f t="shared" ref="Z14:AA14" si="17">_xlfn.NORM.S.DIST(X14)</f>
        <v>1</v>
      </c>
      <c r="AA14" s="3">
        <f t="shared" si="17"/>
        <v>1</v>
      </c>
    </row>
    <row r="15" ht="14.25" customHeight="1">
      <c r="A15" s="3" t="s">
        <v>164</v>
      </c>
      <c r="B15" s="3" t="s">
        <v>165</v>
      </c>
      <c r="C15" s="3" t="s">
        <v>132</v>
      </c>
      <c r="D15" s="3" t="s">
        <v>29</v>
      </c>
      <c r="E15" s="3">
        <v>45.0</v>
      </c>
      <c r="F15" s="3" t="s">
        <v>27</v>
      </c>
      <c r="G15" s="3">
        <v>42.8</v>
      </c>
      <c r="I15" s="3">
        <v>46.6</v>
      </c>
      <c r="K15" s="3">
        <v>0.0</v>
      </c>
      <c r="L15" s="3">
        <v>0.0</v>
      </c>
      <c r="M15" s="3" t="s">
        <v>43</v>
      </c>
      <c r="N15" s="3">
        <v>0.9997</v>
      </c>
      <c r="O15" s="3">
        <v>0.0</v>
      </c>
      <c r="P15" s="3">
        <v>0.0234</v>
      </c>
      <c r="Q15" s="3">
        <v>0.0</v>
      </c>
      <c r="R15" s="3">
        <v>0.1976</v>
      </c>
      <c r="S15" s="3">
        <v>90.029999</v>
      </c>
      <c r="T15" s="3">
        <v>38.0</v>
      </c>
      <c r="U15" s="3">
        <f t="shared" si="2"/>
        <v>44.7</v>
      </c>
      <c r="V15" s="3"/>
      <c r="W15" s="3">
        <f t="shared" si="3"/>
        <v>45.03474875</v>
      </c>
      <c r="X15" s="3">
        <f t="shared" si="4"/>
        <v>9.077396675</v>
      </c>
      <c r="Y15" s="3">
        <f t="shared" si="5"/>
        <v>9.00066433</v>
      </c>
      <c r="Z15" s="3">
        <f t="shared" ref="Z15:AA15" si="18">_xlfn.NORM.S.DIST(X15)</f>
        <v>1</v>
      </c>
      <c r="AA15" s="3">
        <f t="shared" si="18"/>
        <v>1</v>
      </c>
    </row>
    <row r="16" ht="14.25" customHeight="1">
      <c r="A16" s="3" t="s">
        <v>164</v>
      </c>
      <c r="B16" s="3" t="s">
        <v>165</v>
      </c>
      <c r="C16" s="3" t="s">
        <v>132</v>
      </c>
      <c r="D16" s="3" t="s">
        <v>29</v>
      </c>
      <c r="E16" s="3">
        <v>45.0</v>
      </c>
      <c r="F16" s="3" t="s">
        <v>27</v>
      </c>
      <c r="G16" s="3">
        <v>42.05</v>
      </c>
      <c r="I16" s="3">
        <v>45.3</v>
      </c>
      <c r="K16" s="3">
        <v>0.0</v>
      </c>
      <c r="L16" s="3">
        <v>0.0</v>
      </c>
      <c r="M16" s="3" t="s">
        <v>44</v>
      </c>
      <c r="N16" s="3">
        <v>0.9995</v>
      </c>
      <c r="O16" s="3">
        <v>0.0</v>
      </c>
      <c r="P16" s="3">
        <v>0.1787</v>
      </c>
      <c r="Q16" s="3">
        <v>0.0</v>
      </c>
      <c r="R16" s="3">
        <v>0.2074</v>
      </c>
      <c r="S16" s="3">
        <v>88.839996</v>
      </c>
      <c r="T16" s="3">
        <v>37.0</v>
      </c>
      <c r="U16" s="3">
        <f t="shared" si="2"/>
        <v>43.675</v>
      </c>
      <c r="V16" s="3"/>
      <c r="W16" s="3">
        <f t="shared" si="3"/>
        <v>43.84462076</v>
      </c>
      <c r="X16" s="3">
        <f t="shared" si="4"/>
        <v>8.599791419</v>
      </c>
      <c r="Y16" s="3">
        <f t="shared" si="5"/>
        <v>8.520320297</v>
      </c>
      <c r="Z16" s="3">
        <f t="shared" ref="Z16:AA16" si="19">_xlfn.NORM.S.DIST(X16)</f>
        <v>1</v>
      </c>
      <c r="AA16" s="3">
        <f t="shared" si="19"/>
        <v>1</v>
      </c>
    </row>
    <row r="17" ht="14.25" customHeight="1">
      <c r="A17" s="3" t="s">
        <v>164</v>
      </c>
      <c r="B17" s="3" t="s">
        <v>165</v>
      </c>
      <c r="C17" s="3" t="s">
        <v>132</v>
      </c>
      <c r="D17" s="3" t="s">
        <v>29</v>
      </c>
      <c r="E17" s="3">
        <v>45.0</v>
      </c>
      <c r="F17" s="3" t="s">
        <v>27</v>
      </c>
      <c r="G17" s="3">
        <v>42.5</v>
      </c>
      <c r="I17" s="3">
        <v>46.5</v>
      </c>
      <c r="K17" s="3">
        <v>0.0</v>
      </c>
      <c r="L17" s="3">
        <v>0.0</v>
      </c>
      <c r="M17" s="3" t="s">
        <v>45</v>
      </c>
      <c r="N17" s="3">
        <v>0.9995</v>
      </c>
      <c r="O17" s="3">
        <v>0.0</v>
      </c>
      <c r="P17" s="3">
        <v>0.1796</v>
      </c>
      <c r="Q17" s="3">
        <v>0.0</v>
      </c>
      <c r="R17" s="3">
        <v>0.2082</v>
      </c>
      <c r="S17" s="3">
        <v>89.760002</v>
      </c>
      <c r="T17" s="3">
        <v>36.0</v>
      </c>
      <c r="U17" s="3">
        <f t="shared" si="2"/>
        <v>44.5</v>
      </c>
      <c r="V17" s="3"/>
      <c r="W17" s="3">
        <f t="shared" si="3"/>
        <v>44.76450178</v>
      </c>
      <c r="X17" s="3">
        <f t="shared" si="4"/>
        <v>8.81501822</v>
      </c>
      <c r="Y17" s="3">
        <f t="shared" si="5"/>
        <v>8.736326017</v>
      </c>
      <c r="Z17" s="3">
        <f t="shared" ref="Z17:AA17" si="20">_xlfn.NORM.S.DIST(X17)</f>
        <v>1</v>
      </c>
      <c r="AA17" s="3">
        <f t="shared" si="20"/>
        <v>1</v>
      </c>
    </row>
    <row r="18" ht="14.25" customHeight="1">
      <c r="A18" s="3" t="s">
        <v>164</v>
      </c>
      <c r="B18" s="3" t="s">
        <v>165</v>
      </c>
      <c r="C18" s="3" t="s">
        <v>132</v>
      </c>
      <c r="D18" s="3" t="s">
        <v>29</v>
      </c>
      <c r="E18" s="3">
        <v>45.0</v>
      </c>
      <c r="F18" s="3" t="s">
        <v>27</v>
      </c>
      <c r="G18" s="3">
        <v>42.65</v>
      </c>
      <c r="I18" s="3">
        <v>45.95</v>
      </c>
      <c r="K18" s="3">
        <v>0.0</v>
      </c>
      <c r="L18" s="3">
        <v>0.0</v>
      </c>
      <c r="M18" s="3" t="s">
        <v>46</v>
      </c>
      <c r="N18" s="3">
        <v>0.9995</v>
      </c>
      <c r="O18" s="3">
        <v>0.0</v>
      </c>
      <c r="P18" s="3">
        <v>0.1785</v>
      </c>
      <c r="Q18" s="3">
        <v>0.0</v>
      </c>
      <c r="R18" s="3">
        <v>0.2147</v>
      </c>
      <c r="S18" s="3">
        <v>89.419998</v>
      </c>
      <c r="T18" s="3">
        <v>35.0</v>
      </c>
      <c r="U18" s="3">
        <f t="shared" si="2"/>
        <v>44.3</v>
      </c>
      <c r="V18" s="3"/>
      <c r="W18" s="3">
        <f t="shared" si="3"/>
        <v>44.42437279</v>
      </c>
      <c r="X18" s="3">
        <f t="shared" si="4"/>
        <v>8.623247097</v>
      </c>
      <c r="Y18" s="3">
        <f t="shared" si="5"/>
        <v>8.543233131</v>
      </c>
      <c r="Z18" s="3">
        <f t="shared" ref="Z18:AA18" si="21">_xlfn.NORM.S.DIST(X18)</f>
        <v>1</v>
      </c>
      <c r="AA18" s="3">
        <f t="shared" si="21"/>
        <v>1</v>
      </c>
    </row>
    <row r="19" ht="14.25" customHeight="1">
      <c r="A19" s="3" t="s">
        <v>164</v>
      </c>
      <c r="B19" s="3" t="s">
        <v>165</v>
      </c>
      <c r="C19" s="3" t="s">
        <v>132</v>
      </c>
      <c r="D19" s="3" t="s">
        <v>29</v>
      </c>
      <c r="E19" s="3">
        <v>45.0</v>
      </c>
      <c r="F19" s="3" t="s">
        <v>27</v>
      </c>
      <c r="G19" s="3">
        <v>42.4</v>
      </c>
      <c r="I19" s="3">
        <v>45.6</v>
      </c>
      <c r="K19" s="3">
        <v>0.0</v>
      </c>
      <c r="L19" s="3">
        <v>0.0</v>
      </c>
      <c r="M19" s="3" t="s">
        <v>47</v>
      </c>
      <c r="N19" s="3">
        <v>0.9995</v>
      </c>
      <c r="O19" s="3">
        <v>0.0</v>
      </c>
      <c r="P19" s="3">
        <v>0.18</v>
      </c>
      <c r="Q19" s="3">
        <v>0.0</v>
      </c>
      <c r="R19" s="3">
        <v>0.2125</v>
      </c>
      <c r="S19" s="3">
        <v>89.0</v>
      </c>
      <c r="T19" s="3">
        <v>34.0</v>
      </c>
      <c r="U19" s="3">
        <f t="shared" si="2"/>
        <v>44</v>
      </c>
      <c r="V19" s="3"/>
      <c r="W19" s="3">
        <f t="shared" si="3"/>
        <v>44.0042498</v>
      </c>
      <c r="X19" s="3">
        <f t="shared" si="4"/>
        <v>8.777383764</v>
      </c>
      <c r="Y19" s="3">
        <f t="shared" si="5"/>
        <v>8.699329233</v>
      </c>
      <c r="Z19" s="3">
        <f t="shared" ref="Z19:AA19" si="22">_xlfn.NORM.S.DIST(X19)</f>
        <v>1</v>
      </c>
      <c r="AA19" s="3">
        <f t="shared" si="22"/>
        <v>1</v>
      </c>
    </row>
    <row r="20" ht="14.25" customHeight="1">
      <c r="A20" s="3" t="s">
        <v>164</v>
      </c>
      <c r="B20" s="3" t="s">
        <v>165</v>
      </c>
      <c r="C20" s="3" t="s">
        <v>132</v>
      </c>
      <c r="D20" s="3" t="s">
        <v>29</v>
      </c>
      <c r="E20" s="3">
        <v>45.0</v>
      </c>
      <c r="F20" s="3" t="s">
        <v>27</v>
      </c>
      <c r="G20" s="3">
        <v>42.1</v>
      </c>
      <c r="I20" s="3">
        <v>45.6</v>
      </c>
      <c r="K20" s="3">
        <v>0.0</v>
      </c>
      <c r="L20" s="3">
        <v>0.0</v>
      </c>
      <c r="M20" s="3" t="s">
        <v>48</v>
      </c>
      <c r="N20" s="3">
        <v>0.9996</v>
      </c>
      <c r="O20" s="3">
        <v>0.0</v>
      </c>
      <c r="P20" s="3">
        <v>0.1825</v>
      </c>
      <c r="Q20" s="3">
        <v>0.0</v>
      </c>
      <c r="R20" s="3">
        <v>0.269</v>
      </c>
      <c r="S20" s="3">
        <v>88.910004</v>
      </c>
      <c r="T20" s="3">
        <v>33.0</v>
      </c>
      <c r="U20" s="3">
        <f t="shared" si="2"/>
        <v>43.85</v>
      </c>
      <c r="V20" s="3"/>
      <c r="W20" s="3">
        <f t="shared" si="3"/>
        <v>43.91412881</v>
      </c>
      <c r="X20" s="3">
        <f t="shared" si="4"/>
        <v>7.045037145</v>
      </c>
      <c r="Y20" s="3">
        <f t="shared" si="5"/>
        <v>6.947693192</v>
      </c>
      <c r="Z20" s="3">
        <f t="shared" ref="Z20:AA20" si="23">_xlfn.NORM.S.DIST(X20)</f>
        <v>1</v>
      </c>
      <c r="AA20" s="3">
        <f t="shared" si="23"/>
        <v>1</v>
      </c>
    </row>
    <row r="21" ht="14.25" customHeight="1">
      <c r="A21" s="3" t="s">
        <v>164</v>
      </c>
      <c r="B21" s="3" t="s">
        <v>165</v>
      </c>
      <c r="C21" s="3" t="s">
        <v>132</v>
      </c>
      <c r="D21" s="3" t="s">
        <v>29</v>
      </c>
      <c r="E21" s="3">
        <v>45.0</v>
      </c>
      <c r="F21" s="3" t="s">
        <v>27</v>
      </c>
      <c r="G21" s="3">
        <v>40.95</v>
      </c>
      <c r="I21" s="3">
        <v>44.3</v>
      </c>
      <c r="K21" s="3">
        <v>0.0</v>
      </c>
      <c r="L21" s="3">
        <v>0.0</v>
      </c>
      <c r="M21" s="3" t="s">
        <v>49</v>
      </c>
      <c r="N21" s="3">
        <v>0.9996</v>
      </c>
      <c r="O21" s="3">
        <v>0.0</v>
      </c>
      <c r="P21" s="3">
        <v>0.1752</v>
      </c>
      <c r="Q21" s="3">
        <v>0.0</v>
      </c>
      <c r="R21" s="3">
        <v>0.2096</v>
      </c>
      <c r="S21" s="3">
        <v>87.650002</v>
      </c>
      <c r="T21" s="3">
        <v>32.0</v>
      </c>
      <c r="U21" s="3">
        <f t="shared" si="2"/>
        <v>42.625</v>
      </c>
      <c r="V21" s="3"/>
      <c r="W21" s="3">
        <f t="shared" si="3"/>
        <v>42.65400182</v>
      </c>
      <c r="X21" s="3">
        <f t="shared" si="4"/>
        <v>8.964545759</v>
      </c>
      <c r="Y21" s="3">
        <f t="shared" si="5"/>
        <v>8.88985515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164</v>
      </c>
      <c r="B22" s="3" t="s">
        <v>165</v>
      </c>
      <c r="C22" s="3" t="s">
        <v>132</v>
      </c>
      <c r="D22" s="3" t="s">
        <v>29</v>
      </c>
      <c r="E22" s="3">
        <v>45.0</v>
      </c>
      <c r="F22" s="3" t="s">
        <v>27</v>
      </c>
      <c r="G22" s="3">
        <v>41.45</v>
      </c>
      <c r="I22" s="3">
        <v>45.6</v>
      </c>
      <c r="K22" s="3">
        <v>0.0</v>
      </c>
      <c r="L22" s="3">
        <v>0.0</v>
      </c>
      <c r="M22" s="3" t="s">
        <v>50</v>
      </c>
      <c r="N22" s="3">
        <v>0.9996</v>
      </c>
      <c r="O22" s="3">
        <v>0.0</v>
      </c>
      <c r="P22" s="3">
        <v>0.177</v>
      </c>
      <c r="Q22" s="3">
        <v>0.0</v>
      </c>
      <c r="R22" s="3">
        <v>0.2779</v>
      </c>
      <c r="S22" s="3">
        <v>88.160004</v>
      </c>
      <c r="T22" s="3">
        <v>31.0</v>
      </c>
      <c r="U22" s="3">
        <f t="shared" si="2"/>
        <v>43.525</v>
      </c>
      <c r="V22" s="3"/>
      <c r="W22" s="3">
        <f t="shared" si="3"/>
        <v>43.16387883</v>
      </c>
      <c r="X22" s="3">
        <f t="shared" si="4"/>
        <v>6.949113022</v>
      </c>
      <c r="Y22" s="3">
        <f t="shared" si="5"/>
        <v>6.851643435</v>
      </c>
      <c r="Z22" s="3">
        <f t="shared" ref="Z22:AA22" si="25">_xlfn.NORM.S.DIST(X22)</f>
        <v>1</v>
      </c>
      <c r="AA22" s="3">
        <f t="shared" si="25"/>
        <v>1</v>
      </c>
    </row>
    <row r="23" ht="14.25" customHeight="1">
      <c r="A23" s="3" t="s">
        <v>164</v>
      </c>
      <c r="B23" s="3" t="s">
        <v>165</v>
      </c>
      <c r="C23" s="3" t="s">
        <v>133</v>
      </c>
      <c r="D23" s="3" t="s">
        <v>29</v>
      </c>
      <c r="E23" s="3">
        <v>45.0</v>
      </c>
      <c r="F23" s="3" t="s">
        <v>27</v>
      </c>
      <c r="G23" s="3">
        <v>41.15</v>
      </c>
      <c r="I23" s="3">
        <v>44.35</v>
      </c>
      <c r="K23" s="3">
        <v>0.0</v>
      </c>
      <c r="L23" s="3">
        <v>0.0</v>
      </c>
      <c r="M23" s="3" t="s">
        <v>52</v>
      </c>
      <c r="N23" s="3">
        <v>0.9996</v>
      </c>
      <c r="O23" s="3">
        <v>0.0</v>
      </c>
      <c r="P23" s="3">
        <v>0.1796</v>
      </c>
      <c r="Q23" s="3">
        <v>0.0</v>
      </c>
      <c r="R23" s="3">
        <v>0.2629</v>
      </c>
      <c r="S23" s="3">
        <v>88.129997</v>
      </c>
      <c r="T23" s="3">
        <v>30.0</v>
      </c>
      <c r="U23" s="3">
        <f t="shared" si="2"/>
        <v>42.75</v>
      </c>
      <c r="V23" s="3"/>
      <c r="W23" s="3">
        <f t="shared" si="3"/>
        <v>43.13374684</v>
      </c>
      <c r="X23" s="3">
        <f t="shared" si="4"/>
        <v>7.456228164</v>
      </c>
      <c r="Y23" s="3">
        <f t="shared" si="5"/>
        <v>7.365519046</v>
      </c>
      <c r="Z23" s="3">
        <f t="shared" ref="Z23:AA23" si="26">_xlfn.NORM.S.DIST(X23)</f>
        <v>1</v>
      </c>
      <c r="AA23" s="3">
        <f t="shared" si="26"/>
        <v>1</v>
      </c>
    </row>
    <row r="24" ht="14.25" customHeight="1">
      <c r="A24" s="3" t="s">
        <v>164</v>
      </c>
      <c r="B24" s="3" t="s">
        <v>165</v>
      </c>
      <c r="C24" s="3" t="s">
        <v>133</v>
      </c>
      <c r="D24" s="3" t="s">
        <v>29</v>
      </c>
      <c r="E24" s="3">
        <v>45.0</v>
      </c>
      <c r="F24" s="3" t="s">
        <v>27</v>
      </c>
      <c r="G24" s="3">
        <v>40.35</v>
      </c>
      <c r="I24" s="3">
        <v>43.95</v>
      </c>
      <c r="K24" s="3">
        <v>0.0</v>
      </c>
      <c r="L24" s="3">
        <v>0.0</v>
      </c>
      <c r="M24" s="3" t="s">
        <v>53</v>
      </c>
      <c r="N24" s="3">
        <v>0.9996</v>
      </c>
      <c r="O24" s="3">
        <v>0.0</v>
      </c>
      <c r="P24" s="3">
        <v>0.1838</v>
      </c>
      <c r="Q24" s="3">
        <v>0.0</v>
      </c>
      <c r="R24" s="3">
        <v>0.2775</v>
      </c>
      <c r="S24" s="3">
        <v>87.330002</v>
      </c>
      <c r="T24" s="3">
        <v>29.0</v>
      </c>
      <c r="U24" s="3">
        <f t="shared" si="2"/>
        <v>42.15</v>
      </c>
      <c r="V24" s="3"/>
      <c r="W24" s="3">
        <f t="shared" si="3"/>
        <v>42.33362685</v>
      </c>
      <c r="X24" s="3">
        <f t="shared" si="4"/>
        <v>7.091164543</v>
      </c>
      <c r="Y24" s="3">
        <f t="shared" si="5"/>
        <v>6.997027248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164</v>
      </c>
      <c r="B25" s="3" t="s">
        <v>165</v>
      </c>
      <c r="C25" s="3" t="s">
        <v>133</v>
      </c>
      <c r="D25" s="3" t="s">
        <v>29</v>
      </c>
      <c r="E25" s="3">
        <v>45.0</v>
      </c>
      <c r="F25" s="3" t="s">
        <v>27</v>
      </c>
      <c r="G25" s="3">
        <v>40.75</v>
      </c>
      <c r="I25" s="3">
        <v>44.65</v>
      </c>
      <c r="K25" s="3">
        <v>0.0</v>
      </c>
      <c r="L25" s="3">
        <v>0.0</v>
      </c>
      <c r="M25" s="3" t="s">
        <v>54</v>
      </c>
      <c r="N25" s="3">
        <v>0.9996</v>
      </c>
      <c r="O25" s="3">
        <v>0.0</v>
      </c>
      <c r="P25" s="3">
        <v>0.1875</v>
      </c>
      <c r="Q25" s="3">
        <v>0.0</v>
      </c>
      <c r="R25" s="3">
        <v>0.2772</v>
      </c>
      <c r="S25" s="3">
        <v>87.959999</v>
      </c>
      <c r="T25" s="3">
        <v>28.0</v>
      </c>
      <c r="U25" s="3">
        <f t="shared" si="2"/>
        <v>42.7</v>
      </c>
      <c r="V25" s="3"/>
      <c r="W25" s="3">
        <f t="shared" si="3"/>
        <v>42.96349886</v>
      </c>
      <c r="X25" s="3">
        <f t="shared" si="4"/>
        <v>7.300501324</v>
      </c>
      <c r="Y25" s="3">
        <f t="shared" si="5"/>
        <v>7.208101324</v>
      </c>
      <c r="Z25" s="3">
        <f t="shared" ref="Z25:AA25" si="28">_xlfn.NORM.S.DIST(X25)</f>
        <v>1</v>
      </c>
      <c r="AA25" s="3">
        <f t="shared" si="28"/>
        <v>1</v>
      </c>
    </row>
    <row r="26" ht="14.25" customHeight="1">
      <c r="A26" s="3" t="s">
        <v>164</v>
      </c>
      <c r="B26" s="3" t="s">
        <v>165</v>
      </c>
      <c r="C26" s="3" t="s">
        <v>133</v>
      </c>
      <c r="D26" s="3" t="s">
        <v>29</v>
      </c>
      <c r="E26" s="3">
        <v>45.0</v>
      </c>
      <c r="F26" s="3" t="s">
        <v>27</v>
      </c>
      <c r="G26" s="3">
        <v>41.05</v>
      </c>
      <c r="I26" s="3">
        <v>44.25</v>
      </c>
      <c r="K26" s="3">
        <v>0.0</v>
      </c>
      <c r="L26" s="3">
        <v>0.0</v>
      </c>
      <c r="M26" s="3" t="s">
        <v>55</v>
      </c>
      <c r="N26" s="3">
        <v>0.9998</v>
      </c>
      <c r="O26" s="3">
        <v>0.0</v>
      </c>
      <c r="P26" s="3">
        <v>0.028</v>
      </c>
      <c r="Q26" s="3">
        <v>0.0</v>
      </c>
      <c r="R26" s="3">
        <v>0.2283</v>
      </c>
      <c r="S26" s="3">
        <v>87.690002</v>
      </c>
      <c r="T26" s="3">
        <v>27.0</v>
      </c>
      <c r="U26" s="3">
        <f t="shared" si="2"/>
        <v>42.65</v>
      </c>
      <c r="V26" s="3"/>
      <c r="W26" s="3">
        <f t="shared" si="3"/>
        <v>42.69337687</v>
      </c>
      <c r="X26" s="3">
        <f t="shared" si="4"/>
        <v>8.965932009</v>
      </c>
      <c r="Y26" s="3">
        <f t="shared" si="5"/>
        <v>8.891203293</v>
      </c>
      <c r="Z26" s="3">
        <f t="shared" ref="Z26:AA26" si="29">_xlfn.NORM.S.DIST(X26)</f>
        <v>1</v>
      </c>
      <c r="AA26" s="3">
        <f t="shared" si="29"/>
        <v>1</v>
      </c>
    </row>
    <row r="27" ht="14.25" customHeight="1">
      <c r="A27" s="3" t="s">
        <v>164</v>
      </c>
      <c r="B27" s="3" t="s">
        <v>165</v>
      </c>
      <c r="C27" s="3" t="s">
        <v>133</v>
      </c>
      <c r="D27" s="3" t="s">
        <v>29</v>
      </c>
      <c r="E27" s="3">
        <v>45.0</v>
      </c>
      <c r="F27" s="3" t="s">
        <v>27</v>
      </c>
      <c r="G27" s="3">
        <v>43.2</v>
      </c>
      <c r="I27" s="3">
        <v>45.45</v>
      </c>
      <c r="K27" s="3">
        <v>0.0</v>
      </c>
      <c r="L27" s="3">
        <v>0.0</v>
      </c>
      <c r="M27" s="3" t="s">
        <v>56</v>
      </c>
      <c r="N27" s="3">
        <v>1.0</v>
      </c>
      <c r="O27" s="3">
        <v>0.0</v>
      </c>
      <c r="P27" s="3">
        <v>-0.1307</v>
      </c>
      <c r="Q27" s="3">
        <v>0.0</v>
      </c>
      <c r="R27" s="3">
        <v>0.2881</v>
      </c>
      <c r="S27" s="3">
        <v>89.82</v>
      </c>
      <c r="T27" s="3">
        <v>26.0</v>
      </c>
      <c r="U27" s="3">
        <f t="shared" si="2"/>
        <v>44.325</v>
      </c>
      <c r="V27" s="3"/>
      <c r="W27" s="3">
        <f t="shared" si="3"/>
        <v>44.82324988</v>
      </c>
      <c r="X27" s="3">
        <f t="shared" si="4"/>
        <v>7.515657686</v>
      </c>
      <c r="Y27" s="3">
        <f t="shared" si="5"/>
        <v>7.42311765</v>
      </c>
      <c r="Z27" s="3">
        <f t="shared" ref="Z27:AA27" si="30">_xlfn.NORM.S.DIST(X27)</f>
        <v>1</v>
      </c>
      <c r="AA27" s="3">
        <f t="shared" si="30"/>
        <v>1</v>
      </c>
    </row>
    <row r="28" ht="14.25" customHeight="1">
      <c r="A28" s="3" t="s">
        <v>164</v>
      </c>
      <c r="B28" s="3" t="s">
        <v>165</v>
      </c>
      <c r="C28" s="3" t="s">
        <v>133</v>
      </c>
      <c r="D28" s="3" t="s">
        <v>29</v>
      </c>
      <c r="E28" s="3">
        <v>45.0</v>
      </c>
      <c r="F28" s="3" t="s">
        <v>27</v>
      </c>
      <c r="G28" s="3">
        <v>43.3</v>
      </c>
      <c r="I28" s="3">
        <v>47.05</v>
      </c>
      <c r="K28" s="3">
        <v>0.0</v>
      </c>
      <c r="L28" s="3">
        <v>0.0</v>
      </c>
      <c r="M28" s="3" t="s">
        <v>57</v>
      </c>
      <c r="N28" s="3">
        <v>1.0</v>
      </c>
      <c r="O28" s="3">
        <v>0.0</v>
      </c>
      <c r="P28" s="3">
        <v>-0.1307</v>
      </c>
      <c r="Q28" s="3">
        <v>0.0</v>
      </c>
      <c r="R28" s="3">
        <v>0.1734</v>
      </c>
      <c r="S28" s="3">
        <v>90.449997</v>
      </c>
      <c r="T28" s="3">
        <v>25.0</v>
      </c>
      <c r="U28" s="3">
        <f t="shared" si="2"/>
        <v>45.175</v>
      </c>
      <c r="V28" s="3"/>
      <c r="W28" s="3">
        <f t="shared" si="3"/>
        <v>45.45312189</v>
      </c>
      <c r="X28" s="3">
        <f t="shared" si="4"/>
        <v>12.81121452</v>
      </c>
      <c r="Y28" s="3">
        <f t="shared" si="5"/>
        <v>12.75659865</v>
      </c>
      <c r="Z28" s="3">
        <f t="shared" ref="Z28:AA28" si="31">_xlfn.NORM.S.DIST(X28)</f>
        <v>1</v>
      </c>
      <c r="AA28" s="3">
        <f t="shared" si="31"/>
        <v>1</v>
      </c>
    </row>
    <row r="29" ht="14.25" customHeight="1">
      <c r="A29" s="3" t="s">
        <v>164</v>
      </c>
      <c r="B29" s="3" t="s">
        <v>165</v>
      </c>
      <c r="C29" s="3" t="s">
        <v>133</v>
      </c>
      <c r="D29" s="3" t="s">
        <v>29</v>
      </c>
      <c r="E29" s="3">
        <v>45.0</v>
      </c>
      <c r="F29" s="3" t="s">
        <v>27</v>
      </c>
      <c r="G29" s="3">
        <v>43.75</v>
      </c>
      <c r="I29" s="3">
        <v>47.0</v>
      </c>
      <c r="K29" s="3">
        <v>0.0</v>
      </c>
      <c r="L29" s="3">
        <v>0.0</v>
      </c>
      <c r="M29" s="3" t="s">
        <v>58</v>
      </c>
      <c r="N29" s="3">
        <v>0.9996</v>
      </c>
      <c r="O29" s="3">
        <v>0.0</v>
      </c>
      <c r="P29" s="3">
        <v>0.2375</v>
      </c>
      <c r="Q29" s="3">
        <v>0.0</v>
      </c>
      <c r="R29" s="3">
        <v>0.2112</v>
      </c>
      <c r="S29" s="3">
        <v>90.349998</v>
      </c>
      <c r="T29" s="3">
        <v>24.0</v>
      </c>
      <c r="U29" s="3">
        <f t="shared" si="2"/>
        <v>45.375</v>
      </c>
      <c r="V29" s="3"/>
      <c r="W29" s="3">
        <f t="shared" si="3"/>
        <v>45.3529979</v>
      </c>
      <c r="X29" s="3">
        <f t="shared" si="4"/>
        <v>10.72788492</v>
      </c>
      <c r="Y29" s="3">
        <f t="shared" si="5"/>
        <v>10.66270718</v>
      </c>
      <c r="Z29" s="3">
        <f t="shared" ref="Z29:AA29" si="32">_xlfn.NORM.S.DIST(X29)</f>
        <v>1</v>
      </c>
      <c r="AA29" s="3">
        <f t="shared" si="32"/>
        <v>1</v>
      </c>
    </row>
    <row r="30" ht="14.25" customHeight="1">
      <c r="A30" s="3" t="s">
        <v>164</v>
      </c>
      <c r="B30" s="3" t="s">
        <v>165</v>
      </c>
      <c r="C30" s="3" t="s">
        <v>133</v>
      </c>
      <c r="D30" s="3" t="s">
        <v>29</v>
      </c>
      <c r="E30" s="3">
        <v>45.0</v>
      </c>
      <c r="F30" s="3" t="s">
        <v>27</v>
      </c>
      <c r="G30" s="3">
        <v>43.55</v>
      </c>
      <c r="I30" s="3">
        <v>46.75</v>
      </c>
      <c r="K30" s="3">
        <v>0.0</v>
      </c>
      <c r="L30" s="3">
        <v>0.0</v>
      </c>
      <c r="M30" s="3" t="s">
        <v>59</v>
      </c>
      <c r="N30" s="3">
        <v>0.9996</v>
      </c>
      <c r="O30" s="3">
        <v>0.0</v>
      </c>
      <c r="P30" s="3">
        <v>0.2539</v>
      </c>
      <c r="Q30" s="3">
        <v>0.0</v>
      </c>
      <c r="R30" s="3">
        <v>0.2248</v>
      </c>
      <c r="S30" s="3">
        <v>90.139999</v>
      </c>
      <c r="T30" s="3">
        <v>23.0</v>
      </c>
      <c r="U30" s="3">
        <f t="shared" si="2"/>
        <v>45.15</v>
      </c>
      <c r="V30" s="3"/>
      <c r="W30" s="3">
        <f t="shared" si="3"/>
        <v>45.14287391</v>
      </c>
      <c r="X30" s="3">
        <f t="shared" si="4"/>
        <v>10.26401823</v>
      </c>
      <c r="Y30" s="3">
        <f t="shared" si="5"/>
        <v>10.19610413</v>
      </c>
      <c r="Z30" s="3">
        <f t="shared" ref="Z30:AA30" si="33">_xlfn.NORM.S.DIST(X30)</f>
        <v>1</v>
      </c>
      <c r="AA30" s="3">
        <f t="shared" si="33"/>
        <v>1</v>
      </c>
    </row>
    <row r="31" ht="14.25" customHeight="1">
      <c r="A31" s="3" t="s">
        <v>164</v>
      </c>
      <c r="B31" s="3" t="s">
        <v>165</v>
      </c>
      <c r="C31" s="3" t="s">
        <v>133</v>
      </c>
      <c r="D31" s="3" t="s">
        <v>29</v>
      </c>
      <c r="E31" s="3">
        <v>45.0</v>
      </c>
      <c r="F31" s="3" t="s">
        <v>27</v>
      </c>
      <c r="G31" s="3">
        <v>43.9</v>
      </c>
      <c r="I31" s="3">
        <v>47.45</v>
      </c>
      <c r="K31" s="3">
        <v>0.0</v>
      </c>
      <c r="L31" s="3">
        <v>0.0</v>
      </c>
      <c r="M31" s="3" t="s">
        <v>60</v>
      </c>
      <c r="N31" s="3">
        <v>0.9996</v>
      </c>
      <c r="O31" s="3">
        <v>0.0</v>
      </c>
      <c r="P31" s="3">
        <v>0.2671</v>
      </c>
      <c r="Q31" s="3">
        <v>0.0</v>
      </c>
      <c r="R31" s="3">
        <v>0.2434</v>
      </c>
      <c r="S31" s="3">
        <v>90.989998</v>
      </c>
      <c r="T31" s="3">
        <v>22.0</v>
      </c>
      <c r="U31" s="3">
        <f t="shared" si="2"/>
        <v>45.675</v>
      </c>
      <c r="V31" s="3"/>
      <c r="W31" s="3">
        <f t="shared" si="3"/>
        <v>45.99274792</v>
      </c>
      <c r="X31" s="3">
        <f t="shared" si="4"/>
        <v>9.827079909</v>
      </c>
      <c r="Y31" s="3">
        <f t="shared" si="5"/>
        <v>9.755162896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164</v>
      </c>
      <c r="B32" s="3" t="s">
        <v>165</v>
      </c>
      <c r="C32" s="3" t="s">
        <v>133</v>
      </c>
      <c r="D32" s="3" t="s">
        <v>29</v>
      </c>
      <c r="E32" s="3">
        <v>45.0</v>
      </c>
      <c r="F32" s="3" t="s">
        <v>27</v>
      </c>
      <c r="G32" s="3">
        <v>43.85</v>
      </c>
      <c r="I32" s="3">
        <v>46.5</v>
      </c>
      <c r="K32" s="3">
        <v>0.0</v>
      </c>
      <c r="L32" s="3">
        <v>0.0</v>
      </c>
      <c r="M32" s="3" t="s">
        <v>61</v>
      </c>
      <c r="N32" s="3">
        <v>0.9996</v>
      </c>
      <c r="O32" s="3">
        <v>0.0</v>
      </c>
      <c r="P32" s="3">
        <v>0.2723</v>
      </c>
      <c r="Q32" s="3">
        <v>0.0</v>
      </c>
      <c r="R32" s="3">
        <v>0.208</v>
      </c>
      <c r="S32" s="3">
        <v>90.010002</v>
      </c>
      <c r="T32" s="3">
        <v>21.0</v>
      </c>
      <c r="U32" s="3">
        <f t="shared" si="2"/>
        <v>45.175</v>
      </c>
      <c r="V32" s="3"/>
      <c r="W32" s="3">
        <f t="shared" si="3"/>
        <v>45.01262692</v>
      </c>
      <c r="X32" s="3">
        <f t="shared" si="4"/>
        <v>11.5767496</v>
      </c>
      <c r="Y32" s="3">
        <f t="shared" si="5"/>
        <v>11.51670517</v>
      </c>
      <c r="Z32" s="3">
        <f t="shared" ref="Z32:AA32" si="35">_xlfn.NORM.S.DIST(X32)</f>
        <v>1</v>
      </c>
      <c r="AA32" s="3">
        <f t="shared" si="35"/>
        <v>1</v>
      </c>
    </row>
    <row r="33" ht="14.25" customHeight="1">
      <c r="A33" s="3" t="s">
        <v>164</v>
      </c>
      <c r="B33" s="3" t="s">
        <v>165</v>
      </c>
      <c r="C33" s="3" t="s">
        <v>133</v>
      </c>
      <c r="D33" s="3" t="s">
        <v>29</v>
      </c>
      <c r="E33" s="3">
        <v>45.0</v>
      </c>
      <c r="F33" s="3" t="s">
        <v>27</v>
      </c>
      <c r="G33" s="3">
        <v>43.25</v>
      </c>
      <c r="I33" s="3">
        <v>46.45</v>
      </c>
      <c r="K33" s="3">
        <v>0.0</v>
      </c>
      <c r="L33" s="3">
        <v>0.0</v>
      </c>
      <c r="M33" s="3" t="s">
        <v>62</v>
      </c>
      <c r="N33" s="3">
        <v>0.9997</v>
      </c>
      <c r="O33" s="3">
        <v>0.0</v>
      </c>
      <c r="P33" s="3">
        <v>0.2627</v>
      </c>
      <c r="Q33" s="3">
        <v>0.0</v>
      </c>
      <c r="R33" s="3">
        <v>0.2239</v>
      </c>
      <c r="S33" s="3">
        <v>89.989998</v>
      </c>
      <c r="T33" s="3">
        <v>20.0</v>
      </c>
      <c r="U33" s="3">
        <f t="shared" si="2"/>
        <v>44.85</v>
      </c>
      <c r="V33" s="3"/>
      <c r="W33" s="3">
        <f t="shared" si="3"/>
        <v>44.99249793</v>
      </c>
      <c r="X33" s="3">
        <f t="shared" si="4"/>
        <v>11.01961833</v>
      </c>
      <c r="Y33" s="3">
        <f t="shared" si="5"/>
        <v>10.95654165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164</v>
      </c>
      <c r="B34" s="3" t="s">
        <v>165</v>
      </c>
      <c r="C34" s="3" t="s">
        <v>133</v>
      </c>
      <c r="D34" s="3" t="s">
        <v>29</v>
      </c>
      <c r="E34" s="3">
        <v>45.0</v>
      </c>
      <c r="F34" s="3" t="s">
        <v>27</v>
      </c>
      <c r="G34" s="3">
        <v>43.95</v>
      </c>
      <c r="I34" s="3">
        <v>47.55</v>
      </c>
      <c r="K34" s="3">
        <v>0.0</v>
      </c>
      <c r="L34" s="3">
        <v>0.0</v>
      </c>
      <c r="M34" s="3" t="s">
        <v>63</v>
      </c>
      <c r="N34" s="3">
        <v>0.9997</v>
      </c>
      <c r="O34" s="3">
        <v>0.0</v>
      </c>
      <c r="P34" s="3">
        <v>0.2954</v>
      </c>
      <c r="Q34" s="3">
        <v>0.0</v>
      </c>
      <c r="R34" s="3">
        <v>0.2487</v>
      </c>
      <c r="S34" s="3">
        <v>91.309998</v>
      </c>
      <c r="T34" s="3">
        <v>19.0</v>
      </c>
      <c r="U34" s="3">
        <f t="shared" si="2"/>
        <v>45.75</v>
      </c>
      <c r="V34" s="3"/>
      <c r="W34" s="3">
        <f t="shared" si="3"/>
        <v>46.31237294</v>
      </c>
      <c r="X34" s="3">
        <f t="shared" si="4"/>
        <v>10.39669249</v>
      </c>
      <c r="Y34" s="3">
        <f t="shared" si="5"/>
        <v>10.32840324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164</v>
      </c>
      <c r="B35" s="3" t="s">
        <v>165</v>
      </c>
      <c r="C35" s="3" t="s">
        <v>133</v>
      </c>
      <c r="D35" s="3" t="s">
        <v>29</v>
      </c>
      <c r="E35" s="3">
        <v>45.0</v>
      </c>
      <c r="F35" s="3" t="s">
        <v>27</v>
      </c>
      <c r="G35" s="3">
        <v>45.25</v>
      </c>
      <c r="I35" s="3">
        <v>49.05</v>
      </c>
      <c r="K35" s="3">
        <v>0.0</v>
      </c>
      <c r="L35" s="3">
        <v>0.0</v>
      </c>
      <c r="M35" s="3" t="s">
        <v>64</v>
      </c>
      <c r="N35" s="3">
        <v>0.9997</v>
      </c>
      <c r="O35" s="3">
        <v>0.0</v>
      </c>
      <c r="P35" s="3">
        <v>0.3036</v>
      </c>
      <c r="Q35" s="3">
        <v>0.0</v>
      </c>
      <c r="R35" s="3">
        <v>0.2975</v>
      </c>
      <c r="S35" s="3">
        <v>92.089996</v>
      </c>
      <c r="T35" s="3">
        <v>18.0</v>
      </c>
      <c r="U35" s="3">
        <f t="shared" si="2"/>
        <v>47.15</v>
      </c>
      <c r="V35" s="3"/>
      <c r="W35" s="3">
        <f t="shared" si="3"/>
        <v>47.09224594</v>
      </c>
      <c r="X35" s="3">
        <f t="shared" si="4"/>
        <v>9.046821513</v>
      </c>
      <c r="Y35" s="3">
        <f t="shared" si="5"/>
        <v>8.967311294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164</v>
      </c>
      <c r="B36" s="3" t="s">
        <v>165</v>
      </c>
      <c r="C36" s="3" t="s">
        <v>133</v>
      </c>
      <c r="D36" s="3" t="s">
        <v>29</v>
      </c>
      <c r="E36" s="3">
        <v>45.0</v>
      </c>
      <c r="F36" s="3" t="s">
        <v>27</v>
      </c>
      <c r="G36" s="3">
        <v>46.2</v>
      </c>
      <c r="I36" s="3">
        <v>50.0</v>
      </c>
      <c r="K36" s="3">
        <v>0.0</v>
      </c>
      <c r="L36" s="3">
        <v>0.0</v>
      </c>
      <c r="M36" s="3" t="s">
        <v>65</v>
      </c>
      <c r="N36" s="3">
        <v>1.0</v>
      </c>
      <c r="O36" s="3">
        <v>0.0</v>
      </c>
      <c r="P36" s="3">
        <v>-0.1307</v>
      </c>
      <c r="Q36" s="3">
        <v>0.0</v>
      </c>
      <c r="R36" s="3">
        <v>0.2472</v>
      </c>
      <c r="S36" s="3">
        <v>93.129997</v>
      </c>
      <c r="T36" s="3">
        <v>17.0</v>
      </c>
      <c r="U36" s="3">
        <f t="shared" si="2"/>
        <v>48.1</v>
      </c>
      <c r="V36" s="3"/>
      <c r="W36" s="3">
        <f t="shared" si="3"/>
        <v>48.13212195</v>
      </c>
      <c r="X36" s="3">
        <f t="shared" si="4"/>
        <v>11.36104432</v>
      </c>
      <c r="Y36" s="3">
        <f t="shared" si="5"/>
        <v>11.29683876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164</v>
      </c>
      <c r="B37" s="3" t="s">
        <v>165</v>
      </c>
      <c r="C37" s="3" t="s">
        <v>133</v>
      </c>
      <c r="D37" s="3" t="s">
        <v>29</v>
      </c>
      <c r="E37" s="3">
        <v>45.0</v>
      </c>
      <c r="F37" s="3" t="s">
        <v>27</v>
      </c>
      <c r="G37" s="3">
        <v>46.0</v>
      </c>
      <c r="I37" s="3">
        <v>49.8</v>
      </c>
      <c r="K37" s="3">
        <v>0.0</v>
      </c>
      <c r="L37" s="3">
        <v>0.0</v>
      </c>
      <c r="M37" s="3" t="s">
        <v>66</v>
      </c>
      <c r="N37" s="3">
        <v>1.0</v>
      </c>
      <c r="O37" s="3">
        <v>0.0</v>
      </c>
      <c r="P37" s="3">
        <v>-0.1307</v>
      </c>
      <c r="Q37" s="3">
        <v>0.0</v>
      </c>
      <c r="R37" s="3">
        <v>0.2179</v>
      </c>
      <c r="S37" s="3">
        <v>93.419998</v>
      </c>
      <c r="T37" s="3">
        <v>16.0</v>
      </c>
      <c r="U37" s="3">
        <f t="shared" si="2"/>
        <v>47.9</v>
      </c>
      <c r="V37" s="3"/>
      <c r="W37" s="3">
        <f t="shared" si="3"/>
        <v>48.42199796</v>
      </c>
      <c r="X37" s="3">
        <f t="shared" si="4"/>
        <v>13.33186745</v>
      </c>
      <c r="Y37" s="3">
        <f t="shared" si="5"/>
        <v>13.27696181</v>
      </c>
      <c r="Z37" s="3">
        <f t="shared" ref="Z37:AA37" si="40">_xlfn.NORM.S.DIST(X37)</f>
        <v>1</v>
      </c>
      <c r="AA37" s="3">
        <f t="shared" si="40"/>
        <v>1</v>
      </c>
    </row>
    <row r="38" ht="14.25" customHeight="1">
      <c r="A38" s="3" t="s">
        <v>164</v>
      </c>
      <c r="B38" s="3" t="s">
        <v>165</v>
      </c>
      <c r="C38" s="3" t="s">
        <v>133</v>
      </c>
      <c r="D38" s="3" t="s">
        <v>29</v>
      </c>
      <c r="E38" s="3">
        <v>45.0</v>
      </c>
      <c r="F38" s="3" t="s">
        <v>27</v>
      </c>
      <c r="G38" s="3">
        <v>45.4</v>
      </c>
      <c r="I38" s="3">
        <v>48.95</v>
      </c>
      <c r="K38" s="3">
        <v>0.0</v>
      </c>
      <c r="L38" s="3">
        <v>0.0</v>
      </c>
      <c r="M38" s="3" t="s">
        <v>67</v>
      </c>
      <c r="N38" s="3">
        <v>0.9999</v>
      </c>
      <c r="O38" s="3">
        <v>0.0</v>
      </c>
      <c r="P38" s="3">
        <v>0.1374</v>
      </c>
      <c r="Q38" s="3">
        <v>0.0</v>
      </c>
      <c r="R38" s="3">
        <v>0.3509</v>
      </c>
      <c r="S38" s="3">
        <v>91.559998</v>
      </c>
      <c r="T38" s="3">
        <v>15.0</v>
      </c>
      <c r="U38" s="3">
        <f t="shared" si="2"/>
        <v>47.175</v>
      </c>
      <c r="V38" s="3"/>
      <c r="W38" s="3">
        <f t="shared" si="3"/>
        <v>46.56187296</v>
      </c>
      <c r="X38" s="3">
        <f t="shared" si="4"/>
        <v>8.340512819</v>
      </c>
      <c r="Y38" s="3">
        <f t="shared" si="5"/>
        <v>8.254901985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164</v>
      </c>
      <c r="B39" s="3" t="s">
        <v>165</v>
      </c>
      <c r="C39" s="3" t="s">
        <v>133</v>
      </c>
      <c r="D39" s="3" t="s">
        <v>29</v>
      </c>
      <c r="E39" s="3">
        <v>45.0</v>
      </c>
      <c r="F39" s="3" t="s">
        <v>27</v>
      </c>
      <c r="G39" s="3">
        <v>44.7</v>
      </c>
      <c r="I39" s="3">
        <v>48.4</v>
      </c>
      <c r="K39" s="3">
        <v>0.0</v>
      </c>
      <c r="L39" s="3">
        <v>0.0</v>
      </c>
      <c r="M39" s="3" t="s">
        <v>68</v>
      </c>
      <c r="N39" s="3">
        <v>1.0</v>
      </c>
      <c r="O39" s="3">
        <v>0.0</v>
      </c>
      <c r="P39" s="3">
        <v>-0.1307</v>
      </c>
      <c r="Q39" s="3">
        <v>0.0</v>
      </c>
      <c r="R39" s="3">
        <v>0.3013</v>
      </c>
      <c r="S39" s="3">
        <v>91.599998</v>
      </c>
      <c r="T39" s="3">
        <v>14.0</v>
      </c>
      <c r="U39" s="3">
        <f t="shared" si="2"/>
        <v>46.55</v>
      </c>
      <c r="V39" s="3"/>
      <c r="W39" s="3">
        <f t="shared" si="3"/>
        <v>46.60174797</v>
      </c>
      <c r="X39" s="3">
        <f t="shared" si="4"/>
        <v>10.04447453</v>
      </c>
      <c r="Y39" s="3">
        <f t="shared" si="5"/>
        <v>9.973457443</v>
      </c>
      <c r="Z39" s="3">
        <f t="shared" ref="Z39:AA39" si="42">_xlfn.NORM.S.DIST(X39)</f>
        <v>1</v>
      </c>
      <c r="AA39" s="3">
        <f t="shared" si="42"/>
        <v>1</v>
      </c>
    </row>
    <row r="40" ht="14.25" customHeight="1">
      <c r="A40" s="3" t="s">
        <v>164</v>
      </c>
      <c r="B40" s="3" t="s">
        <v>165</v>
      </c>
      <c r="C40" s="3" t="s">
        <v>133</v>
      </c>
      <c r="D40" s="3" t="s">
        <v>29</v>
      </c>
      <c r="E40" s="3">
        <v>45.0</v>
      </c>
      <c r="F40" s="3" t="s">
        <v>27</v>
      </c>
      <c r="G40" s="3">
        <v>44.45</v>
      </c>
      <c r="I40" s="3">
        <v>48.05</v>
      </c>
      <c r="K40" s="3">
        <v>0.0</v>
      </c>
      <c r="L40" s="3">
        <v>0.0</v>
      </c>
      <c r="M40" s="3" t="s">
        <v>69</v>
      </c>
      <c r="N40" s="3">
        <v>1.0</v>
      </c>
      <c r="O40" s="3">
        <v>0.0</v>
      </c>
      <c r="P40" s="3">
        <v>-0.1307</v>
      </c>
      <c r="Q40" s="3">
        <v>0.0</v>
      </c>
      <c r="R40" s="3">
        <v>0.2295</v>
      </c>
      <c r="S40" s="3">
        <v>91.43</v>
      </c>
      <c r="T40" s="3">
        <v>13.0</v>
      </c>
      <c r="U40" s="3">
        <f t="shared" si="2"/>
        <v>46.25</v>
      </c>
      <c r="V40" s="3"/>
      <c r="W40" s="3">
        <f t="shared" si="3"/>
        <v>46.43162497</v>
      </c>
      <c r="X40" s="3">
        <f t="shared" si="4"/>
        <v>13.62671851</v>
      </c>
      <c r="Y40" s="3">
        <f t="shared" si="5"/>
        <v>13.57459254</v>
      </c>
      <c r="Z40" s="3">
        <f t="shared" ref="Z40:AA40" si="43">_xlfn.NORM.S.DIST(X40)</f>
        <v>1</v>
      </c>
      <c r="AA40" s="3">
        <f t="shared" si="43"/>
        <v>1</v>
      </c>
    </row>
    <row r="41" ht="14.25" customHeight="1">
      <c r="A41" s="3" t="s">
        <v>164</v>
      </c>
      <c r="B41" s="3" t="s">
        <v>165</v>
      </c>
      <c r="C41" s="3" t="s">
        <v>133</v>
      </c>
      <c r="D41" s="3" t="s">
        <v>29</v>
      </c>
      <c r="E41" s="3">
        <v>45.0</v>
      </c>
      <c r="F41" s="3" t="s">
        <v>27</v>
      </c>
      <c r="G41" s="3">
        <v>44.95</v>
      </c>
      <c r="I41" s="3">
        <v>48.55</v>
      </c>
      <c r="K41" s="3">
        <v>0.0</v>
      </c>
      <c r="L41" s="3">
        <v>0.0</v>
      </c>
      <c r="M41" s="3" t="s">
        <v>70</v>
      </c>
      <c r="N41" s="3">
        <v>0.9998</v>
      </c>
      <c r="O41" s="3">
        <v>0.0</v>
      </c>
      <c r="P41" s="3">
        <v>0.3189</v>
      </c>
      <c r="Q41" s="3">
        <v>0.0</v>
      </c>
      <c r="R41" s="3">
        <v>0.2737</v>
      </c>
      <c r="S41" s="3">
        <v>91.75</v>
      </c>
      <c r="T41" s="3">
        <v>12.0</v>
      </c>
      <c r="U41" s="3">
        <f t="shared" si="2"/>
        <v>46.75</v>
      </c>
      <c r="V41" s="3"/>
      <c r="W41" s="3">
        <f t="shared" si="3"/>
        <v>46.75149998</v>
      </c>
      <c r="X41" s="3">
        <f t="shared" si="4"/>
        <v>11.95826128</v>
      </c>
      <c r="Y41" s="3">
        <f t="shared" si="5"/>
        <v>11.89853505</v>
      </c>
      <c r="Z41" s="3">
        <f t="shared" ref="Z41:AA41" si="44">_xlfn.NORM.S.DIST(X41)</f>
        <v>1</v>
      </c>
      <c r="AA41" s="3">
        <f t="shared" si="44"/>
        <v>1</v>
      </c>
    </row>
    <row r="42" ht="14.25" customHeight="1">
      <c r="A42" s="3" t="s">
        <v>164</v>
      </c>
      <c r="B42" s="3" t="s">
        <v>165</v>
      </c>
      <c r="C42" s="3" t="s">
        <v>133</v>
      </c>
      <c r="D42" s="3" t="s">
        <v>29</v>
      </c>
      <c r="E42" s="3">
        <v>45.0</v>
      </c>
      <c r="F42" s="3" t="s">
        <v>27</v>
      </c>
      <c r="G42" s="3">
        <v>44.7</v>
      </c>
      <c r="I42" s="3">
        <v>48.7</v>
      </c>
      <c r="K42" s="3">
        <v>0.0</v>
      </c>
      <c r="L42" s="3">
        <v>0.0</v>
      </c>
      <c r="M42" s="3" t="s">
        <v>71</v>
      </c>
      <c r="N42" s="3">
        <v>0.9996</v>
      </c>
      <c r="O42" s="3">
        <v>0.0</v>
      </c>
      <c r="P42" s="3">
        <v>0.7692</v>
      </c>
      <c r="Q42" s="3">
        <v>0.0</v>
      </c>
      <c r="R42" s="3">
        <v>0.3633</v>
      </c>
      <c r="S42" s="3">
        <v>91.440002</v>
      </c>
      <c r="T42" s="3">
        <v>11.0</v>
      </c>
      <c r="U42" s="3">
        <f t="shared" si="2"/>
        <v>46.7</v>
      </c>
      <c r="V42" s="3"/>
      <c r="W42" s="3">
        <f t="shared" si="3"/>
        <v>46.44137698</v>
      </c>
      <c r="X42" s="3">
        <f t="shared" si="4"/>
        <v>9.379439919</v>
      </c>
      <c r="Y42" s="3">
        <f t="shared" si="5"/>
        <v>9.303536477</v>
      </c>
      <c r="Z42" s="3">
        <f t="shared" ref="Z42:AA42" si="45">_xlfn.NORM.S.DIST(X42)</f>
        <v>1</v>
      </c>
      <c r="AA42" s="3">
        <f t="shared" si="45"/>
        <v>1</v>
      </c>
    </row>
    <row r="43" ht="14.25" customHeight="1">
      <c r="A43" s="3" t="s">
        <v>164</v>
      </c>
      <c r="B43" s="3" t="s">
        <v>165</v>
      </c>
      <c r="C43" s="3" t="s">
        <v>133</v>
      </c>
      <c r="D43" s="3" t="s">
        <v>29</v>
      </c>
      <c r="E43" s="3">
        <v>45.0</v>
      </c>
      <c r="F43" s="3" t="s">
        <v>27</v>
      </c>
      <c r="G43" s="3">
        <v>45.05</v>
      </c>
      <c r="I43" s="3">
        <v>49.05</v>
      </c>
      <c r="K43" s="3">
        <v>0.0</v>
      </c>
      <c r="L43" s="3">
        <v>0.0</v>
      </c>
      <c r="M43" s="3" t="s">
        <v>72</v>
      </c>
      <c r="N43" s="3">
        <v>0.9997</v>
      </c>
      <c r="O43" s="3">
        <v>0.0</v>
      </c>
      <c r="P43" s="3">
        <v>0.8868</v>
      </c>
      <c r="Q43" s="3">
        <v>0.0</v>
      </c>
      <c r="R43" s="3">
        <v>0.254</v>
      </c>
      <c r="S43" s="3">
        <v>92.360001</v>
      </c>
      <c r="T43" s="3">
        <v>10.0</v>
      </c>
      <c r="U43" s="3">
        <f t="shared" si="2"/>
        <v>47.05</v>
      </c>
      <c r="V43" s="3"/>
      <c r="W43" s="3">
        <f t="shared" si="3"/>
        <v>47.36125098</v>
      </c>
      <c r="X43" s="3">
        <f t="shared" si="4"/>
        <v>14.23651536</v>
      </c>
      <c r="Y43" s="3">
        <f t="shared" si="5"/>
        <v>14.18591735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164</v>
      </c>
      <c r="B44" s="3" t="s">
        <v>165</v>
      </c>
      <c r="C44" s="3" t="s">
        <v>133</v>
      </c>
      <c r="D44" s="3" t="s">
        <v>29</v>
      </c>
      <c r="E44" s="3">
        <v>45.0</v>
      </c>
      <c r="F44" s="3" t="s">
        <v>27</v>
      </c>
      <c r="G44" s="3">
        <v>45.4</v>
      </c>
      <c r="I44" s="3">
        <v>49.4</v>
      </c>
      <c r="K44" s="3">
        <v>0.0</v>
      </c>
      <c r="L44" s="3">
        <v>0.0</v>
      </c>
      <c r="M44" s="3" t="s">
        <v>73</v>
      </c>
      <c r="N44" s="3">
        <v>0.9997</v>
      </c>
      <c r="O44" s="3">
        <v>0.0</v>
      </c>
      <c r="P44" s="3">
        <v>0.9362</v>
      </c>
      <c r="Q44" s="3">
        <v>0.0</v>
      </c>
      <c r="R44" s="3">
        <v>0.2161</v>
      </c>
      <c r="S44" s="3">
        <v>92.279999</v>
      </c>
      <c r="T44" s="3">
        <v>9.0</v>
      </c>
      <c r="U44" s="3">
        <f t="shared" si="2"/>
        <v>47.4</v>
      </c>
      <c r="V44" s="3"/>
      <c r="W44" s="3">
        <f t="shared" si="3"/>
        <v>47.28112399</v>
      </c>
      <c r="X44" s="3">
        <f t="shared" si="4"/>
        <v>17.60627752</v>
      </c>
      <c r="Y44" s="3">
        <f t="shared" si="5"/>
        <v>17.56543846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164</v>
      </c>
      <c r="B45" s="3" t="s">
        <v>165</v>
      </c>
      <c r="C45" s="3" t="s">
        <v>133</v>
      </c>
      <c r="D45" s="3" t="s">
        <v>29</v>
      </c>
      <c r="E45" s="3">
        <v>45.0</v>
      </c>
      <c r="F45" s="3" t="s">
        <v>27</v>
      </c>
      <c r="G45" s="3">
        <v>45.0</v>
      </c>
      <c r="I45" s="3">
        <v>48.95</v>
      </c>
      <c r="K45" s="3">
        <v>0.0</v>
      </c>
      <c r="L45" s="3">
        <v>0.0</v>
      </c>
      <c r="M45" s="3" t="s">
        <v>74</v>
      </c>
      <c r="N45" s="3">
        <v>0.9997</v>
      </c>
      <c r="O45" s="3">
        <v>0.0</v>
      </c>
      <c r="P45" s="3">
        <v>0.9284</v>
      </c>
      <c r="Q45" s="3">
        <v>0.0</v>
      </c>
      <c r="R45" s="3">
        <v>0.1519</v>
      </c>
      <c r="S45" s="3">
        <v>91.599998</v>
      </c>
      <c r="T45" s="3">
        <v>8.0</v>
      </c>
      <c r="U45" s="3">
        <f t="shared" si="2"/>
        <v>46.975</v>
      </c>
      <c r="V45" s="3"/>
      <c r="W45" s="3">
        <f t="shared" si="3"/>
        <v>46.60099799</v>
      </c>
      <c r="X45" s="3">
        <f t="shared" si="4"/>
        <v>26.27623472</v>
      </c>
      <c r="Y45" s="3">
        <f t="shared" si="5"/>
        <v>26.24917007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164</v>
      </c>
      <c r="B46" s="3" t="s">
        <v>165</v>
      </c>
      <c r="C46" s="3" t="s">
        <v>133</v>
      </c>
      <c r="D46" s="3" t="s">
        <v>29</v>
      </c>
      <c r="E46" s="3">
        <v>45.0</v>
      </c>
      <c r="F46" s="3" t="s">
        <v>27</v>
      </c>
      <c r="G46" s="3">
        <v>45.1</v>
      </c>
      <c r="I46" s="3">
        <v>48.55</v>
      </c>
      <c r="K46" s="3">
        <v>0.0</v>
      </c>
      <c r="L46" s="3">
        <v>0.0</v>
      </c>
      <c r="M46" s="3" t="s">
        <v>75</v>
      </c>
      <c r="N46" s="3">
        <v>0.9997</v>
      </c>
      <c r="O46" s="3">
        <v>0.0</v>
      </c>
      <c r="P46" s="3">
        <v>0.9308</v>
      </c>
      <c r="Q46" s="3">
        <v>0.0</v>
      </c>
      <c r="R46" s="3">
        <v>0.2844</v>
      </c>
      <c r="S46" s="3">
        <v>91.809998</v>
      </c>
      <c r="T46" s="3">
        <v>7.0</v>
      </c>
      <c r="U46" s="3">
        <f t="shared" si="2"/>
        <v>46.825</v>
      </c>
      <c r="V46" s="3"/>
      <c r="W46" s="3">
        <f t="shared" si="3"/>
        <v>46.81087299</v>
      </c>
      <c r="X46" s="3">
        <f t="shared" si="4"/>
        <v>15.06754298</v>
      </c>
      <c r="Y46" s="3">
        <f t="shared" si="5"/>
        <v>15.02014298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164</v>
      </c>
      <c r="B47" s="3" t="s">
        <v>165</v>
      </c>
      <c r="C47" s="3" t="s">
        <v>133</v>
      </c>
      <c r="D47" s="3" t="s">
        <v>29</v>
      </c>
      <c r="E47" s="3">
        <v>45.0</v>
      </c>
      <c r="F47" s="3" t="s">
        <v>27</v>
      </c>
      <c r="G47" s="3">
        <v>44.4</v>
      </c>
      <c r="I47" s="3">
        <v>47.75</v>
      </c>
      <c r="K47" s="3">
        <v>0.0</v>
      </c>
      <c r="L47" s="3">
        <v>0.0</v>
      </c>
      <c r="M47" s="3" t="s">
        <v>76</v>
      </c>
      <c r="N47" s="3">
        <v>0.9998</v>
      </c>
      <c r="O47" s="3">
        <v>0.0</v>
      </c>
      <c r="P47" s="3">
        <v>0.9228</v>
      </c>
      <c r="Q47" s="3">
        <v>0.0</v>
      </c>
      <c r="R47" s="3">
        <v>0.1668</v>
      </c>
      <c r="S47" s="3">
        <v>91.110001</v>
      </c>
      <c r="T47" s="3">
        <v>6.0</v>
      </c>
      <c r="U47" s="3">
        <f t="shared" si="2"/>
        <v>46.075</v>
      </c>
      <c r="V47" s="3"/>
      <c r="W47" s="3">
        <f t="shared" si="3"/>
        <v>46.11075099</v>
      </c>
      <c r="X47" s="3">
        <f t="shared" si="4"/>
        <v>27.42087538</v>
      </c>
      <c r="Y47" s="3">
        <f t="shared" si="5"/>
        <v>27.39513758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164</v>
      </c>
      <c r="B48" s="3" t="s">
        <v>165</v>
      </c>
      <c r="C48" s="3" t="s">
        <v>133</v>
      </c>
      <c r="D48" s="3" t="s">
        <v>29</v>
      </c>
      <c r="E48" s="3">
        <v>45.0</v>
      </c>
      <c r="F48" s="3" t="s">
        <v>27</v>
      </c>
      <c r="G48" s="3">
        <v>44.55</v>
      </c>
      <c r="I48" s="3">
        <v>48.05</v>
      </c>
      <c r="K48" s="3">
        <v>0.0</v>
      </c>
      <c r="L48" s="3">
        <v>0.0</v>
      </c>
      <c r="M48" s="3" t="s">
        <v>77</v>
      </c>
      <c r="N48" s="3">
        <v>1.0</v>
      </c>
      <c r="O48" s="3">
        <v>0.0</v>
      </c>
      <c r="P48" s="3">
        <v>-0.127</v>
      </c>
      <c r="Q48" s="3">
        <v>0.0</v>
      </c>
      <c r="R48" s="3">
        <v>0.252</v>
      </c>
      <c r="S48" s="3">
        <v>91.209999</v>
      </c>
      <c r="T48" s="3">
        <v>5.0</v>
      </c>
      <c r="U48" s="3">
        <f t="shared" si="2"/>
        <v>46.3</v>
      </c>
      <c r="V48" s="3"/>
      <c r="W48" s="3">
        <f t="shared" si="3"/>
        <v>46.210624</v>
      </c>
      <c r="X48" s="3">
        <f t="shared" si="4"/>
        <v>19.92157967</v>
      </c>
      <c r="Y48" s="3">
        <f t="shared" si="5"/>
        <v>19.88608319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164</v>
      </c>
      <c r="B49" s="3" t="s">
        <v>165</v>
      </c>
      <c r="C49" s="3" t="s">
        <v>133</v>
      </c>
      <c r="D49" s="3" t="s">
        <v>29</v>
      </c>
      <c r="E49" s="3">
        <v>45.0</v>
      </c>
      <c r="F49" s="3" t="s">
        <v>27</v>
      </c>
      <c r="G49" s="3">
        <v>44.05</v>
      </c>
      <c r="I49" s="3">
        <v>47.2</v>
      </c>
      <c r="K49" s="3">
        <v>0.0</v>
      </c>
      <c r="L49" s="3">
        <v>0.0</v>
      </c>
      <c r="M49" s="3" t="s">
        <v>78</v>
      </c>
      <c r="N49" s="3">
        <v>1.0</v>
      </c>
      <c r="O49" s="3">
        <v>0.0</v>
      </c>
      <c r="P49" s="3">
        <v>-0.127</v>
      </c>
      <c r="Q49" s="3">
        <v>0.0</v>
      </c>
      <c r="R49" s="3">
        <v>0.1641</v>
      </c>
      <c r="S49" s="3">
        <v>90.889999</v>
      </c>
      <c r="T49" s="3">
        <v>4.0</v>
      </c>
      <c r="U49" s="3">
        <f t="shared" si="2"/>
        <v>45.625</v>
      </c>
      <c r="V49" s="3"/>
      <c r="W49" s="3">
        <f t="shared" si="3"/>
        <v>45.890499</v>
      </c>
      <c r="X49" s="3">
        <f t="shared" si="4"/>
        <v>34.01325237</v>
      </c>
      <c r="Y49" s="3">
        <f t="shared" si="5"/>
        <v>33.99257772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164</v>
      </c>
      <c r="B50" s="3" t="s">
        <v>165</v>
      </c>
      <c r="C50" s="3" t="s">
        <v>133</v>
      </c>
      <c r="D50" s="3" t="s">
        <v>29</v>
      </c>
      <c r="E50" s="3">
        <v>45.0</v>
      </c>
      <c r="F50" s="3" t="s">
        <v>27</v>
      </c>
      <c r="G50" s="3">
        <v>43.4</v>
      </c>
      <c r="I50" s="3">
        <v>47.1</v>
      </c>
      <c r="K50" s="3">
        <v>0.0</v>
      </c>
      <c r="L50" s="3">
        <v>0.0</v>
      </c>
      <c r="M50" s="3" t="s">
        <v>79</v>
      </c>
      <c r="N50" s="3">
        <v>1.0</v>
      </c>
      <c r="O50" s="3">
        <v>0.0</v>
      </c>
      <c r="P50" s="3">
        <v>-0.127</v>
      </c>
      <c r="Q50" s="3">
        <v>0.0</v>
      </c>
      <c r="R50" s="3">
        <v>0.2881</v>
      </c>
      <c r="S50" s="3">
        <v>90.550003</v>
      </c>
      <c r="T50" s="3">
        <v>3.0</v>
      </c>
      <c r="U50" s="3">
        <f t="shared" si="2"/>
        <v>45.25</v>
      </c>
      <c r="V50" s="3"/>
      <c r="W50" s="3">
        <f t="shared" si="3"/>
        <v>45.550378</v>
      </c>
      <c r="X50" s="3">
        <f t="shared" si="4"/>
        <v>22.26047361</v>
      </c>
      <c r="Y50" s="3">
        <f t="shared" si="5"/>
        <v>22.22903932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164</v>
      </c>
      <c r="B51" s="3" t="s">
        <v>165</v>
      </c>
      <c r="C51" s="3" t="s">
        <v>133</v>
      </c>
      <c r="D51" s="3" t="s">
        <v>29</v>
      </c>
      <c r="E51" s="3">
        <v>45.0</v>
      </c>
      <c r="F51" s="3" t="s">
        <v>27</v>
      </c>
      <c r="G51" s="3">
        <v>44.3</v>
      </c>
      <c r="I51" s="3">
        <v>48.0</v>
      </c>
      <c r="K51" s="3">
        <v>0.0</v>
      </c>
      <c r="L51" s="3">
        <v>0.0</v>
      </c>
      <c r="M51" s="3" t="s">
        <v>80</v>
      </c>
      <c r="N51" s="3">
        <v>1.0</v>
      </c>
      <c r="O51" s="3">
        <v>0.0</v>
      </c>
      <c r="P51" s="3">
        <v>-0.127</v>
      </c>
      <c r="Q51" s="3">
        <v>0.0</v>
      </c>
      <c r="R51" s="3">
        <v>0.2604</v>
      </c>
      <c r="S51" s="3">
        <v>91.309998</v>
      </c>
      <c r="T51" s="3">
        <v>2.0</v>
      </c>
      <c r="U51" s="3">
        <f t="shared" si="2"/>
        <v>46.15</v>
      </c>
      <c r="V51" s="3"/>
      <c r="W51" s="3">
        <f t="shared" si="3"/>
        <v>46.310248</v>
      </c>
      <c r="X51" s="3">
        <f t="shared" si="4"/>
        <v>30.51401064</v>
      </c>
      <c r="Y51" s="3">
        <f t="shared" si="5"/>
        <v>30.49081236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164</v>
      </c>
      <c r="B52" s="3" t="s">
        <v>165</v>
      </c>
      <c r="C52" s="3" t="s">
        <v>133</v>
      </c>
      <c r="D52" s="3" t="s">
        <v>29</v>
      </c>
      <c r="E52" s="3">
        <v>45.0</v>
      </c>
      <c r="F52" s="3" t="s">
        <v>27</v>
      </c>
      <c r="G52" s="3">
        <v>44.5</v>
      </c>
      <c r="I52" s="3">
        <v>47.7</v>
      </c>
      <c r="K52" s="3">
        <v>0.0</v>
      </c>
      <c r="L52" s="3">
        <v>0.0</v>
      </c>
      <c r="M52" s="3" t="s">
        <v>81</v>
      </c>
      <c r="N52" s="3">
        <v>1.0</v>
      </c>
      <c r="O52" s="3">
        <v>0.0</v>
      </c>
      <c r="P52" s="3">
        <v>-0.127</v>
      </c>
      <c r="Q52" s="3">
        <v>0.0</v>
      </c>
      <c r="R52" s="3">
        <v>0.6286</v>
      </c>
      <c r="S52" s="3">
        <v>91.370003</v>
      </c>
      <c r="T52" s="3">
        <v>1.0</v>
      </c>
      <c r="U52" s="3">
        <f t="shared" si="2"/>
        <v>46.1</v>
      </c>
      <c r="V52" s="3"/>
      <c r="W52" s="3">
        <f t="shared" si="3"/>
        <v>46.370128</v>
      </c>
      <c r="X52" s="3">
        <f t="shared" si="4"/>
        <v>17.90595802</v>
      </c>
      <c r="Y52" s="3">
        <f t="shared" si="5"/>
        <v>17.86635995</v>
      </c>
      <c r="Z52" s="3">
        <f t="shared" ref="Z52:AA52" si="55">_xlfn.NORM.S.DIST(X52)</f>
        <v>1</v>
      </c>
      <c r="AA52" s="3">
        <f t="shared" si="55"/>
        <v>1</v>
      </c>
    </row>
    <row r="53" ht="14.25" customHeight="1">
      <c r="V53" s="3"/>
    </row>
    <row r="54" ht="14.25" customHeight="1">
      <c r="V54" s="3"/>
    </row>
    <row r="55" ht="14.25" customHeight="1">
      <c r="V55" s="3"/>
    </row>
    <row r="56" ht="14.25" customHeight="1">
      <c r="V56" s="3"/>
    </row>
    <row r="57" ht="14.25" customHeight="1">
      <c r="V57" s="3"/>
    </row>
    <row r="58" ht="14.25" customHeight="1">
      <c r="V58" s="3"/>
    </row>
    <row r="59" ht="14.25" customHeight="1">
      <c r="V59" s="3"/>
    </row>
    <row r="60" ht="14.25" customHeight="1">
      <c r="V60" s="3"/>
    </row>
    <row r="61" ht="14.25" customHeight="1">
      <c r="V61" s="3"/>
    </row>
    <row r="62" ht="14.25" customHeight="1">
      <c r="V62" s="3"/>
    </row>
    <row r="63" ht="14.25" customHeight="1">
      <c r="V63" s="3"/>
    </row>
    <row r="64" ht="14.25" customHeight="1">
      <c r="V64" s="3"/>
    </row>
    <row r="65" ht="14.25" customHeight="1">
      <c r="V65" s="3"/>
    </row>
    <row r="66" ht="14.25" customHeight="1">
      <c r="V66" s="3"/>
    </row>
    <row r="67" ht="14.25" customHeight="1">
      <c r="V67" s="3"/>
    </row>
    <row r="68" ht="14.25" customHeight="1">
      <c r="V68" s="3"/>
    </row>
    <row r="69" ht="14.25" customHeight="1">
      <c r="V69" s="3"/>
    </row>
    <row r="70" ht="14.25" customHeight="1">
      <c r="V70" s="3"/>
    </row>
    <row r="71" ht="14.25" customHeight="1">
      <c r="V71" s="3"/>
    </row>
    <row r="72" ht="14.25" customHeight="1">
      <c r="V72" s="3"/>
    </row>
    <row r="73" ht="14.25" customHeight="1">
      <c r="V73" s="3"/>
    </row>
    <row r="74" ht="14.25" customHeight="1">
      <c r="V74" s="3"/>
    </row>
    <row r="75" ht="14.25" customHeight="1">
      <c r="V75" s="3"/>
    </row>
    <row r="76" ht="14.25" customHeight="1">
      <c r="V76" s="3"/>
    </row>
    <row r="77" ht="14.25" customHeight="1">
      <c r="V77" s="3"/>
    </row>
    <row r="78" ht="14.25" customHeight="1">
      <c r="V78" s="3"/>
    </row>
    <row r="79" ht="14.25" customHeight="1">
      <c r="V79" s="3"/>
    </row>
    <row r="80" ht="14.25" customHeight="1">
      <c r="V80" s="3"/>
    </row>
    <row r="81" ht="14.25" customHeight="1">
      <c r="V81" s="3"/>
    </row>
    <row r="82" ht="14.25" customHeight="1">
      <c r="V82" s="3"/>
    </row>
    <row r="83" ht="14.25" customHeight="1">
      <c r="V83" s="3"/>
    </row>
    <row r="84" ht="14.25" customHeight="1">
      <c r="V84" s="3"/>
    </row>
    <row r="85" ht="14.25" customHeight="1">
      <c r="V85" s="3"/>
    </row>
    <row r="86" ht="14.25" customHeight="1">
      <c r="V86" s="3"/>
    </row>
    <row r="87" ht="14.25" customHeight="1">
      <c r="V87" s="3"/>
    </row>
    <row r="88" ht="14.25" customHeight="1">
      <c r="V88" s="3"/>
    </row>
    <row r="89" ht="14.25" customHeight="1">
      <c r="V89" s="3"/>
    </row>
    <row r="90" ht="14.25" customHeight="1">
      <c r="V90" s="3"/>
    </row>
    <row r="91" ht="14.25" customHeight="1">
      <c r="V91" s="3"/>
    </row>
    <row r="92" ht="14.25" customHeight="1">
      <c r="V92" s="3"/>
    </row>
    <row r="93" ht="14.25" customHeight="1">
      <c r="V93" s="3"/>
    </row>
    <row r="94" ht="14.25" customHeight="1">
      <c r="V94" s="3"/>
    </row>
    <row r="95" ht="14.25" customHeight="1">
      <c r="V95" s="3"/>
    </row>
    <row r="96" ht="14.25" customHeight="1">
      <c r="V96" s="3"/>
    </row>
    <row r="97" ht="14.25" customHeight="1">
      <c r="V97" s="3"/>
    </row>
    <row r="98" ht="14.25" customHeight="1">
      <c r="V98" s="3"/>
    </row>
    <row r="99" ht="14.25" customHeight="1">
      <c r="V99" s="3"/>
    </row>
    <row r="100" ht="14.25" customHeight="1">
      <c r="V100" s="3"/>
    </row>
    <row r="101" ht="14.25" customHeight="1">
      <c r="V101" s="3"/>
    </row>
    <row r="102" ht="14.25" customHeight="1">
      <c r="V102" s="3"/>
    </row>
    <row r="103" ht="14.25" customHeight="1">
      <c r="V103" s="3"/>
    </row>
    <row r="104" ht="14.25" customHeight="1">
      <c r="V104" s="3"/>
    </row>
    <row r="105" ht="14.25" customHeight="1">
      <c r="V105" s="3"/>
    </row>
    <row r="106" ht="14.25" customHeight="1">
      <c r="V106" s="3"/>
    </row>
    <row r="107" ht="14.25" customHeight="1">
      <c r="V107" s="3"/>
    </row>
    <row r="108" ht="14.25" customHeight="1">
      <c r="V108" s="3"/>
    </row>
    <row r="109" ht="14.25" customHeight="1">
      <c r="V109" s="3"/>
    </row>
    <row r="110" ht="14.25" customHeight="1">
      <c r="V110" s="3"/>
    </row>
    <row r="111" ht="14.25" customHeight="1">
      <c r="V111" s="3"/>
    </row>
    <row r="112" ht="14.25" customHeight="1">
      <c r="V112" s="3"/>
    </row>
    <row r="113" ht="14.25" customHeight="1">
      <c r="V113" s="3"/>
    </row>
    <row r="114" ht="14.25" customHeight="1">
      <c r="V114" s="3"/>
    </row>
    <row r="115" ht="14.25" customHeight="1">
      <c r="V115" s="3"/>
    </row>
    <row r="116" ht="14.25" customHeight="1">
      <c r="V116" s="3"/>
    </row>
    <row r="117" ht="14.25" customHeight="1">
      <c r="V117" s="3"/>
    </row>
    <row r="118" ht="14.25" customHeight="1">
      <c r="V118" s="3"/>
    </row>
    <row r="119" ht="14.25" customHeight="1">
      <c r="V119" s="3"/>
    </row>
    <row r="120" ht="14.25" customHeight="1">
      <c r="V120" s="3"/>
    </row>
    <row r="121" ht="14.25" customHeight="1">
      <c r="V121" s="3"/>
    </row>
    <row r="122" ht="14.25" customHeight="1">
      <c r="V122" s="3"/>
    </row>
    <row r="123" ht="14.25" customHeight="1">
      <c r="V123" s="3"/>
    </row>
    <row r="124" ht="14.25" customHeight="1">
      <c r="V124" s="3"/>
    </row>
    <row r="125" ht="14.25" customHeight="1">
      <c r="V125" s="3"/>
    </row>
    <row r="126" ht="14.25" customHeight="1">
      <c r="V126" s="3"/>
    </row>
    <row r="127" ht="14.25" customHeight="1">
      <c r="V127" s="3"/>
    </row>
    <row r="128" ht="14.25" customHeight="1">
      <c r="V128" s="3"/>
    </row>
    <row r="129" ht="14.25" customHeight="1">
      <c r="V129" s="3"/>
    </row>
    <row r="130" ht="14.25" customHeight="1">
      <c r="V130" s="3"/>
    </row>
    <row r="131" ht="14.25" customHeight="1">
      <c r="V131" s="3"/>
    </row>
    <row r="132" ht="14.25" customHeight="1">
      <c r="V132" s="3"/>
    </row>
    <row r="133" ht="14.25" customHeight="1">
      <c r="V133" s="3"/>
    </row>
    <row r="134" ht="14.25" customHeight="1">
      <c r="V134" s="3"/>
    </row>
    <row r="135" ht="14.25" customHeight="1">
      <c r="V135" s="3"/>
    </row>
    <row r="136" ht="14.25" customHeight="1">
      <c r="V136" s="3"/>
    </row>
    <row r="137" ht="14.25" customHeight="1">
      <c r="V137" s="3"/>
    </row>
    <row r="138" ht="14.25" customHeight="1">
      <c r="V138" s="3"/>
    </row>
    <row r="139" ht="14.25" customHeight="1">
      <c r="V139" s="3"/>
    </row>
    <row r="140" ht="14.25" customHeight="1">
      <c r="V140" s="3"/>
    </row>
    <row r="141" ht="14.25" customHeight="1">
      <c r="V141" s="3"/>
    </row>
    <row r="142" ht="14.25" customHeight="1">
      <c r="V142" s="3"/>
    </row>
    <row r="143" ht="14.25" customHeight="1">
      <c r="V143" s="3"/>
    </row>
    <row r="144" ht="14.25" customHeight="1">
      <c r="V144" s="3"/>
    </row>
    <row r="145" ht="14.25" customHeight="1">
      <c r="V145" s="3"/>
    </row>
    <row r="146" ht="14.25" customHeight="1">
      <c r="V146" s="3"/>
    </row>
    <row r="147" ht="14.25" customHeight="1">
      <c r="V147" s="3"/>
    </row>
    <row r="148" ht="14.25" customHeight="1">
      <c r="V148" s="3"/>
    </row>
    <row r="149" ht="14.25" customHeight="1">
      <c r="V149" s="3"/>
    </row>
    <row r="150" ht="14.25" customHeight="1">
      <c r="V150" s="3"/>
    </row>
    <row r="151" ht="14.25" customHeight="1">
      <c r="V151" s="3"/>
    </row>
    <row r="152" ht="14.25" customHeight="1">
      <c r="V152" s="3"/>
    </row>
    <row r="153" ht="14.25" customHeight="1">
      <c r="V153" s="3"/>
    </row>
    <row r="154" ht="14.25" customHeight="1">
      <c r="V154" s="3"/>
    </row>
    <row r="155" ht="14.25" customHeight="1">
      <c r="V155" s="3"/>
    </row>
    <row r="156" ht="14.25" customHeight="1">
      <c r="V156" s="3"/>
    </row>
    <row r="157" ht="14.25" customHeight="1">
      <c r="V157" s="3"/>
    </row>
    <row r="158" ht="14.25" customHeight="1">
      <c r="V158" s="3"/>
    </row>
    <row r="159" ht="14.25" customHeight="1">
      <c r="V159" s="3"/>
    </row>
    <row r="160" ht="14.25" customHeight="1">
      <c r="V160" s="3"/>
    </row>
    <row r="161" ht="14.25" customHeight="1">
      <c r="V161" s="3"/>
    </row>
    <row r="162" ht="14.25" customHeight="1">
      <c r="V162" s="3"/>
    </row>
    <row r="163" ht="14.25" customHeight="1">
      <c r="V163" s="3"/>
    </row>
    <row r="164" ht="14.25" customHeight="1">
      <c r="V164" s="3"/>
    </row>
    <row r="165" ht="14.25" customHeight="1">
      <c r="V165" s="3"/>
    </row>
    <row r="166" ht="14.25" customHeight="1">
      <c r="V166" s="3"/>
    </row>
    <row r="167" ht="14.25" customHeight="1">
      <c r="V167" s="3"/>
    </row>
    <row r="168" ht="14.25" customHeight="1">
      <c r="V168" s="3"/>
    </row>
    <row r="169" ht="14.25" customHeight="1">
      <c r="V169" s="3"/>
    </row>
    <row r="170" ht="14.25" customHeight="1">
      <c r="V170" s="3"/>
    </row>
    <row r="171" ht="14.25" customHeight="1">
      <c r="V171" s="3"/>
    </row>
    <row r="172" ht="14.25" customHeight="1">
      <c r="V172" s="3"/>
    </row>
    <row r="173" ht="14.25" customHeight="1">
      <c r="V173" s="3"/>
    </row>
    <row r="174" ht="14.25" customHeight="1">
      <c r="V174" s="3"/>
    </row>
    <row r="175" ht="14.25" customHeight="1">
      <c r="V175" s="3"/>
    </row>
    <row r="176" ht="14.25" customHeight="1">
      <c r="V176" s="3"/>
    </row>
    <row r="177" ht="14.25" customHeight="1">
      <c r="V177" s="3"/>
    </row>
    <row r="178" ht="14.25" customHeight="1">
      <c r="V178" s="3"/>
    </row>
    <row r="179" ht="14.25" customHeight="1">
      <c r="V179" s="3"/>
    </row>
    <row r="180" ht="14.25" customHeight="1">
      <c r="V180" s="3"/>
    </row>
    <row r="181" ht="14.25" customHeight="1">
      <c r="V181" s="3"/>
    </row>
    <row r="182" ht="14.25" customHeight="1">
      <c r="V182" s="3"/>
    </row>
    <row r="183" ht="14.25" customHeight="1">
      <c r="V183" s="3"/>
    </row>
    <row r="184" ht="14.25" customHeight="1">
      <c r="V184" s="3"/>
    </row>
    <row r="185" ht="14.25" customHeight="1">
      <c r="V185" s="3"/>
    </row>
    <row r="186" ht="14.25" customHeight="1">
      <c r="V186" s="3"/>
    </row>
    <row r="187" ht="14.25" customHeight="1">
      <c r="V187" s="3"/>
    </row>
    <row r="188" ht="14.25" customHeight="1">
      <c r="V188" s="3"/>
    </row>
    <row r="189" ht="14.25" customHeight="1">
      <c r="V189" s="3"/>
    </row>
    <row r="190" ht="14.25" customHeight="1">
      <c r="V190" s="3"/>
    </row>
    <row r="191" ht="14.25" customHeight="1">
      <c r="V191" s="3"/>
    </row>
    <row r="192" ht="14.25" customHeight="1">
      <c r="V192" s="3"/>
    </row>
    <row r="193" ht="14.25" customHeight="1">
      <c r="V193" s="3"/>
    </row>
    <row r="194" ht="14.25" customHeight="1">
      <c r="V194" s="3"/>
    </row>
    <row r="195" ht="14.25" customHeight="1">
      <c r="V195" s="3"/>
    </row>
    <row r="196" ht="14.25" customHeight="1">
      <c r="V196" s="3"/>
    </row>
    <row r="197" ht="14.25" customHeight="1">
      <c r="V197" s="3"/>
    </row>
    <row r="198" ht="14.25" customHeight="1">
      <c r="V198" s="3"/>
    </row>
    <row r="199" ht="14.25" customHeight="1">
      <c r="V199" s="3"/>
    </row>
    <row r="200" ht="14.25" customHeight="1">
      <c r="V200" s="3"/>
    </row>
    <row r="201" ht="14.25" customHeight="1">
      <c r="V201" s="3"/>
    </row>
    <row r="202" ht="14.25" customHeight="1">
      <c r="V202" s="3"/>
    </row>
    <row r="203" ht="14.25" customHeight="1">
      <c r="V203" s="3"/>
    </row>
    <row r="204" ht="14.25" customHeight="1">
      <c r="V204" s="3"/>
    </row>
    <row r="205" ht="14.25" customHeight="1">
      <c r="V205" s="3"/>
    </row>
    <row r="206" ht="14.25" customHeight="1">
      <c r="V206" s="3"/>
    </row>
    <row r="207" ht="14.25" customHeight="1">
      <c r="V207" s="3"/>
    </row>
    <row r="208" ht="14.25" customHeight="1">
      <c r="V208" s="3"/>
    </row>
    <row r="209" ht="14.25" customHeight="1">
      <c r="V209" s="3"/>
    </row>
    <row r="210" ht="14.25" customHeight="1">
      <c r="V210" s="3"/>
    </row>
    <row r="211" ht="14.25" customHeight="1">
      <c r="V211" s="3"/>
    </row>
    <row r="212" ht="14.25" customHeight="1">
      <c r="V212" s="3"/>
    </row>
    <row r="213" ht="14.25" customHeight="1">
      <c r="V213" s="3"/>
    </row>
    <row r="214" ht="14.25" customHeight="1">
      <c r="V214" s="3"/>
    </row>
    <row r="215" ht="14.25" customHeight="1">
      <c r="V215" s="3"/>
    </row>
    <row r="216" ht="14.25" customHeight="1">
      <c r="V216" s="3"/>
    </row>
    <row r="217" ht="14.25" customHeight="1">
      <c r="V217" s="3"/>
    </row>
    <row r="218" ht="14.25" customHeight="1">
      <c r="V218" s="3"/>
    </row>
    <row r="219" ht="14.25" customHeight="1">
      <c r="V219" s="3"/>
    </row>
    <row r="220" ht="14.25" customHeight="1">
      <c r="V220" s="3"/>
    </row>
    <row r="221" ht="14.25" customHeight="1">
      <c r="V221" s="3"/>
    </row>
    <row r="222" ht="14.25" customHeight="1">
      <c r="V222" s="3"/>
    </row>
    <row r="223" ht="14.25" customHeight="1">
      <c r="V223" s="3"/>
    </row>
    <row r="224" ht="14.25" customHeight="1">
      <c r="V224" s="3"/>
    </row>
    <row r="225" ht="14.25" customHeight="1">
      <c r="V225" s="3"/>
    </row>
    <row r="226" ht="14.25" customHeight="1">
      <c r="V226" s="3"/>
    </row>
    <row r="227" ht="14.25" customHeight="1">
      <c r="V227" s="3"/>
    </row>
    <row r="228" ht="14.25" customHeight="1">
      <c r="V228" s="3"/>
    </row>
    <row r="229" ht="14.25" customHeight="1">
      <c r="V229" s="3"/>
    </row>
    <row r="230" ht="14.25" customHeight="1">
      <c r="V230" s="3"/>
    </row>
    <row r="231" ht="14.25" customHeight="1">
      <c r="V231" s="3"/>
    </row>
    <row r="232" ht="14.25" customHeight="1">
      <c r="V232" s="3"/>
    </row>
    <row r="233" ht="14.25" customHeight="1">
      <c r="V233" s="3"/>
    </row>
    <row r="234" ht="14.25" customHeight="1">
      <c r="V234" s="3"/>
    </row>
    <row r="235" ht="14.25" customHeight="1">
      <c r="V235" s="3"/>
    </row>
    <row r="236" ht="14.25" customHeight="1">
      <c r="V236" s="3"/>
    </row>
    <row r="237" ht="14.25" customHeight="1">
      <c r="V237" s="3"/>
    </row>
    <row r="238" ht="14.25" customHeight="1">
      <c r="V238" s="3"/>
    </row>
    <row r="239" ht="14.25" customHeight="1">
      <c r="V239" s="3"/>
    </row>
    <row r="240" ht="14.25" customHeight="1">
      <c r="V240" s="3"/>
    </row>
    <row r="241" ht="14.25" customHeight="1">
      <c r="V241" s="3"/>
    </row>
    <row r="242" ht="14.25" customHeight="1">
      <c r="V242" s="3"/>
    </row>
    <row r="243" ht="14.25" customHeight="1">
      <c r="V243" s="3"/>
    </row>
    <row r="244" ht="14.25" customHeight="1">
      <c r="V244" s="3"/>
    </row>
    <row r="245" ht="14.25" customHeight="1">
      <c r="V245" s="3"/>
    </row>
    <row r="246" ht="14.25" customHeight="1">
      <c r="V246" s="3"/>
    </row>
    <row r="247" ht="14.25" customHeight="1">
      <c r="V247" s="3"/>
    </row>
    <row r="248" ht="14.25" customHeight="1">
      <c r="V248" s="3"/>
    </row>
    <row r="249" ht="14.25" customHeight="1">
      <c r="V249" s="3"/>
    </row>
    <row r="250" ht="14.25" customHeight="1">
      <c r="V250" s="3"/>
    </row>
    <row r="251" ht="14.25" customHeight="1">
      <c r="V251" s="3"/>
    </row>
    <row r="252" ht="14.25" customHeight="1">
      <c r="V252" s="3"/>
    </row>
    <row r="253" ht="14.25" customHeight="1">
      <c r="V253" s="3"/>
    </row>
    <row r="254" ht="14.25" customHeight="1">
      <c r="V254" s="3"/>
    </row>
    <row r="255" ht="14.25" customHeight="1">
      <c r="V255" s="3"/>
    </row>
    <row r="256" ht="14.25" customHeight="1">
      <c r="V256" s="3"/>
    </row>
    <row r="257" ht="14.25" customHeight="1">
      <c r="V257" s="3"/>
    </row>
    <row r="258" ht="14.25" customHeight="1">
      <c r="V258" s="3"/>
    </row>
    <row r="259" ht="14.25" customHeight="1">
      <c r="V259" s="3"/>
    </row>
    <row r="260" ht="14.25" customHeight="1">
      <c r="V260" s="3"/>
    </row>
    <row r="261" ht="14.25" customHeight="1">
      <c r="V261" s="3"/>
    </row>
    <row r="262" ht="14.25" customHeight="1">
      <c r="V262" s="3"/>
    </row>
    <row r="263" ht="14.25" customHeight="1">
      <c r="V263" s="3"/>
    </row>
    <row r="264" ht="14.25" customHeight="1">
      <c r="V264" s="3"/>
    </row>
    <row r="265" ht="14.25" customHeight="1">
      <c r="V265" s="3"/>
    </row>
    <row r="266" ht="14.25" customHeight="1">
      <c r="V266" s="3"/>
    </row>
    <row r="267" ht="14.25" customHeight="1">
      <c r="V267" s="3"/>
    </row>
    <row r="268" ht="14.25" customHeight="1">
      <c r="V268" s="3"/>
    </row>
    <row r="269" ht="14.25" customHeight="1">
      <c r="V269" s="3"/>
    </row>
    <row r="270" ht="14.25" customHeight="1">
      <c r="V270" s="3"/>
    </row>
    <row r="271" ht="14.25" customHeight="1">
      <c r="V271" s="3"/>
    </row>
    <row r="272" ht="14.25" customHeight="1">
      <c r="V272" s="3"/>
    </row>
    <row r="273" ht="14.25" customHeight="1">
      <c r="V273" s="3"/>
    </row>
    <row r="274" ht="14.25" customHeight="1">
      <c r="V274" s="3"/>
    </row>
    <row r="275" ht="14.25" customHeight="1">
      <c r="V275" s="3"/>
    </row>
    <row r="276" ht="14.25" customHeight="1">
      <c r="V276" s="3"/>
    </row>
    <row r="277" ht="14.25" customHeight="1">
      <c r="V277" s="3"/>
    </row>
    <row r="278" ht="14.25" customHeight="1">
      <c r="V278" s="3"/>
    </row>
    <row r="279" ht="14.25" customHeight="1">
      <c r="V279" s="3"/>
    </row>
    <row r="280" ht="14.25" customHeight="1">
      <c r="V280" s="3"/>
    </row>
    <row r="281" ht="14.25" customHeight="1">
      <c r="V281" s="3"/>
    </row>
    <row r="282" ht="14.25" customHeight="1">
      <c r="V282" s="3"/>
    </row>
    <row r="283" ht="14.25" customHeight="1">
      <c r="V283" s="3"/>
    </row>
    <row r="284" ht="14.25" customHeight="1">
      <c r="V284" s="3"/>
    </row>
    <row r="285" ht="14.25" customHeight="1">
      <c r="V285" s="3"/>
    </row>
    <row r="286" ht="14.25" customHeight="1">
      <c r="V286" s="3"/>
    </row>
    <row r="287" ht="14.25" customHeight="1">
      <c r="V287" s="3"/>
    </row>
    <row r="288" ht="14.25" customHeight="1">
      <c r="V288" s="3"/>
    </row>
    <row r="289" ht="14.25" customHeight="1">
      <c r="V289" s="3"/>
    </row>
    <row r="290" ht="14.25" customHeight="1">
      <c r="V290" s="3"/>
    </row>
    <row r="291" ht="14.25" customHeight="1">
      <c r="V291" s="3"/>
    </row>
    <row r="292" ht="14.25" customHeight="1">
      <c r="V292" s="3"/>
    </row>
    <row r="293" ht="14.25" customHeight="1">
      <c r="V293" s="3"/>
    </row>
    <row r="294" ht="14.25" customHeight="1">
      <c r="V294" s="3"/>
    </row>
    <row r="295" ht="14.25" customHeight="1">
      <c r="V295" s="3"/>
    </row>
    <row r="296" ht="14.25" customHeight="1">
      <c r="V296" s="3"/>
    </row>
    <row r="297" ht="14.25" customHeight="1">
      <c r="V297" s="3"/>
    </row>
    <row r="298" ht="14.25" customHeight="1">
      <c r="V298" s="3"/>
    </row>
    <row r="299" ht="14.25" customHeight="1">
      <c r="V299" s="3"/>
    </row>
    <row r="300" ht="14.25" customHeight="1">
      <c r="V300" s="3"/>
    </row>
    <row r="301" ht="14.25" customHeight="1">
      <c r="V301" s="3"/>
    </row>
    <row r="302" ht="14.25" customHeight="1">
      <c r="V302" s="3"/>
    </row>
    <row r="303" ht="14.25" customHeight="1">
      <c r="V303" s="3"/>
    </row>
    <row r="304" ht="14.25" customHeight="1">
      <c r="V304" s="3"/>
    </row>
    <row r="305" ht="14.25" customHeight="1">
      <c r="V305" s="3"/>
    </row>
    <row r="306" ht="14.25" customHeight="1">
      <c r="V306" s="3"/>
    </row>
    <row r="307" ht="14.25" customHeight="1">
      <c r="V307" s="3"/>
    </row>
    <row r="308" ht="14.25" customHeight="1">
      <c r="V308" s="3"/>
    </row>
    <row r="309" ht="14.25" customHeight="1">
      <c r="V309" s="3"/>
    </row>
    <row r="310" ht="14.25" customHeight="1">
      <c r="V310" s="3"/>
    </row>
    <row r="311" ht="14.25" customHeight="1">
      <c r="V311" s="3"/>
    </row>
    <row r="312" ht="14.25" customHeight="1">
      <c r="V312" s="3"/>
    </row>
    <row r="313" ht="14.25" customHeight="1">
      <c r="V313" s="3"/>
    </row>
    <row r="314" ht="14.25" customHeight="1">
      <c r="V314" s="3"/>
    </row>
    <row r="315" ht="14.25" customHeight="1">
      <c r="V315" s="3"/>
    </row>
    <row r="316" ht="14.25" customHeight="1">
      <c r="V316" s="3"/>
    </row>
    <row r="317" ht="14.25" customHeight="1">
      <c r="V317" s="3"/>
    </row>
    <row r="318" ht="14.25" customHeight="1">
      <c r="V318" s="3"/>
    </row>
    <row r="319" ht="14.25" customHeight="1">
      <c r="V319" s="3"/>
    </row>
    <row r="320" ht="14.25" customHeight="1">
      <c r="V320" s="3"/>
    </row>
    <row r="321" ht="14.25" customHeight="1">
      <c r="V321" s="3"/>
    </row>
    <row r="322" ht="14.25" customHeight="1">
      <c r="V322" s="3"/>
    </row>
    <row r="323" ht="14.25" customHeight="1">
      <c r="V323" s="3"/>
    </row>
    <row r="324" ht="14.25" customHeight="1">
      <c r="V324" s="3"/>
    </row>
    <row r="325" ht="14.25" customHeight="1">
      <c r="V325" s="3"/>
    </row>
    <row r="326" ht="14.25" customHeight="1">
      <c r="V326" s="3"/>
    </row>
    <row r="327" ht="14.25" customHeight="1">
      <c r="V327" s="3"/>
    </row>
    <row r="328" ht="14.25" customHeight="1">
      <c r="V328" s="3"/>
    </row>
    <row r="329" ht="14.25" customHeight="1">
      <c r="V329" s="3"/>
    </row>
    <row r="330" ht="14.25" customHeight="1">
      <c r="V330" s="3"/>
    </row>
    <row r="331" ht="14.25" customHeight="1">
      <c r="V331" s="3"/>
    </row>
    <row r="332" ht="14.25" customHeight="1">
      <c r="V332" s="3"/>
    </row>
    <row r="333" ht="14.25" customHeight="1">
      <c r="V333" s="3"/>
    </row>
    <row r="334" ht="14.25" customHeight="1">
      <c r="V334" s="3"/>
    </row>
    <row r="335" ht="14.25" customHeight="1">
      <c r="V335" s="3"/>
    </row>
    <row r="336" ht="14.25" customHeight="1">
      <c r="V336" s="3"/>
    </row>
    <row r="337" ht="14.25" customHeight="1">
      <c r="V337" s="3"/>
    </row>
    <row r="338" ht="14.25" customHeight="1">
      <c r="V338" s="3"/>
    </row>
    <row r="339" ht="14.25" customHeight="1">
      <c r="V339" s="3"/>
    </row>
    <row r="340" ht="14.25" customHeight="1">
      <c r="V340" s="3"/>
    </row>
    <row r="341" ht="14.25" customHeight="1">
      <c r="V341" s="3"/>
    </row>
    <row r="342" ht="14.25" customHeight="1">
      <c r="V342" s="3"/>
    </row>
    <row r="343" ht="14.25" customHeight="1">
      <c r="V343" s="3"/>
    </row>
    <row r="344" ht="14.25" customHeight="1">
      <c r="V344" s="3"/>
    </row>
    <row r="345" ht="14.25" customHeight="1">
      <c r="V345" s="3"/>
    </row>
    <row r="346" ht="14.25" customHeight="1">
      <c r="V346" s="3"/>
    </row>
    <row r="347" ht="14.25" customHeight="1">
      <c r="V347" s="3"/>
    </row>
    <row r="348" ht="14.25" customHeight="1">
      <c r="V348" s="3"/>
    </row>
    <row r="349" ht="14.25" customHeight="1">
      <c r="V349" s="3"/>
    </row>
    <row r="350" ht="14.25" customHeight="1">
      <c r="V350" s="3"/>
    </row>
    <row r="351" ht="14.25" customHeight="1">
      <c r="V351" s="3"/>
    </row>
    <row r="352" ht="14.25" customHeight="1">
      <c r="V352" s="3"/>
    </row>
    <row r="353" ht="14.25" customHeight="1">
      <c r="V353" s="3"/>
    </row>
    <row r="354" ht="14.25" customHeight="1">
      <c r="V354" s="3"/>
    </row>
    <row r="355" ht="14.25" customHeight="1">
      <c r="V355" s="3"/>
    </row>
    <row r="356" ht="14.25" customHeight="1">
      <c r="V356" s="3"/>
    </row>
    <row r="357" ht="14.25" customHeight="1">
      <c r="V357" s="3"/>
    </row>
    <row r="358" ht="14.25" customHeight="1">
      <c r="V358" s="3"/>
    </row>
    <row r="359" ht="14.25" customHeight="1">
      <c r="V359" s="3"/>
    </row>
    <row r="360" ht="14.25" customHeight="1">
      <c r="V360" s="3"/>
    </row>
    <row r="361" ht="14.25" customHeight="1">
      <c r="V361" s="3"/>
    </row>
    <row r="362" ht="14.25" customHeight="1">
      <c r="V362" s="3"/>
    </row>
    <row r="363" ht="14.25" customHeight="1">
      <c r="V363" s="3"/>
    </row>
    <row r="364" ht="14.25" customHeight="1">
      <c r="V364" s="3"/>
    </row>
    <row r="365" ht="14.25" customHeight="1">
      <c r="V365" s="3"/>
    </row>
    <row r="366" ht="14.25" customHeight="1">
      <c r="V366" s="3"/>
    </row>
    <row r="367" ht="14.25" customHeight="1">
      <c r="V367" s="3"/>
    </row>
    <row r="368" ht="14.25" customHeight="1">
      <c r="V368" s="3"/>
    </row>
    <row r="369" ht="14.25" customHeight="1">
      <c r="V369" s="3"/>
    </row>
    <row r="370" ht="14.25" customHeight="1">
      <c r="V370" s="3"/>
    </row>
    <row r="371" ht="14.25" customHeight="1">
      <c r="V371" s="3"/>
    </row>
    <row r="372" ht="14.25" customHeight="1">
      <c r="V372" s="3"/>
    </row>
    <row r="373" ht="14.25" customHeight="1">
      <c r="V373" s="3"/>
    </row>
    <row r="374" ht="14.25" customHeight="1">
      <c r="V374" s="3"/>
    </row>
    <row r="375" ht="14.25" customHeight="1">
      <c r="V375" s="3"/>
    </row>
    <row r="376" ht="14.25" customHeight="1">
      <c r="V376" s="3"/>
    </row>
    <row r="377" ht="14.25" customHeight="1">
      <c r="V377" s="3"/>
    </row>
    <row r="378" ht="14.25" customHeight="1">
      <c r="V378" s="3"/>
    </row>
    <row r="379" ht="14.25" customHeight="1">
      <c r="V379" s="3"/>
    </row>
    <row r="380" ht="14.25" customHeight="1">
      <c r="V380" s="3"/>
    </row>
    <row r="381" ht="14.25" customHeight="1">
      <c r="V381" s="3"/>
    </row>
    <row r="382" ht="14.25" customHeight="1">
      <c r="V382" s="3"/>
    </row>
    <row r="383" ht="14.25" customHeight="1">
      <c r="V383" s="3"/>
    </row>
    <row r="384" ht="14.25" customHeight="1">
      <c r="V384" s="3"/>
    </row>
    <row r="385" ht="14.25" customHeight="1">
      <c r="V385" s="3"/>
    </row>
    <row r="386" ht="14.25" customHeight="1">
      <c r="V386" s="3"/>
    </row>
    <row r="387" ht="14.25" customHeight="1">
      <c r="V387" s="3"/>
    </row>
    <row r="388" ht="14.25" customHeight="1">
      <c r="V388" s="3"/>
    </row>
    <row r="389" ht="14.25" customHeight="1">
      <c r="V389" s="3"/>
    </row>
    <row r="390" ht="14.25" customHeight="1">
      <c r="V390" s="3"/>
    </row>
    <row r="391" ht="14.25" customHeight="1">
      <c r="V391" s="3"/>
    </row>
    <row r="392" ht="14.25" customHeight="1">
      <c r="V392" s="3"/>
    </row>
    <row r="393" ht="14.25" customHeight="1">
      <c r="V393" s="3"/>
    </row>
    <row r="394" ht="14.25" customHeight="1">
      <c r="V394" s="3"/>
    </row>
    <row r="395" ht="14.25" customHeight="1">
      <c r="V395" s="3"/>
    </row>
    <row r="396" ht="14.25" customHeight="1">
      <c r="V396" s="3"/>
    </row>
    <row r="397" ht="14.25" customHeight="1">
      <c r="V397" s="3"/>
    </row>
    <row r="398" ht="14.25" customHeight="1">
      <c r="V398" s="3"/>
    </row>
    <row r="399" ht="14.25" customHeight="1">
      <c r="V399" s="3"/>
    </row>
    <row r="400" ht="14.25" customHeight="1">
      <c r="V400" s="3"/>
    </row>
    <row r="401" ht="14.25" customHeight="1">
      <c r="V401" s="3"/>
    </row>
    <row r="402" ht="14.25" customHeight="1">
      <c r="V402" s="3"/>
    </row>
    <row r="403" ht="14.25" customHeight="1">
      <c r="V403" s="3"/>
    </row>
    <row r="404" ht="14.25" customHeight="1">
      <c r="V404" s="3"/>
    </row>
    <row r="405" ht="14.25" customHeight="1">
      <c r="V405" s="3"/>
    </row>
    <row r="406" ht="14.25" customHeight="1">
      <c r="V406" s="3"/>
    </row>
    <row r="407" ht="14.25" customHeight="1">
      <c r="V407" s="3"/>
    </row>
    <row r="408" ht="14.25" customHeight="1">
      <c r="V408" s="3"/>
    </row>
    <row r="409" ht="14.25" customHeight="1">
      <c r="V409" s="3"/>
    </row>
    <row r="410" ht="14.25" customHeight="1">
      <c r="V410" s="3"/>
    </row>
    <row r="411" ht="14.25" customHeight="1">
      <c r="V411" s="3"/>
    </row>
    <row r="412" ht="14.25" customHeight="1">
      <c r="V412" s="3"/>
    </row>
    <row r="413" ht="14.25" customHeight="1">
      <c r="V413" s="3"/>
    </row>
    <row r="414" ht="14.25" customHeight="1">
      <c r="V414" s="3"/>
    </row>
    <row r="415" ht="14.25" customHeight="1">
      <c r="V415" s="3"/>
    </row>
    <row r="416" ht="14.25" customHeight="1">
      <c r="V416" s="3"/>
    </row>
    <row r="417" ht="14.25" customHeight="1">
      <c r="V417" s="3"/>
    </row>
    <row r="418" ht="14.25" customHeight="1">
      <c r="V418" s="3"/>
    </row>
    <row r="419" ht="14.25" customHeight="1">
      <c r="V419" s="3"/>
    </row>
    <row r="420" ht="14.25" customHeight="1">
      <c r="V420" s="3"/>
    </row>
    <row r="421" ht="14.25" customHeight="1">
      <c r="V421" s="3"/>
    </row>
    <row r="422" ht="14.25" customHeight="1">
      <c r="V422" s="3"/>
    </row>
    <row r="423" ht="14.25" customHeight="1">
      <c r="V423" s="3"/>
    </row>
    <row r="424" ht="14.25" customHeight="1">
      <c r="V424" s="3"/>
    </row>
    <row r="425" ht="14.25" customHeight="1">
      <c r="V425" s="3"/>
    </row>
    <row r="426" ht="14.25" customHeight="1">
      <c r="V426" s="3"/>
    </row>
    <row r="427" ht="14.25" customHeight="1">
      <c r="V427" s="3"/>
    </row>
    <row r="428" ht="14.25" customHeight="1">
      <c r="V428" s="3"/>
    </row>
    <row r="429" ht="14.25" customHeight="1">
      <c r="V429" s="3"/>
    </row>
    <row r="430" ht="14.25" customHeight="1">
      <c r="V430" s="3"/>
    </row>
    <row r="431" ht="14.25" customHeight="1">
      <c r="V431" s="3"/>
    </row>
    <row r="432" ht="14.25" customHeight="1">
      <c r="V432" s="3"/>
    </row>
    <row r="433" ht="14.25" customHeight="1">
      <c r="V433" s="3"/>
    </row>
    <row r="434" ht="14.25" customHeight="1">
      <c r="V434" s="3"/>
    </row>
    <row r="435" ht="14.25" customHeight="1">
      <c r="V435" s="3"/>
    </row>
    <row r="436" ht="14.25" customHeight="1">
      <c r="V436" s="3"/>
    </row>
    <row r="437" ht="14.25" customHeight="1">
      <c r="V437" s="3"/>
    </row>
    <row r="438" ht="14.25" customHeight="1">
      <c r="V438" s="3"/>
    </row>
    <row r="439" ht="14.25" customHeight="1">
      <c r="V439" s="3"/>
    </row>
    <row r="440" ht="14.25" customHeight="1">
      <c r="V440" s="3"/>
    </row>
    <row r="441" ht="14.25" customHeight="1">
      <c r="V441" s="3"/>
    </row>
    <row r="442" ht="14.25" customHeight="1">
      <c r="V442" s="3"/>
    </row>
    <row r="443" ht="14.25" customHeight="1">
      <c r="V443" s="3"/>
    </row>
    <row r="444" ht="14.25" customHeight="1">
      <c r="V444" s="3"/>
    </row>
    <row r="445" ht="14.25" customHeight="1">
      <c r="V445" s="3"/>
    </row>
    <row r="446" ht="14.25" customHeight="1">
      <c r="V446" s="3"/>
    </row>
    <row r="447" ht="14.25" customHeight="1">
      <c r="V447" s="3"/>
    </row>
    <row r="448" ht="14.25" customHeight="1">
      <c r="V448" s="3"/>
    </row>
    <row r="449" ht="14.25" customHeight="1">
      <c r="V449" s="3"/>
    </row>
    <row r="450" ht="14.25" customHeight="1">
      <c r="V450" s="3"/>
    </row>
    <row r="451" ht="14.25" customHeight="1">
      <c r="V451" s="3"/>
    </row>
    <row r="452" ht="14.25" customHeight="1">
      <c r="V452" s="3"/>
    </row>
    <row r="453" ht="14.25" customHeight="1">
      <c r="V453" s="3"/>
    </row>
    <row r="454" ht="14.25" customHeight="1">
      <c r="V454" s="3"/>
    </row>
    <row r="455" ht="14.25" customHeight="1">
      <c r="V455" s="3"/>
    </row>
    <row r="456" ht="14.25" customHeight="1">
      <c r="V456" s="3"/>
    </row>
    <row r="457" ht="14.25" customHeight="1">
      <c r="V457" s="3"/>
    </row>
    <row r="458" ht="14.25" customHeight="1">
      <c r="V458" s="3"/>
    </row>
    <row r="459" ht="14.25" customHeight="1">
      <c r="V459" s="3"/>
    </row>
    <row r="460" ht="14.25" customHeight="1">
      <c r="V460" s="3"/>
    </row>
    <row r="461" ht="14.25" customHeight="1">
      <c r="V461" s="3"/>
    </row>
    <row r="462" ht="14.25" customHeight="1">
      <c r="V462" s="3"/>
    </row>
    <row r="463" ht="14.25" customHeight="1">
      <c r="V463" s="3"/>
    </row>
    <row r="464" ht="14.25" customHeight="1">
      <c r="V464" s="3"/>
    </row>
    <row r="465" ht="14.25" customHeight="1">
      <c r="V465" s="3"/>
    </row>
    <row r="466" ht="14.25" customHeight="1">
      <c r="V466" s="3"/>
    </row>
    <row r="467" ht="14.25" customHeight="1">
      <c r="V467" s="3"/>
    </row>
    <row r="468" ht="14.25" customHeight="1">
      <c r="V468" s="3"/>
    </row>
    <row r="469" ht="14.25" customHeight="1">
      <c r="V469" s="3"/>
    </row>
    <row r="470" ht="14.25" customHeight="1">
      <c r="V470" s="3"/>
    </row>
    <row r="471" ht="14.25" customHeight="1">
      <c r="V471" s="3"/>
    </row>
    <row r="472" ht="14.25" customHeight="1">
      <c r="V472" s="3"/>
    </row>
    <row r="473" ht="14.25" customHeight="1">
      <c r="V473" s="3"/>
    </row>
    <row r="474" ht="14.25" customHeight="1">
      <c r="V474" s="3"/>
    </row>
    <row r="475" ht="14.25" customHeight="1">
      <c r="V475" s="3"/>
    </row>
    <row r="476" ht="14.25" customHeight="1">
      <c r="V476" s="3"/>
    </row>
    <row r="477" ht="14.25" customHeight="1">
      <c r="V477" s="3"/>
    </row>
    <row r="478" ht="14.25" customHeight="1">
      <c r="V478" s="3"/>
    </row>
    <row r="479" ht="14.25" customHeight="1">
      <c r="V479" s="3"/>
    </row>
    <row r="480" ht="14.25" customHeight="1">
      <c r="V480" s="3"/>
    </row>
    <row r="481" ht="14.25" customHeight="1">
      <c r="V481" s="3"/>
    </row>
    <row r="482" ht="14.25" customHeight="1">
      <c r="V482" s="3"/>
    </row>
    <row r="483" ht="14.25" customHeight="1">
      <c r="V483" s="3"/>
    </row>
    <row r="484" ht="14.25" customHeight="1">
      <c r="V484" s="3"/>
    </row>
    <row r="485" ht="14.25" customHeight="1">
      <c r="V485" s="3"/>
    </row>
    <row r="486" ht="14.25" customHeight="1">
      <c r="V486" s="3"/>
    </row>
    <row r="487" ht="14.25" customHeight="1">
      <c r="V487" s="3"/>
    </row>
    <row r="488" ht="14.25" customHeight="1">
      <c r="V488" s="3"/>
    </row>
    <row r="489" ht="14.25" customHeight="1">
      <c r="V489" s="3"/>
    </row>
    <row r="490" ht="14.25" customHeight="1">
      <c r="V490" s="3"/>
    </row>
    <row r="491" ht="14.25" customHeight="1">
      <c r="V491" s="3"/>
    </row>
    <row r="492" ht="14.25" customHeight="1">
      <c r="V492" s="3"/>
    </row>
    <row r="493" ht="14.25" customHeight="1">
      <c r="V493" s="3"/>
    </row>
    <row r="494" ht="14.25" customHeight="1">
      <c r="V494" s="3"/>
    </row>
    <row r="495" ht="14.25" customHeight="1">
      <c r="V495" s="3"/>
    </row>
    <row r="496" ht="14.25" customHeight="1">
      <c r="V496" s="3"/>
    </row>
    <row r="497" ht="14.25" customHeight="1">
      <c r="V497" s="3"/>
    </row>
    <row r="498" ht="14.25" customHeight="1">
      <c r="V498" s="3"/>
    </row>
    <row r="499" ht="14.25" customHeight="1">
      <c r="V499" s="3"/>
    </row>
    <row r="500" ht="14.25" customHeight="1">
      <c r="V500" s="3"/>
    </row>
    <row r="501" ht="14.25" customHeight="1">
      <c r="V501" s="3"/>
    </row>
    <row r="502" ht="14.25" customHeight="1">
      <c r="V502" s="3"/>
    </row>
    <row r="503" ht="14.25" customHeight="1">
      <c r="V503" s="3"/>
    </row>
    <row r="504" ht="14.25" customHeight="1">
      <c r="V504" s="3"/>
    </row>
    <row r="505" ht="14.25" customHeight="1">
      <c r="V505" s="3"/>
    </row>
    <row r="506" ht="14.25" customHeight="1">
      <c r="V506" s="3"/>
    </row>
    <row r="507" ht="14.25" customHeight="1">
      <c r="V507" s="3"/>
    </row>
    <row r="508" ht="14.25" customHeight="1">
      <c r="V508" s="3"/>
    </row>
    <row r="509" ht="14.25" customHeight="1">
      <c r="V509" s="3"/>
    </row>
    <row r="510" ht="14.25" customHeight="1">
      <c r="V510" s="3"/>
    </row>
    <row r="511" ht="14.25" customHeight="1">
      <c r="V511" s="3"/>
    </row>
    <row r="512" ht="14.25" customHeight="1">
      <c r="V512" s="3"/>
    </row>
    <row r="513" ht="14.25" customHeight="1">
      <c r="V513" s="3"/>
    </row>
    <row r="514" ht="14.25" customHeight="1">
      <c r="V514" s="3"/>
    </row>
    <row r="515" ht="14.25" customHeight="1">
      <c r="V515" s="3"/>
    </row>
    <row r="516" ht="14.25" customHeight="1">
      <c r="V516" s="3"/>
    </row>
    <row r="517" ht="14.25" customHeight="1">
      <c r="V517" s="3"/>
    </row>
    <row r="518" ht="14.25" customHeight="1">
      <c r="V518" s="3"/>
    </row>
    <row r="519" ht="14.25" customHeight="1">
      <c r="V519" s="3"/>
    </row>
    <row r="520" ht="14.25" customHeight="1">
      <c r="V520" s="3"/>
    </row>
    <row r="521" ht="14.25" customHeight="1">
      <c r="V521" s="3"/>
    </row>
    <row r="522" ht="14.25" customHeight="1">
      <c r="V522" s="3"/>
    </row>
    <row r="523" ht="14.25" customHeight="1">
      <c r="V523" s="3"/>
    </row>
    <row r="524" ht="14.25" customHeight="1">
      <c r="V524" s="3"/>
    </row>
    <row r="525" ht="14.25" customHeight="1">
      <c r="V525" s="3"/>
    </row>
    <row r="526" ht="14.25" customHeight="1">
      <c r="V526" s="3"/>
    </row>
    <row r="527" ht="14.25" customHeight="1">
      <c r="V527" s="3"/>
    </row>
    <row r="528" ht="14.25" customHeight="1">
      <c r="V528" s="3"/>
    </row>
    <row r="529" ht="14.25" customHeight="1">
      <c r="V529" s="3"/>
    </row>
    <row r="530" ht="14.25" customHeight="1">
      <c r="V530" s="3"/>
    </row>
    <row r="531" ht="14.25" customHeight="1">
      <c r="V531" s="3"/>
    </row>
    <row r="532" ht="14.25" customHeight="1">
      <c r="V532" s="3"/>
    </row>
    <row r="533" ht="14.25" customHeight="1">
      <c r="V533" s="3"/>
    </row>
    <row r="534" ht="14.25" customHeight="1">
      <c r="V534" s="3"/>
    </row>
    <row r="535" ht="14.25" customHeight="1">
      <c r="V535" s="3"/>
    </row>
    <row r="536" ht="14.25" customHeight="1">
      <c r="V536" s="3"/>
    </row>
    <row r="537" ht="14.25" customHeight="1">
      <c r="V537" s="3"/>
    </row>
    <row r="538" ht="14.25" customHeight="1">
      <c r="V538" s="3"/>
    </row>
    <row r="539" ht="14.25" customHeight="1">
      <c r="V539" s="3"/>
    </row>
    <row r="540" ht="14.25" customHeight="1">
      <c r="V540" s="3"/>
    </row>
    <row r="541" ht="14.25" customHeight="1">
      <c r="V541" s="3"/>
    </row>
    <row r="542" ht="14.25" customHeight="1">
      <c r="V542" s="3"/>
    </row>
    <row r="543" ht="14.25" customHeight="1">
      <c r="V543" s="3"/>
    </row>
    <row r="544" ht="14.25" customHeight="1">
      <c r="V544" s="3"/>
    </row>
    <row r="545" ht="14.25" customHeight="1">
      <c r="V545" s="3"/>
    </row>
    <row r="546" ht="14.25" customHeight="1">
      <c r="V546" s="3"/>
    </row>
    <row r="547" ht="14.25" customHeight="1">
      <c r="V547" s="3"/>
    </row>
    <row r="548" ht="14.25" customHeight="1">
      <c r="V548" s="3"/>
    </row>
    <row r="549" ht="14.25" customHeight="1">
      <c r="V549" s="3"/>
    </row>
    <row r="550" ht="14.25" customHeight="1">
      <c r="V550" s="3"/>
    </row>
    <row r="551" ht="14.25" customHeight="1">
      <c r="V551" s="3"/>
    </row>
    <row r="552" ht="14.25" customHeight="1">
      <c r="V552" s="3"/>
    </row>
    <row r="553" ht="14.25" customHeight="1">
      <c r="V553" s="3"/>
    </row>
    <row r="554" ht="14.25" customHeight="1">
      <c r="V554" s="3"/>
    </row>
    <row r="555" ht="14.25" customHeight="1">
      <c r="V555" s="3"/>
    </row>
    <row r="556" ht="14.25" customHeight="1">
      <c r="V556" s="3"/>
    </row>
    <row r="557" ht="14.25" customHeight="1">
      <c r="V557" s="3"/>
    </row>
    <row r="558" ht="14.25" customHeight="1">
      <c r="V558" s="3"/>
    </row>
    <row r="559" ht="14.25" customHeight="1">
      <c r="V559" s="3"/>
    </row>
    <row r="560" ht="14.25" customHeight="1">
      <c r="V560" s="3"/>
    </row>
    <row r="561" ht="14.25" customHeight="1">
      <c r="V561" s="3"/>
    </row>
    <row r="562" ht="14.25" customHeight="1">
      <c r="V562" s="3"/>
    </row>
    <row r="563" ht="14.25" customHeight="1">
      <c r="V563" s="3"/>
    </row>
    <row r="564" ht="14.25" customHeight="1">
      <c r="V564" s="3"/>
    </row>
    <row r="565" ht="14.25" customHeight="1">
      <c r="V565" s="3"/>
    </row>
    <row r="566" ht="14.25" customHeight="1">
      <c r="V566" s="3"/>
    </row>
    <row r="567" ht="14.25" customHeight="1">
      <c r="V567" s="3"/>
    </row>
    <row r="568" ht="14.25" customHeight="1">
      <c r="V568" s="3"/>
    </row>
    <row r="569" ht="14.25" customHeight="1">
      <c r="V569" s="3"/>
    </row>
    <row r="570" ht="14.25" customHeight="1">
      <c r="V570" s="3"/>
    </row>
    <row r="571" ht="14.25" customHeight="1">
      <c r="V571" s="3"/>
    </row>
    <row r="572" ht="14.25" customHeight="1">
      <c r="V572" s="3"/>
    </row>
    <row r="573" ht="14.25" customHeight="1">
      <c r="V573" s="3"/>
    </row>
    <row r="574" ht="14.25" customHeight="1">
      <c r="V574" s="3"/>
    </row>
    <row r="575" ht="14.25" customHeight="1">
      <c r="V575" s="3"/>
    </row>
    <row r="576" ht="14.25" customHeight="1">
      <c r="V576" s="3"/>
    </row>
    <row r="577" ht="14.25" customHeight="1">
      <c r="V577" s="3"/>
    </row>
    <row r="578" ht="14.25" customHeight="1">
      <c r="V578" s="3"/>
    </row>
    <row r="579" ht="14.25" customHeight="1">
      <c r="V579" s="3"/>
    </row>
    <row r="580" ht="14.25" customHeight="1">
      <c r="V580" s="3"/>
    </row>
    <row r="581" ht="14.25" customHeight="1">
      <c r="V581" s="3"/>
    </row>
    <row r="582" ht="14.25" customHeight="1">
      <c r="V582" s="3"/>
    </row>
    <row r="583" ht="14.25" customHeight="1">
      <c r="V583" s="3"/>
    </row>
    <row r="584" ht="14.25" customHeight="1">
      <c r="V584" s="3"/>
    </row>
    <row r="585" ht="14.25" customHeight="1">
      <c r="V585" s="3"/>
    </row>
    <row r="586" ht="14.25" customHeight="1">
      <c r="V586" s="3"/>
    </row>
    <row r="587" ht="14.25" customHeight="1">
      <c r="V587" s="3"/>
    </row>
    <row r="588" ht="14.25" customHeight="1">
      <c r="V588" s="3"/>
    </row>
    <row r="589" ht="14.25" customHeight="1">
      <c r="V589" s="3"/>
    </row>
    <row r="590" ht="14.25" customHeight="1">
      <c r="V590" s="3"/>
    </row>
    <row r="591" ht="14.25" customHeight="1">
      <c r="V591" s="3"/>
    </row>
    <row r="592" ht="14.25" customHeight="1">
      <c r="V592" s="3"/>
    </row>
    <row r="593" ht="14.25" customHeight="1">
      <c r="V593" s="3"/>
    </row>
    <row r="594" ht="14.25" customHeight="1">
      <c r="V594" s="3"/>
    </row>
    <row r="595" ht="14.25" customHeight="1">
      <c r="V595" s="3"/>
    </row>
    <row r="596" ht="14.25" customHeight="1">
      <c r="V596" s="3"/>
    </row>
    <row r="597" ht="14.25" customHeight="1">
      <c r="V597" s="3"/>
    </row>
    <row r="598" ht="14.25" customHeight="1">
      <c r="V598" s="3"/>
    </row>
    <row r="599" ht="14.25" customHeight="1">
      <c r="V599" s="3"/>
    </row>
    <row r="600" ht="14.25" customHeight="1">
      <c r="V600" s="3"/>
    </row>
    <row r="601" ht="14.25" customHeight="1">
      <c r="V601" s="3"/>
    </row>
    <row r="602" ht="14.25" customHeight="1">
      <c r="V602" s="3"/>
    </row>
    <row r="603" ht="14.25" customHeight="1">
      <c r="V603" s="3"/>
    </row>
    <row r="604" ht="14.25" customHeight="1">
      <c r="V604" s="3"/>
    </row>
    <row r="605" ht="14.25" customHeight="1">
      <c r="V605" s="3"/>
    </row>
    <row r="606" ht="14.25" customHeight="1">
      <c r="V606" s="3"/>
    </row>
    <row r="607" ht="14.25" customHeight="1">
      <c r="V607" s="3"/>
    </row>
    <row r="608" ht="14.25" customHeight="1">
      <c r="V608" s="3"/>
    </row>
    <row r="609" ht="14.25" customHeight="1">
      <c r="V609" s="3"/>
    </row>
    <row r="610" ht="14.25" customHeight="1">
      <c r="V610" s="3"/>
    </row>
    <row r="611" ht="14.25" customHeight="1">
      <c r="V611" s="3"/>
    </row>
    <row r="612" ht="14.25" customHeight="1">
      <c r="V612" s="3"/>
    </row>
    <row r="613" ht="14.25" customHeight="1">
      <c r="V613" s="3"/>
    </row>
    <row r="614" ht="14.25" customHeight="1">
      <c r="V614" s="3"/>
    </row>
    <row r="615" ht="14.25" customHeight="1">
      <c r="V615" s="3"/>
    </row>
    <row r="616" ht="14.25" customHeight="1">
      <c r="V616" s="3"/>
    </row>
    <row r="617" ht="14.25" customHeight="1">
      <c r="V617" s="3"/>
    </row>
    <row r="618" ht="14.25" customHeight="1">
      <c r="V618" s="3"/>
    </row>
    <row r="619" ht="14.25" customHeight="1">
      <c r="V619" s="3"/>
    </row>
    <row r="620" ht="14.25" customHeight="1">
      <c r="V620" s="3"/>
    </row>
    <row r="621" ht="14.25" customHeight="1">
      <c r="V621" s="3"/>
    </row>
    <row r="622" ht="14.25" customHeight="1">
      <c r="V622" s="3"/>
    </row>
    <row r="623" ht="14.25" customHeight="1">
      <c r="V623" s="3"/>
    </row>
    <row r="624" ht="14.25" customHeight="1">
      <c r="V624" s="3"/>
    </row>
    <row r="625" ht="14.25" customHeight="1">
      <c r="V625" s="3"/>
    </row>
    <row r="626" ht="14.25" customHeight="1">
      <c r="V626" s="3"/>
    </row>
    <row r="627" ht="14.25" customHeight="1">
      <c r="V627" s="3"/>
    </row>
    <row r="628" ht="14.25" customHeight="1">
      <c r="V628" s="3"/>
    </row>
    <row r="629" ht="14.25" customHeight="1">
      <c r="V629" s="3"/>
    </row>
    <row r="630" ht="14.25" customHeight="1">
      <c r="V630" s="3"/>
    </row>
    <row r="631" ht="14.25" customHeight="1">
      <c r="V631" s="3"/>
    </row>
    <row r="632" ht="14.25" customHeight="1">
      <c r="V632" s="3"/>
    </row>
    <row r="633" ht="14.25" customHeight="1">
      <c r="V633" s="3"/>
    </row>
    <row r="634" ht="14.25" customHeight="1">
      <c r="V634" s="3"/>
    </row>
    <row r="635" ht="14.25" customHeight="1">
      <c r="V635" s="3"/>
    </row>
    <row r="636" ht="14.25" customHeight="1">
      <c r="V636" s="3"/>
    </row>
    <row r="637" ht="14.25" customHeight="1">
      <c r="V637" s="3"/>
    </row>
    <row r="638" ht="14.25" customHeight="1">
      <c r="V638" s="3"/>
    </row>
    <row r="639" ht="14.25" customHeight="1">
      <c r="V639" s="3"/>
    </row>
    <row r="640" ht="14.25" customHeight="1">
      <c r="V640" s="3"/>
    </row>
    <row r="641" ht="14.25" customHeight="1">
      <c r="V641" s="3"/>
    </row>
    <row r="642" ht="14.25" customHeight="1">
      <c r="V642" s="3"/>
    </row>
    <row r="643" ht="14.25" customHeight="1">
      <c r="V643" s="3"/>
    </row>
    <row r="644" ht="14.25" customHeight="1">
      <c r="V644" s="3"/>
    </row>
    <row r="645" ht="14.25" customHeight="1">
      <c r="V645" s="3"/>
    </row>
    <row r="646" ht="14.25" customHeight="1">
      <c r="V646" s="3"/>
    </row>
    <row r="647" ht="14.25" customHeight="1">
      <c r="V647" s="3"/>
    </row>
    <row r="648" ht="14.25" customHeight="1">
      <c r="V648" s="3"/>
    </row>
    <row r="649" ht="14.25" customHeight="1">
      <c r="V649" s="3"/>
    </row>
    <row r="650" ht="14.25" customHeight="1">
      <c r="V650" s="3"/>
    </row>
    <row r="651" ht="14.25" customHeight="1">
      <c r="V651" s="3"/>
    </row>
    <row r="652" ht="14.25" customHeight="1">
      <c r="V652" s="3"/>
    </row>
    <row r="653" ht="14.25" customHeight="1">
      <c r="V653" s="3"/>
    </row>
    <row r="654" ht="14.25" customHeight="1">
      <c r="V654" s="3"/>
    </row>
    <row r="655" ht="14.25" customHeight="1">
      <c r="V655" s="3"/>
    </row>
    <row r="656" ht="14.25" customHeight="1">
      <c r="V656" s="3"/>
    </row>
    <row r="657" ht="14.25" customHeight="1">
      <c r="V657" s="3"/>
    </row>
    <row r="658" ht="14.25" customHeight="1">
      <c r="V658" s="3"/>
    </row>
    <row r="659" ht="14.25" customHeight="1">
      <c r="V659" s="3"/>
    </row>
    <row r="660" ht="14.25" customHeight="1">
      <c r="V660" s="3"/>
    </row>
    <row r="661" ht="14.25" customHeight="1">
      <c r="V661" s="3"/>
    </row>
    <row r="662" ht="14.25" customHeight="1">
      <c r="V662" s="3"/>
    </row>
    <row r="663" ht="14.25" customHeight="1">
      <c r="V663" s="3"/>
    </row>
    <row r="664" ht="14.25" customHeight="1">
      <c r="V664" s="3"/>
    </row>
    <row r="665" ht="14.25" customHeight="1">
      <c r="V665" s="3"/>
    </row>
    <row r="666" ht="14.25" customHeight="1">
      <c r="V666" s="3"/>
    </row>
    <row r="667" ht="14.25" customHeight="1">
      <c r="V667" s="3"/>
    </row>
    <row r="668" ht="14.25" customHeight="1">
      <c r="V668" s="3"/>
    </row>
    <row r="669" ht="14.25" customHeight="1">
      <c r="V669" s="3"/>
    </row>
    <row r="670" ht="14.25" customHeight="1">
      <c r="V670" s="3"/>
    </row>
    <row r="671" ht="14.25" customHeight="1">
      <c r="V671" s="3"/>
    </row>
    <row r="672" ht="14.25" customHeight="1">
      <c r="V672" s="3"/>
    </row>
    <row r="673" ht="14.25" customHeight="1">
      <c r="V673" s="3"/>
    </row>
    <row r="674" ht="14.25" customHeight="1">
      <c r="V674" s="3"/>
    </row>
    <row r="675" ht="14.25" customHeight="1">
      <c r="V675" s="3"/>
    </row>
    <row r="676" ht="14.25" customHeight="1">
      <c r="V676" s="3"/>
    </row>
    <row r="677" ht="14.25" customHeight="1">
      <c r="V677" s="3"/>
    </row>
    <row r="678" ht="14.25" customHeight="1">
      <c r="V678" s="3"/>
    </row>
    <row r="679" ht="14.25" customHeight="1">
      <c r="V679" s="3"/>
    </row>
    <row r="680" ht="14.25" customHeight="1">
      <c r="V680" s="3"/>
    </row>
    <row r="681" ht="14.25" customHeight="1">
      <c r="V681" s="3"/>
    </row>
    <row r="682" ht="14.25" customHeight="1">
      <c r="V682" s="3"/>
    </row>
    <row r="683" ht="14.25" customHeight="1">
      <c r="V683" s="3"/>
    </row>
    <row r="684" ht="14.25" customHeight="1">
      <c r="V684" s="3"/>
    </row>
    <row r="685" ht="14.25" customHeight="1">
      <c r="V685" s="3"/>
    </row>
    <row r="686" ht="14.25" customHeight="1">
      <c r="V686" s="3"/>
    </row>
    <row r="687" ht="14.25" customHeight="1">
      <c r="V687" s="3"/>
    </row>
    <row r="688" ht="14.25" customHeight="1">
      <c r="V688" s="3"/>
    </row>
    <row r="689" ht="14.25" customHeight="1">
      <c r="V689" s="3"/>
    </row>
    <row r="690" ht="14.25" customHeight="1">
      <c r="V690" s="3"/>
    </row>
    <row r="691" ht="14.25" customHeight="1">
      <c r="V691" s="3"/>
    </row>
    <row r="692" ht="14.25" customHeight="1">
      <c r="V692" s="3"/>
    </row>
    <row r="693" ht="14.25" customHeight="1">
      <c r="V693" s="3"/>
    </row>
    <row r="694" ht="14.25" customHeight="1">
      <c r="V694" s="3"/>
    </row>
    <row r="695" ht="14.25" customHeight="1">
      <c r="V695" s="3"/>
    </row>
    <row r="696" ht="14.25" customHeight="1">
      <c r="V696" s="3"/>
    </row>
    <row r="697" ht="14.25" customHeight="1">
      <c r="V697" s="3"/>
    </row>
    <row r="698" ht="14.25" customHeight="1">
      <c r="V698" s="3"/>
    </row>
    <row r="699" ht="14.25" customHeight="1">
      <c r="V699" s="3"/>
    </row>
    <row r="700" ht="14.25" customHeight="1">
      <c r="V700" s="3"/>
    </row>
    <row r="701" ht="14.25" customHeight="1">
      <c r="V701" s="3"/>
    </row>
    <row r="702" ht="14.25" customHeight="1">
      <c r="V702" s="3"/>
    </row>
    <row r="703" ht="14.25" customHeight="1">
      <c r="V703" s="3"/>
    </row>
    <row r="704" ht="14.25" customHeight="1">
      <c r="V704" s="3"/>
    </row>
    <row r="705" ht="14.25" customHeight="1">
      <c r="V705" s="3"/>
    </row>
    <row r="706" ht="14.25" customHeight="1">
      <c r="V706" s="3"/>
    </row>
    <row r="707" ht="14.25" customHeight="1">
      <c r="V707" s="3"/>
    </row>
    <row r="708" ht="14.25" customHeight="1">
      <c r="V708" s="3"/>
    </row>
    <row r="709" ht="14.25" customHeight="1">
      <c r="V709" s="3"/>
    </row>
    <row r="710" ht="14.25" customHeight="1">
      <c r="V710" s="3"/>
    </row>
    <row r="711" ht="14.25" customHeight="1">
      <c r="V711" s="3"/>
    </row>
    <row r="712" ht="14.25" customHeight="1">
      <c r="V712" s="3"/>
    </row>
    <row r="713" ht="14.25" customHeight="1">
      <c r="V713" s="3"/>
    </row>
    <row r="714" ht="14.25" customHeight="1">
      <c r="V714" s="3"/>
    </row>
    <row r="715" ht="14.25" customHeight="1">
      <c r="V715" s="3"/>
    </row>
    <row r="716" ht="14.25" customHeight="1">
      <c r="V716" s="3"/>
    </row>
    <row r="717" ht="14.25" customHeight="1">
      <c r="V717" s="3"/>
    </row>
    <row r="718" ht="14.25" customHeight="1">
      <c r="V718" s="3"/>
    </row>
    <row r="719" ht="14.25" customHeight="1">
      <c r="V719" s="3"/>
    </row>
    <row r="720" ht="14.25" customHeight="1">
      <c r="V720" s="3"/>
    </row>
    <row r="721" ht="14.25" customHeight="1">
      <c r="V721" s="3"/>
    </row>
    <row r="722" ht="14.25" customHeight="1">
      <c r="V722" s="3"/>
    </row>
    <row r="723" ht="14.25" customHeight="1">
      <c r="V723" s="3"/>
    </row>
    <row r="724" ht="14.25" customHeight="1">
      <c r="V724" s="3"/>
    </row>
    <row r="725" ht="14.25" customHeight="1">
      <c r="V725" s="3"/>
    </row>
    <row r="726" ht="14.25" customHeight="1">
      <c r="V726" s="3"/>
    </row>
    <row r="727" ht="14.25" customHeight="1">
      <c r="V727" s="3"/>
    </row>
    <row r="728" ht="14.25" customHeight="1">
      <c r="V728" s="3"/>
    </row>
    <row r="729" ht="14.25" customHeight="1">
      <c r="V729" s="3"/>
    </row>
    <row r="730" ht="14.25" customHeight="1">
      <c r="V730" s="3"/>
    </row>
    <row r="731" ht="14.25" customHeight="1">
      <c r="V731" s="3"/>
    </row>
    <row r="732" ht="14.25" customHeight="1">
      <c r="V732" s="3"/>
    </row>
    <row r="733" ht="14.25" customHeight="1">
      <c r="V733" s="3"/>
    </row>
    <row r="734" ht="14.25" customHeight="1">
      <c r="V734" s="3"/>
    </row>
    <row r="735" ht="14.25" customHeight="1">
      <c r="V735" s="3"/>
    </row>
    <row r="736" ht="14.25" customHeight="1">
      <c r="V736" s="3"/>
    </row>
    <row r="737" ht="14.25" customHeight="1">
      <c r="V737" s="3"/>
    </row>
    <row r="738" ht="14.25" customHeight="1">
      <c r="V738" s="3"/>
    </row>
    <row r="739" ht="14.25" customHeight="1">
      <c r="V739" s="3"/>
    </row>
    <row r="740" ht="14.25" customHeight="1">
      <c r="V740" s="3"/>
    </row>
    <row r="741" ht="14.25" customHeight="1">
      <c r="V741" s="3"/>
    </row>
    <row r="742" ht="14.25" customHeight="1">
      <c r="V742" s="3"/>
    </row>
    <row r="743" ht="14.25" customHeight="1">
      <c r="V743" s="3"/>
    </row>
    <row r="744" ht="14.25" customHeight="1">
      <c r="V744" s="3"/>
    </row>
    <row r="745" ht="14.25" customHeight="1">
      <c r="V745" s="3"/>
    </row>
    <row r="746" ht="14.25" customHeight="1">
      <c r="V746" s="3"/>
    </row>
    <row r="747" ht="14.25" customHeight="1">
      <c r="V747" s="3"/>
    </row>
    <row r="748" ht="14.25" customHeight="1">
      <c r="V748" s="3"/>
    </row>
    <row r="749" ht="14.25" customHeight="1">
      <c r="V749" s="3"/>
    </row>
    <row r="750" ht="14.25" customHeight="1">
      <c r="V750" s="3"/>
    </row>
    <row r="751" ht="14.25" customHeight="1">
      <c r="V751" s="3"/>
    </row>
    <row r="752" ht="14.25" customHeight="1">
      <c r="V752" s="3"/>
    </row>
    <row r="753" ht="14.25" customHeight="1">
      <c r="V753" s="3"/>
    </row>
    <row r="754" ht="14.25" customHeight="1">
      <c r="V754" s="3"/>
    </row>
    <row r="755" ht="14.25" customHeight="1">
      <c r="V755" s="3"/>
    </row>
    <row r="756" ht="14.25" customHeight="1">
      <c r="V756" s="3"/>
    </row>
    <row r="757" ht="14.25" customHeight="1">
      <c r="V757" s="3"/>
    </row>
    <row r="758" ht="14.25" customHeight="1">
      <c r="V758" s="3"/>
    </row>
    <row r="759" ht="14.25" customHeight="1">
      <c r="V759" s="3"/>
    </row>
    <row r="760" ht="14.25" customHeight="1">
      <c r="V760" s="3"/>
    </row>
    <row r="761" ht="14.25" customHeight="1">
      <c r="V761" s="3"/>
    </row>
    <row r="762" ht="14.25" customHeight="1">
      <c r="V762" s="3"/>
    </row>
    <row r="763" ht="14.25" customHeight="1">
      <c r="V763" s="3"/>
    </row>
    <row r="764" ht="14.25" customHeight="1">
      <c r="V764" s="3"/>
    </row>
    <row r="765" ht="14.25" customHeight="1">
      <c r="V765" s="3"/>
    </row>
    <row r="766" ht="14.25" customHeight="1">
      <c r="V766" s="3"/>
    </row>
    <row r="767" ht="14.25" customHeight="1">
      <c r="V767" s="3"/>
    </row>
    <row r="768" ht="14.25" customHeight="1">
      <c r="V768" s="3"/>
    </row>
    <row r="769" ht="14.25" customHeight="1">
      <c r="V769" s="3"/>
    </row>
    <row r="770" ht="14.25" customHeight="1">
      <c r="V770" s="3"/>
    </row>
    <row r="771" ht="14.25" customHeight="1">
      <c r="V771" s="3"/>
    </row>
    <row r="772" ht="14.25" customHeight="1">
      <c r="V772" s="3"/>
    </row>
    <row r="773" ht="14.25" customHeight="1">
      <c r="V773" s="3"/>
    </row>
    <row r="774" ht="14.25" customHeight="1">
      <c r="V774" s="3"/>
    </row>
    <row r="775" ht="14.25" customHeight="1">
      <c r="V775" s="3"/>
    </row>
    <row r="776" ht="14.25" customHeight="1">
      <c r="V776" s="3"/>
    </row>
    <row r="777" ht="14.25" customHeight="1">
      <c r="V777" s="3"/>
    </row>
    <row r="778" ht="14.25" customHeight="1">
      <c r="V778" s="3"/>
    </row>
    <row r="779" ht="14.25" customHeight="1">
      <c r="V779" s="3"/>
    </row>
    <row r="780" ht="14.25" customHeight="1">
      <c r="V780" s="3"/>
    </row>
    <row r="781" ht="14.25" customHeight="1">
      <c r="V781" s="3"/>
    </row>
    <row r="782" ht="14.25" customHeight="1">
      <c r="V782" s="3"/>
    </row>
    <row r="783" ht="14.25" customHeight="1">
      <c r="V783" s="3"/>
    </row>
    <row r="784" ht="14.25" customHeight="1">
      <c r="V784" s="3"/>
    </row>
    <row r="785" ht="14.25" customHeight="1">
      <c r="V785" s="3"/>
    </row>
    <row r="786" ht="14.25" customHeight="1">
      <c r="V786" s="3"/>
    </row>
    <row r="787" ht="14.25" customHeight="1">
      <c r="V787" s="3"/>
    </row>
    <row r="788" ht="14.25" customHeight="1">
      <c r="V788" s="3"/>
    </row>
    <row r="789" ht="14.25" customHeight="1">
      <c r="V789" s="3"/>
    </row>
    <row r="790" ht="14.25" customHeight="1">
      <c r="V790" s="3"/>
    </row>
    <row r="791" ht="14.25" customHeight="1">
      <c r="V791" s="3"/>
    </row>
    <row r="792" ht="14.25" customHeight="1">
      <c r="V792" s="3"/>
    </row>
    <row r="793" ht="14.25" customHeight="1">
      <c r="V793" s="3"/>
    </row>
    <row r="794" ht="14.25" customHeight="1">
      <c r="V794" s="3"/>
    </row>
    <row r="795" ht="14.25" customHeight="1">
      <c r="V795" s="3"/>
    </row>
    <row r="796" ht="14.25" customHeight="1">
      <c r="V796" s="3"/>
    </row>
    <row r="797" ht="14.25" customHeight="1">
      <c r="V797" s="3"/>
    </row>
    <row r="798" ht="14.25" customHeight="1">
      <c r="V798" s="3"/>
    </row>
    <row r="799" ht="14.25" customHeight="1">
      <c r="V799" s="3"/>
    </row>
    <row r="800" ht="14.25" customHeight="1">
      <c r="V800" s="3"/>
    </row>
    <row r="801" ht="14.25" customHeight="1">
      <c r="V801" s="3"/>
    </row>
    <row r="802" ht="14.25" customHeight="1">
      <c r="V802" s="3"/>
    </row>
    <row r="803" ht="14.25" customHeight="1">
      <c r="V803" s="3"/>
    </row>
    <row r="804" ht="14.25" customHeight="1">
      <c r="V804" s="3"/>
    </row>
    <row r="805" ht="14.25" customHeight="1">
      <c r="V805" s="3"/>
    </row>
    <row r="806" ht="14.25" customHeight="1">
      <c r="V806" s="3"/>
    </row>
    <row r="807" ht="14.25" customHeight="1">
      <c r="V807" s="3"/>
    </row>
    <row r="808" ht="14.25" customHeight="1">
      <c r="V808" s="3"/>
    </row>
    <row r="809" ht="14.25" customHeight="1">
      <c r="V809" s="3"/>
    </row>
    <row r="810" ht="14.25" customHeight="1">
      <c r="V810" s="3"/>
    </row>
    <row r="811" ht="14.25" customHeight="1">
      <c r="V811" s="3"/>
    </row>
    <row r="812" ht="14.25" customHeight="1">
      <c r="V812" s="3"/>
    </row>
    <row r="813" ht="14.25" customHeight="1">
      <c r="V813" s="3"/>
    </row>
    <row r="814" ht="14.25" customHeight="1">
      <c r="V814" s="3"/>
    </row>
    <row r="815" ht="14.25" customHeight="1">
      <c r="V815" s="3"/>
    </row>
    <row r="816" ht="14.25" customHeight="1">
      <c r="V816" s="3"/>
    </row>
    <row r="817" ht="14.25" customHeight="1">
      <c r="V817" s="3"/>
    </row>
    <row r="818" ht="14.25" customHeight="1">
      <c r="V818" s="3"/>
    </row>
    <row r="819" ht="14.25" customHeight="1">
      <c r="V819" s="3"/>
    </row>
    <row r="820" ht="14.25" customHeight="1">
      <c r="V820" s="3"/>
    </row>
    <row r="821" ht="14.25" customHeight="1">
      <c r="V821" s="3"/>
    </row>
    <row r="822" ht="14.25" customHeight="1">
      <c r="V822" s="3"/>
    </row>
    <row r="823" ht="14.25" customHeight="1">
      <c r="V823" s="3"/>
    </row>
    <row r="824" ht="14.25" customHeight="1">
      <c r="V824" s="3"/>
    </row>
    <row r="825" ht="14.25" customHeight="1">
      <c r="V825" s="3"/>
    </row>
    <row r="826" ht="14.25" customHeight="1">
      <c r="V826" s="3"/>
    </row>
    <row r="827" ht="14.25" customHeight="1">
      <c r="V827" s="3"/>
    </row>
    <row r="828" ht="14.25" customHeight="1">
      <c r="V828" s="3"/>
    </row>
    <row r="829" ht="14.25" customHeight="1">
      <c r="V829" s="3"/>
    </row>
    <row r="830" ht="14.25" customHeight="1">
      <c r="V830" s="3"/>
    </row>
    <row r="831" ht="14.25" customHeight="1">
      <c r="V831" s="3"/>
    </row>
    <row r="832" ht="14.25" customHeight="1">
      <c r="V832" s="3"/>
    </row>
    <row r="833" ht="14.25" customHeight="1">
      <c r="V833" s="3"/>
    </row>
    <row r="834" ht="14.25" customHeight="1">
      <c r="V834" s="3"/>
    </row>
    <row r="835" ht="14.25" customHeight="1">
      <c r="V835" s="3"/>
    </row>
    <row r="836" ht="14.25" customHeight="1">
      <c r="V836" s="3"/>
    </row>
    <row r="837" ht="14.25" customHeight="1">
      <c r="V837" s="3"/>
    </row>
    <row r="838" ht="14.25" customHeight="1">
      <c r="V838" s="3"/>
    </row>
    <row r="839" ht="14.25" customHeight="1">
      <c r="V839" s="3"/>
    </row>
    <row r="840" ht="14.25" customHeight="1">
      <c r="V840" s="3"/>
    </row>
    <row r="841" ht="14.25" customHeight="1">
      <c r="V841" s="3"/>
    </row>
    <row r="842" ht="14.25" customHeight="1">
      <c r="V842" s="3"/>
    </row>
    <row r="843" ht="14.25" customHeight="1">
      <c r="V843" s="3"/>
    </row>
    <row r="844" ht="14.25" customHeight="1">
      <c r="V844" s="3"/>
    </row>
    <row r="845" ht="14.25" customHeight="1">
      <c r="V845" s="3"/>
    </row>
    <row r="846" ht="14.25" customHeight="1">
      <c r="V846" s="3"/>
    </row>
    <row r="847" ht="14.25" customHeight="1">
      <c r="V847" s="3"/>
    </row>
    <row r="848" ht="14.25" customHeight="1">
      <c r="V848" s="3"/>
    </row>
    <row r="849" ht="14.25" customHeight="1">
      <c r="V849" s="3"/>
    </row>
    <row r="850" ht="14.25" customHeight="1">
      <c r="V850" s="3"/>
    </row>
    <row r="851" ht="14.25" customHeight="1">
      <c r="V851" s="3"/>
    </row>
    <row r="852" ht="14.25" customHeight="1">
      <c r="V852" s="3"/>
    </row>
    <row r="853" ht="14.25" customHeight="1">
      <c r="V853" s="3"/>
    </row>
    <row r="854" ht="14.25" customHeight="1">
      <c r="V854" s="3"/>
    </row>
    <row r="855" ht="14.25" customHeight="1">
      <c r="V855" s="3"/>
    </row>
    <row r="856" ht="14.25" customHeight="1">
      <c r="V856" s="3"/>
    </row>
    <row r="857" ht="14.25" customHeight="1">
      <c r="V857" s="3"/>
    </row>
    <row r="858" ht="14.25" customHeight="1">
      <c r="V858" s="3"/>
    </row>
    <row r="859" ht="14.25" customHeight="1">
      <c r="V859" s="3"/>
    </row>
    <row r="860" ht="14.25" customHeight="1">
      <c r="V860" s="3"/>
    </row>
    <row r="861" ht="14.25" customHeight="1">
      <c r="V861" s="3"/>
    </row>
    <row r="862" ht="14.25" customHeight="1">
      <c r="V862" s="3"/>
    </row>
    <row r="863" ht="14.25" customHeight="1">
      <c r="V863" s="3"/>
    </row>
    <row r="864" ht="14.25" customHeight="1">
      <c r="V864" s="3"/>
    </row>
    <row r="865" ht="14.25" customHeight="1">
      <c r="V865" s="3"/>
    </row>
    <row r="866" ht="14.25" customHeight="1">
      <c r="V866" s="3"/>
    </row>
    <row r="867" ht="14.25" customHeight="1">
      <c r="V867" s="3"/>
    </row>
    <row r="868" ht="14.25" customHeight="1">
      <c r="V868" s="3"/>
    </row>
    <row r="869" ht="14.25" customHeight="1">
      <c r="V869" s="3"/>
    </row>
    <row r="870" ht="14.25" customHeight="1">
      <c r="V870" s="3"/>
    </row>
    <row r="871" ht="14.25" customHeight="1">
      <c r="V871" s="3"/>
    </row>
    <row r="872" ht="14.25" customHeight="1">
      <c r="V872" s="3"/>
    </row>
    <row r="873" ht="14.25" customHeight="1">
      <c r="V873" s="3"/>
    </row>
    <row r="874" ht="14.25" customHeight="1">
      <c r="V874" s="3"/>
    </row>
    <row r="875" ht="14.25" customHeight="1">
      <c r="V875" s="3"/>
    </row>
    <row r="876" ht="14.25" customHeight="1">
      <c r="V876" s="3"/>
    </row>
    <row r="877" ht="14.25" customHeight="1">
      <c r="V877" s="3"/>
    </row>
    <row r="878" ht="14.25" customHeight="1">
      <c r="V878" s="3"/>
    </row>
    <row r="879" ht="14.25" customHeight="1">
      <c r="V879" s="3"/>
    </row>
    <row r="880" ht="14.25" customHeight="1">
      <c r="V880" s="3"/>
    </row>
    <row r="881" ht="14.25" customHeight="1">
      <c r="V881" s="3"/>
    </row>
    <row r="882" ht="14.25" customHeight="1">
      <c r="V882" s="3"/>
    </row>
    <row r="883" ht="14.25" customHeight="1">
      <c r="V883" s="3"/>
    </row>
    <row r="884" ht="14.25" customHeight="1">
      <c r="V884" s="3"/>
    </row>
    <row r="885" ht="14.25" customHeight="1">
      <c r="V885" s="3"/>
    </row>
    <row r="886" ht="14.25" customHeight="1">
      <c r="V886" s="3"/>
    </row>
    <row r="887" ht="14.25" customHeight="1">
      <c r="V887" s="3"/>
    </row>
    <row r="888" ht="14.25" customHeight="1">
      <c r="V888" s="3"/>
    </row>
    <row r="889" ht="14.25" customHeight="1">
      <c r="V889" s="3"/>
    </row>
    <row r="890" ht="14.25" customHeight="1">
      <c r="V890" s="3"/>
    </row>
    <row r="891" ht="14.25" customHeight="1">
      <c r="V891" s="3"/>
    </row>
    <row r="892" ht="14.25" customHeight="1">
      <c r="V892" s="3"/>
    </row>
    <row r="893" ht="14.25" customHeight="1">
      <c r="V893" s="3"/>
    </row>
    <row r="894" ht="14.25" customHeight="1">
      <c r="V894" s="3"/>
    </row>
    <row r="895" ht="14.25" customHeight="1">
      <c r="V895" s="3"/>
    </row>
    <row r="896" ht="14.25" customHeight="1">
      <c r="V896" s="3"/>
    </row>
    <row r="897" ht="14.25" customHeight="1">
      <c r="V897" s="3"/>
    </row>
    <row r="898" ht="14.25" customHeight="1">
      <c r="V898" s="3"/>
    </row>
    <row r="899" ht="14.25" customHeight="1">
      <c r="V899" s="3"/>
    </row>
    <row r="900" ht="14.25" customHeight="1">
      <c r="V900" s="3"/>
    </row>
    <row r="901" ht="14.25" customHeight="1">
      <c r="V901" s="3"/>
    </row>
    <row r="902" ht="14.25" customHeight="1">
      <c r="V902" s="3"/>
    </row>
    <row r="903" ht="14.25" customHeight="1">
      <c r="V903" s="3"/>
    </row>
    <row r="904" ht="14.25" customHeight="1">
      <c r="V904" s="3"/>
    </row>
    <row r="905" ht="14.25" customHeight="1">
      <c r="V905" s="3"/>
    </row>
    <row r="906" ht="14.25" customHeight="1">
      <c r="V906" s="3"/>
    </row>
    <row r="907" ht="14.25" customHeight="1">
      <c r="V907" s="3"/>
    </row>
    <row r="908" ht="14.25" customHeight="1">
      <c r="V908" s="3"/>
    </row>
    <row r="909" ht="14.25" customHeight="1">
      <c r="V909" s="3"/>
    </row>
    <row r="910" ht="14.25" customHeight="1">
      <c r="V910" s="3"/>
    </row>
    <row r="911" ht="14.25" customHeight="1">
      <c r="V911" s="3"/>
    </row>
    <row r="912" ht="14.25" customHeight="1">
      <c r="V912" s="3"/>
    </row>
    <row r="913" ht="14.25" customHeight="1">
      <c r="V913" s="3"/>
    </row>
    <row r="914" ht="14.25" customHeight="1">
      <c r="V914" s="3"/>
    </row>
    <row r="915" ht="14.25" customHeight="1">
      <c r="V915" s="3"/>
    </row>
    <row r="916" ht="14.25" customHeight="1">
      <c r="V916" s="3"/>
    </row>
    <row r="917" ht="14.25" customHeight="1">
      <c r="V917" s="3"/>
    </row>
    <row r="918" ht="14.25" customHeight="1">
      <c r="V918" s="3"/>
    </row>
    <row r="919" ht="14.25" customHeight="1">
      <c r="V919" s="3"/>
    </row>
    <row r="920" ht="14.25" customHeight="1">
      <c r="V920" s="3"/>
    </row>
    <row r="921" ht="14.25" customHeight="1">
      <c r="V921" s="3"/>
    </row>
    <row r="922" ht="14.25" customHeight="1">
      <c r="V922" s="3"/>
    </row>
    <row r="923" ht="14.25" customHeight="1">
      <c r="V923" s="3"/>
    </row>
    <row r="924" ht="14.25" customHeight="1">
      <c r="V924" s="3"/>
    </row>
    <row r="925" ht="14.25" customHeight="1">
      <c r="V925" s="3"/>
    </row>
    <row r="926" ht="14.25" customHeight="1">
      <c r="V926" s="3"/>
    </row>
    <row r="927" ht="14.25" customHeight="1">
      <c r="V927" s="3"/>
    </row>
    <row r="928" ht="14.25" customHeight="1">
      <c r="V928" s="3"/>
    </row>
    <row r="929" ht="14.25" customHeight="1">
      <c r="V929" s="3"/>
    </row>
    <row r="930" ht="14.25" customHeight="1">
      <c r="V930" s="3"/>
    </row>
    <row r="931" ht="14.25" customHeight="1">
      <c r="V931" s="3"/>
    </row>
    <row r="932" ht="14.25" customHeight="1">
      <c r="V932" s="3"/>
    </row>
    <row r="933" ht="14.25" customHeight="1">
      <c r="V933" s="3"/>
    </row>
    <row r="934" ht="14.25" customHeight="1">
      <c r="V934" s="3"/>
    </row>
    <row r="935" ht="14.25" customHeight="1">
      <c r="V935" s="3"/>
    </row>
    <row r="936" ht="14.25" customHeight="1">
      <c r="V936" s="3"/>
    </row>
    <row r="937" ht="14.25" customHeight="1">
      <c r="V937" s="3"/>
    </row>
    <row r="938" ht="14.25" customHeight="1">
      <c r="V938" s="3"/>
    </row>
    <row r="939" ht="14.25" customHeight="1">
      <c r="V939" s="3"/>
    </row>
    <row r="940" ht="14.25" customHeight="1">
      <c r="V940" s="3"/>
    </row>
    <row r="941" ht="14.25" customHeight="1">
      <c r="V941" s="3"/>
    </row>
    <row r="942" ht="14.25" customHeight="1">
      <c r="V942" s="3"/>
    </row>
    <row r="943" ht="14.25" customHeight="1">
      <c r="V943" s="3"/>
    </row>
    <row r="944" ht="14.25" customHeight="1">
      <c r="V944" s="3"/>
    </row>
    <row r="945" ht="14.25" customHeight="1">
      <c r="V945" s="3"/>
    </row>
    <row r="946" ht="14.25" customHeight="1">
      <c r="V946" s="3"/>
    </row>
    <row r="947" ht="14.25" customHeight="1">
      <c r="V947" s="3"/>
    </row>
    <row r="948" ht="14.25" customHeight="1">
      <c r="V948" s="3"/>
    </row>
    <row r="949" ht="14.25" customHeight="1">
      <c r="V949" s="3"/>
    </row>
    <row r="950" ht="14.25" customHeight="1">
      <c r="V950" s="3"/>
    </row>
    <row r="951" ht="14.25" customHeight="1">
      <c r="V951" s="3"/>
    </row>
    <row r="952" ht="14.25" customHeight="1">
      <c r="V952" s="3"/>
    </row>
    <row r="953" ht="14.25" customHeight="1">
      <c r="V953" s="3"/>
    </row>
    <row r="954" ht="14.25" customHeight="1">
      <c r="V954" s="3"/>
    </row>
    <row r="955" ht="14.25" customHeight="1">
      <c r="V955" s="3"/>
    </row>
    <row r="956">
      <c r="V956" s="3"/>
    </row>
    <row r="957">
      <c r="V957" s="3"/>
    </row>
    <row r="958">
      <c r="V958" s="3"/>
    </row>
    <row r="959">
      <c r="V959" s="3"/>
    </row>
    <row r="960">
      <c r="V960" s="3"/>
    </row>
    <row r="961">
      <c r="V961" s="3"/>
    </row>
    <row r="962">
      <c r="V962" s="3"/>
    </row>
    <row r="963">
      <c r="V963" s="3"/>
    </row>
    <row r="964">
      <c r="V964" s="3"/>
    </row>
    <row r="965">
      <c r="V965" s="3"/>
    </row>
    <row r="966">
      <c r="V966" s="3"/>
    </row>
    <row r="967">
      <c r="V967" s="3"/>
    </row>
    <row r="968">
      <c r="V968" s="3"/>
    </row>
    <row r="969">
      <c r="V969" s="3"/>
    </row>
    <row r="970">
      <c r="V970" s="3"/>
    </row>
    <row r="971">
      <c r="V971" s="3"/>
    </row>
    <row r="972">
      <c r="V972" s="3"/>
    </row>
    <row r="973">
      <c r="V973" s="3"/>
    </row>
    <row r="974">
      <c r="V974" s="3"/>
    </row>
    <row r="975">
      <c r="V975" s="3"/>
    </row>
    <row r="976">
      <c r="V976" s="3"/>
    </row>
    <row r="977">
      <c r="V977" s="3"/>
    </row>
    <row r="978">
      <c r="V978" s="3"/>
    </row>
    <row r="979">
      <c r="V979" s="3"/>
    </row>
    <row r="980">
      <c r="V980" s="3"/>
    </row>
    <row r="981">
      <c r="V981" s="3"/>
    </row>
    <row r="982">
      <c r="V982" s="3"/>
    </row>
    <row r="983">
      <c r="V983" s="3"/>
    </row>
    <row r="984">
      <c r="V984" s="3"/>
    </row>
    <row r="985">
      <c r="V985" s="3"/>
    </row>
    <row r="986">
      <c r="V986" s="3"/>
    </row>
    <row r="987">
      <c r="V987" s="3"/>
    </row>
    <row r="988">
      <c r="V988" s="3"/>
    </row>
    <row r="989">
      <c r="V989" s="3"/>
    </row>
    <row r="990">
      <c r="V990" s="3"/>
    </row>
    <row r="991">
      <c r="V991" s="3"/>
    </row>
    <row r="992">
      <c r="V992" s="3"/>
    </row>
    <row r="993">
      <c r="V993" s="3"/>
    </row>
    <row r="994">
      <c r="V994" s="3"/>
    </row>
    <row r="995">
      <c r="V995" s="3"/>
    </row>
    <row r="996">
      <c r="V996" s="3"/>
    </row>
    <row r="997">
      <c r="V997" s="3"/>
    </row>
    <row r="998">
      <c r="V998" s="3"/>
    </row>
    <row r="999">
      <c r="V999" s="3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86"/>
    <col customWidth="1" min="4" max="18" width="8.71"/>
    <col customWidth="1" min="19" max="19" width="9.0"/>
    <col customWidth="1" min="20" max="21" width="8.71"/>
    <col customWidth="1" min="22" max="22" width="8.86"/>
    <col customWidth="1" min="23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20</v>
      </c>
      <c r="V1" s="1"/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ht="14.25" customHeight="1">
      <c r="A2" s="3" t="s">
        <v>166</v>
      </c>
      <c r="B2" s="3" t="s">
        <v>167</v>
      </c>
      <c r="C2" s="3" t="s">
        <v>128</v>
      </c>
      <c r="D2" s="3" t="s">
        <v>29</v>
      </c>
      <c r="E2" s="3">
        <v>3.0</v>
      </c>
      <c r="F2" s="3" t="s">
        <v>27</v>
      </c>
      <c r="G2" s="3">
        <v>8.85</v>
      </c>
      <c r="I2" s="3">
        <v>9.05</v>
      </c>
      <c r="K2" s="3">
        <v>0.0</v>
      </c>
      <c r="L2" s="3">
        <v>0.0</v>
      </c>
      <c r="M2" s="3" t="s">
        <v>30</v>
      </c>
      <c r="N2" s="3">
        <v>0.9992</v>
      </c>
      <c r="O2" s="3">
        <v>0.0</v>
      </c>
      <c r="P2" s="3">
        <v>0.0221</v>
      </c>
      <c r="Q2" s="3">
        <v>0.0</v>
      </c>
      <c r="R2" s="3">
        <v>0.4006</v>
      </c>
      <c r="S2" s="3">
        <v>12.03</v>
      </c>
      <c r="T2" s="3">
        <v>75.0</v>
      </c>
      <c r="U2" s="3">
        <f t="shared" ref="U2:U76" si="2">(I2+G2)*0.5</f>
        <v>8.95</v>
      </c>
      <c r="V2" s="3"/>
      <c r="W2" s="3">
        <f t="shared" ref="W2:W76" si="3">( S2*Z2 ) - ( E2 * EXP(-0.0007*T2/$AC$2) * AA2)</f>
        <v>9.030624935</v>
      </c>
      <c r="X2" s="3">
        <f t="shared" ref="X2:X76" si="4">((LN(S2/E2) + (0.0007 + (R2^2)/2) * T2/$AC$2)) / (R2 * SQRT(T2/$AC$2))</f>
        <v>6.464934806</v>
      </c>
      <c r="Y2" s="3">
        <f t="shared" ref="Y2:Y76" si="5">X2-(R2*SQRT(T2/$AC$2))</f>
        <v>6.246389589</v>
      </c>
      <c r="Z2" s="3">
        <f t="shared" ref="Z2:AA2" si="1">_xlfn.NORM.S.DIST(X2)</f>
        <v>0.9999999999</v>
      </c>
      <c r="AA2" s="3">
        <f t="shared" si="1"/>
        <v>0.9999999998</v>
      </c>
      <c r="AC2" s="6">
        <v>252.0</v>
      </c>
    </row>
    <row r="3" ht="14.25" customHeight="1">
      <c r="A3" s="3" t="s">
        <v>166</v>
      </c>
      <c r="B3" s="3" t="s">
        <v>167</v>
      </c>
      <c r="C3" s="3" t="s">
        <v>128</v>
      </c>
      <c r="D3" s="3" t="s">
        <v>29</v>
      </c>
      <c r="E3" s="3">
        <v>3.0</v>
      </c>
      <c r="F3" s="3" t="s">
        <v>27</v>
      </c>
      <c r="G3" s="3">
        <v>8.9</v>
      </c>
      <c r="I3" s="3">
        <v>9.05</v>
      </c>
      <c r="K3" s="3">
        <v>0.0</v>
      </c>
      <c r="L3" s="3">
        <v>0.0</v>
      </c>
      <c r="M3" s="3" t="s">
        <v>31</v>
      </c>
      <c r="N3" s="3">
        <v>0.9992</v>
      </c>
      <c r="O3" s="3">
        <v>0.0</v>
      </c>
      <c r="P3" s="3">
        <v>0.0252</v>
      </c>
      <c r="Q3" s="3">
        <v>0.0</v>
      </c>
      <c r="R3" s="3">
        <v>0.4804</v>
      </c>
      <c r="S3" s="3">
        <v>11.96</v>
      </c>
      <c r="T3" s="3">
        <v>74.0</v>
      </c>
      <c r="U3" s="3">
        <f t="shared" si="2"/>
        <v>8.975</v>
      </c>
      <c r="V3" s="3"/>
      <c r="W3" s="3">
        <f t="shared" si="3"/>
        <v>8.960616618</v>
      </c>
      <c r="X3" s="3">
        <f t="shared" si="4"/>
        <v>5.443338693</v>
      </c>
      <c r="Y3" s="3">
        <f t="shared" si="5"/>
        <v>5.183012068</v>
      </c>
      <c r="Z3" s="3">
        <f t="shared" ref="Z3:AA3" si="6">_xlfn.NORM.S.DIST(X3)</f>
        <v>0.9999999739</v>
      </c>
      <c r="AA3" s="3">
        <f t="shared" si="6"/>
        <v>0.9999998908</v>
      </c>
    </row>
    <row r="4" ht="14.25" customHeight="1">
      <c r="A4" s="3" t="s">
        <v>166</v>
      </c>
      <c r="B4" s="3" t="s">
        <v>167</v>
      </c>
      <c r="C4" s="3" t="s">
        <v>128</v>
      </c>
      <c r="D4" s="3" t="s">
        <v>29</v>
      </c>
      <c r="E4" s="3">
        <v>3.0</v>
      </c>
      <c r="F4" s="3" t="s">
        <v>27</v>
      </c>
      <c r="G4" s="3">
        <v>8.75</v>
      </c>
      <c r="I4" s="3">
        <v>9.45</v>
      </c>
      <c r="K4" s="3">
        <v>0.0</v>
      </c>
      <c r="L4" s="3">
        <v>0.0</v>
      </c>
      <c r="M4" s="3" t="s">
        <v>32</v>
      </c>
      <c r="N4" s="3">
        <v>0.9996</v>
      </c>
      <c r="O4" s="3">
        <v>0.0</v>
      </c>
      <c r="P4" s="3">
        <v>0.0083</v>
      </c>
      <c r="Q4" s="3">
        <v>0.0</v>
      </c>
      <c r="R4" s="3">
        <v>0.5044</v>
      </c>
      <c r="S4" s="3">
        <v>12.11</v>
      </c>
      <c r="T4" s="3">
        <v>73.0</v>
      </c>
      <c r="U4" s="3">
        <f t="shared" si="2"/>
        <v>9.1</v>
      </c>
      <c r="V4" s="3"/>
      <c r="W4" s="3">
        <f t="shared" si="3"/>
        <v>9.110608312</v>
      </c>
      <c r="X4" s="3">
        <f t="shared" si="4"/>
        <v>5.276549864</v>
      </c>
      <c r="Y4" s="3">
        <f t="shared" si="5"/>
        <v>5.005070866</v>
      </c>
      <c r="Z4" s="3">
        <f t="shared" ref="Z4:AA4" si="7">_xlfn.NORM.S.DIST(X4)</f>
        <v>0.9999999342</v>
      </c>
      <c r="AA4" s="3">
        <f t="shared" si="7"/>
        <v>0.9999997208</v>
      </c>
    </row>
    <row r="5" ht="14.25" customHeight="1">
      <c r="A5" s="3" t="s">
        <v>166</v>
      </c>
      <c r="B5" s="3" t="s">
        <v>167</v>
      </c>
      <c r="C5" s="3" t="s">
        <v>128</v>
      </c>
      <c r="D5" s="3" t="s">
        <v>29</v>
      </c>
      <c r="E5" s="3">
        <v>3.0</v>
      </c>
      <c r="F5" s="3" t="s">
        <v>27</v>
      </c>
      <c r="G5" s="3">
        <v>9.0</v>
      </c>
      <c r="I5" s="3">
        <v>9.15</v>
      </c>
      <c r="K5" s="3">
        <v>0.0</v>
      </c>
      <c r="L5" s="3">
        <v>0.0</v>
      </c>
      <c r="M5" s="3" t="s">
        <v>33</v>
      </c>
      <c r="N5" s="3">
        <v>0.9996</v>
      </c>
      <c r="O5" s="3">
        <v>0.0</v>
      </c>
      <c r="P5" s="3">
        <v>0.0082</v>
      </c>
      <c r="Q5" s="3">
        <v>0.0</v>
      </c>
      <c r="R5" s="3">
        <v>0.4184</v>
      </c>
      <c r="S5" s="3">
        <v>12.09</v>
      </c>
      <c r="T5" s="3">
        <v>72.0</v>
      </c>
      <c r="U5" s="3">
        <f t="shared" si="2"/>
        <v>9.075</v>
      </c>
      <c r="V5" s="3"/>
      <c r="W5" s="3">
        <f t="shared" si="3"/>
        <v>9.09059994</v>
      </c>
      <c r="X5" s="3">
        <f t="shared" si="4"/>
        <v>6.344786477</v>
      </c>
      <c r="Y5" s="3">
        <f t="shared" si="5"/>
        <v>6.12114227</v>
      </c>
      <c r="Z5" s="3">
        <f t="shared" ref="Z5:AA5" si="8">_xlfn.NORM.S.DIST(X5)</f>
        <v>0.9999999999</v>
      </c>
      <c r="AA5" s="3">
        <f t="shared" si="8"/>
        <v>0.9999999995</v>
      </c>
    </row>
    <row r="6" ht="14.25" customHeight="1">
      <c r="A6" s="3" t="s">
        <v>166</v>
      </c>
      <c r="B6" s="3" t="s">
        <v>167</v>
      </c>
      <c r="C6" s="3" t="s">
        <v>128</v>
      </c>
      <c r="D6" s="3" t="s">
        <v>29</v>
      </c>
      <c r="E6" s="3">
        <v>3.0</v>
      </c>
      <c r="F6" s="3" t="s">
        <v>27</v>
      </c>
      <c r="G6" s="3">
        <v>7.6</v>
      </c>
      <c r="I6" s="3">
        <v>10.3</v>
      </c>
      <c r="K6" s="3">
        <v>0.0</v>
      </c>
      <c r="L6" s="3">
        <v>0.0</v>
      </c>
      <c r="M6" s="3" t="s">
        <v>34</v>
      </c>
      <c r="N6" s="3">
        <v>0.9992</v>
      </c>
      <c r="O6" s="3">
        <v>0.0</v>
      </c>
      <c r="P6" s="3">
        <v>0.0252</v>
      </c>
      <c r="Q6" s="3">
        <v>0.0</v>
      </c>
      <c r="R6" s="3">
        <v>0.5824</v>
      </c>
      <c r="S6" s="3">
        <v>11.98</v>
      </c>
      <c r="T6" s="3">
        <v>71.0</v>
      </c>
      <c r="U6" s="3">
        <f t="shared" si="2"/>
        <v>8.95</v>
      </c>
      <c r="V6" s="3"/>
      <c r="W6" s="3">
        <f t="shared" si="3"/>
        <v>8.980593014</v>
      </c>
      <c r="X6" s="3">
        <f t="shared" si="4"/>
        <v>4.634219063</v>
      </c>
      <c r="Y6" s="3">
        <f t="shared" si="5"/>
        <v>4.325082573</v>
      </c>
      <c r="Z6" s="3">
        <f t="shared" ref="Z6:AA6" si="9">_xlfn.NORM.S.DIST(X6)</f>
        <v>0.9999982086</v>
      </c>
      <c r="AA6" s="3">
        <f t="shared" si="9"/>
        <v>0.9999923763</v>
      </c>
    </row>
    <row r="7" ht="14.25" customHeight="1">
      <c r="A7" s="3" t="s">
        <v>166</v>
      </c>
      <c r="B7" s="3" t="s">
        <v>167</v>
      </c>
      <c r="C7" s="3" t="s">
        <v>128</v>
      </c>
      <c r="D7" s="3" t="s">
        <v>29</v>
      </c>
      <c r="E7" s="3">
        <v>3.0</v>
      </c>
      <c r="F7" s="3" t="s">
        <v>27</v>
      </c>
      <c r="G7" s="3">
        <v>8.0</v>
      </c>
      <c r="I7" s="3">
        <v>8.8</v>
      </c>
      <c r="K7" s="3">
        <v>0.0</v>
      </c>
      <c r="L7" s="3">
        <v>0.0</v>
      </c>
      <c r="M7" s="3" t="s">
        <v>35</v>
      </c>
      <c r="N7" s="3">
        <v>0.9996</v>
      </c>
      <c r="O7" s="3">
        <v>0.0</v>
      </c>
      <c r="P7" s="3">
        <v>0.0074</v>
      </c>
      <c r="Q7" s="3">
        <v>0.0</v>
      </c>
      <c r="R7" s="3">
        <v>0.4046</v>
      </c>
      <c r="S7" s="3">
        <v>11.43</v>
      </c>
      <c r="T7" s="3">
        <v>70.0</v>
      </c>
      <c r="U7" s="3">
        <f t="shared" si="2"/>
        <v>8.4</v>
      </c>
      <c r="V7" s="3"/>
      <c r="W7" s="3">
        <f t="shared" si="3"/>
        <v>8.430583277</v>
      </c>
      <c r="X7" s="3">
        <f t="shared" si="4"/>
        <v>6.380328515</v>
      </c>
      <c r="Y7" s="3">
        <f t="shared" si="5"/>
        <v>6.167085592</v>
      </c>
      <c r="Z7" s="3">
        <f t="shared" ref="Z7:AA7" si="10">_xlfn.NORM.S.DIST(X7)</f>
        <v>0.9999999999</v>
      </c>
      <c r="AA7" s="3">
        <f t="shared" si="10"/>
        <v>0.9999999997</v>
      </c>
    </row>
    <row r="8" ht="14.25" customHeight="1">
      <c r="A8" s="3" t="s">
        <v>166</v>
      </c>
      <c r="B8" s="3" t="s">
        <v>167</v>
      </c>
      <c r="C8" s="3" t="s">
        <v>128</v>
      </c>
      <c r="D8" s="3" t="s">
        <v>29</v>
      </c>
      <c r="E8" s="3">
        <v>3.0</v>
      </c>
      <c r="F8" s="3" t="s">
        <v>27</v>
      </c>
      <c r="G8" s="3">
        <v>8.7</v>
      </c>
      <c r="I8" s="3">
        <v>8.85</v>
      </c>
      <c r="K8" s="3">
        <v>0.0</v>
      </c>
      <c r="L8" s="3">
        <v>0.0</v>
      </c>
      <c r="M8" s="3" t="s">
        <v>36</v>
      </c>
      <c r="N8" s="3">
        <v>0.9996</v>
      </c>
      <c r="O8" s="3">
        <v>0.0</v>
      </c>
      <c r="P8" s="3">
        <v>0.0079</v>
      </c>
      <c r="Q8" s="3">
        <v>0.0</v>
      </c>
      <c r="R8" s="3">
        <v>0.4766</v>
      </c>
      <c r="S8" s="3">
        <v>11.78</v>
      </c>
      <c r="T8" s="3">
        <v>69.0</v>
      </c>
      <c r="U8" s="3">
        <f t="shared" si="2"/>
        <v>8.775</v>
      </c>
      <c r="V8" s="3"/>
      <c r="W8" s="3">
        <f t="shared" si="3"/>
        <v>8.78057495</v>
      </c>
      <c r="X8" s="3">
        <f t="shared" si="4"/>
        <v>5.610018307</v>
      </c>
      <c r="Y8" s="3">
        <f t="shared" si="5"/>
        <v>5.360628721</v>
      </c>
      <c r="Z8" s="3">
        <f t="shared" ref="Z8:AA8" si="11">_xlfn.NORM.S.DIST(X8)</f>
        <v>0.9999999899</v>
      </c>
      <c r="AA8" s="3">
        <f t="shared" si="11"/>
        <v>0.9999999585</v>
      </c>
    </row>
    <row r="9" ht="14.25" customHeight="1">
      <c r="A9" s="3" t="s">
        <v>166</v>
      </c>
      <c r="B9" s="3" t="s">
        <v>167</v>
      </c>
      <c r="C9" s="3" t="s">
        <v>128</v>
      </c>
      <c r="D9" s="3" t="s">
        <v>29</v>
      </c>
      <c r="E9" s="3">
        <v>3.0</v>
      </c>
      <c r="F9" s="3" t="s">
        <v>27</v>
      </c>
      <c r="G9" s="3">
        <v>8.55</v>
      </c>
      <c r="I9" s="3">
        <v>8.7</v>
      </c>
      <c r="K9" s="3">
        <v>0.0</v>
      </c>
      <c r="L9" s="3">
        <v>0.0</v>
      </c>
      <c r="M9" s="3" t="s">
        <v>37</v>
      </c>
      <c r="N9" s="3">
        <v>1.0</v>
      </c>
      <c r="O9" s="3">
        <v>0.0</v>
      </c>
      <c r="P9" s="3">
        <v>-0.0091</v>
      </c>
      <c r="Q9" s="3">
        <v>0.0</v>
      </c>
      <c r="R9" s="3">
        <v>0.4125</v>
      </c>
      <c r="S9" s="3">
        <v>11.63</v>
      </c>
      <c r="T9" s="3">
        <v>68.0</v>
      </c>
      <c r="U9" s="3">
        <f t="shared" si="2"/>
        <v>8.625</v>
      </c>
      <c r="V9" s="3"/>
      <c r="W9" s="3">
        <f t="shared" si="3"/>
        <v>8.630566613</v>
      </c>
      <c r="X9" s="3">
        <f t="shared" si="4"/>
        <v>6.431460047</v>
      </c>
      <c r="Y9" s="3">
        <f t="shared" si="5"/>
        <v>6.217181773</v>
      </c>
      <c r="Z9" s="3">
        <f t="shared" ref="Z9:AA9" si="12">_xlfn.NORM.S.DIST(X9)</f>
        <v>0.9999999999</v>
      </c>
      <c r="AA9" s="3">
        <f t="shared" si="12"/>
        <v>0.9999999997</v>
      </c>
    </row>
    <row r="10" ht="14.25" customHeight="1">
      <c r="A10" s="3" t="s">
        <v>166</v>
      </c>
      <c r="B10" s="3" t="s">
        <v>167</v>
      </c>
      <c r="C10" s="3" t="s">
        <v>128</v>
      </c>
      <c r="D10" s="3" t="s">
        <v>29</v>
      </c>
      <c r="E10" s="3">
        <v>3.0</v>
      </c>
      <c r="F10" s="3" t="s">
        <v>27</v>
      </c>
      <c r="G10" s="3">
        <v>8.45</v>
      </c>
      <c r="I10" s="3">
        <v>8.55</v>
      </c>
      <c r="K10" s="3">
        <v>0.0</v>
      </c>
      <c r="L10" s="3">
        <v>0.0</v>
      </c>
      <c r="M10" s="3" t="s">
        <v>38</v>
      </c>
      <c r="N10" s="3">
        <v>1.0</v>
      </c>
      <c r="O10" s="3">
        <v>0.0</v>
      </c>
      <c r="P10" s="3">
        <v>-0.0091</v>
      </c>
      <c r="Q10" s="3">
        <v>0.0</v>
      </c>
      <c r="R10" s="3">
        <v>0.4326</v>
      </c>
      <c r="S10" s="3">
        <v>11.47</v>
      </c>
      <c r="T10" s="3">
        <v>67.0</v>
      </c>
      <c r="U10" s="3">
        <f t="shared" si="2"/>
        <v>8.5</v>
      </c>
      <c r="V10" s="3"/>
      <c r="W10" s="3">
        <f t="shared" si="3"/>
        <v>8.470558282</v>
      </c>
      <c r="X10" s="3">
        <f t="shared" si="4"/>
        <v>6.124723079</v>
      </c>
      <c r="Y10" s="3">
        <f t="shared" si="5"/>
        <v>5.901662079</v>
      </c>
      <c r="Z10" s="3">
        <f t="shared" ref="Z10:AA10" si="13">_xlfn.NORM.S.DIST(X10)</f>
        <v>0.9999999995</v>
      </c>
      <c r="AA10" s="3">
        <f t="shared" si="13"/>
        <v>0.9999999982</v>
      </c>
    </row>
    <row r="11" ht="14.25" customHeight="1">
      <c r="A11" s="3" t="s">
        <v>166</v>
      </c>
      <c r="B11" s="3" t="s">
        <v>167</v>
      </c>
      <c r="C11" s="3" t="s">
        <v>128</v>
      </c>
      <c r="D11" s="3" t="s">
        <v>29</v>
      </c>
      <c r="E11" s="3">
        <v>3.0</v>
      </c>
      <c r="F11" s="3" t="s">
        <v>27</v>
      </c>
      <c r="G11" s="3">
        <v>8.5</v>
      </c>
      <c r="I11" s="3">
        <v>8.6</v>
      </c>
      <c r="K11" s="3">
        <v>0.0</v>
      </c>
      <c r="L11" s="3">
        <v>0.0</v>
      </c>
      <c r="M11" s="3" t="s">
        <v>39</v>
      </c>
      <c r="N11" s="3">
        <v>1.0</v>
      </c>
      <c r="O11" s="3">
        <v>0.0</v>
      </c>
      <c r="P11" s="3">
        <v>-0.0091</v>
      </c>
      <c r="Q11" s="3">
        <v>0.0</v>
      </c>
      <c r="R11" s="3">
        <v>0.3883</v>
      </c>
      <c r="S11" s="3">
        <v>11.55</v>
      </c>
      <c r="T11" s="3">
        <v>66.0</v>
      </c>
      <c r="U11" s="3">
        <f t="shared" si="2"/>
        <v>8.55</v>
      </c>
      <c r="V11" s="3"/>
      <c r="W11" s="3">
        <f t="shared" si="3"/>
        <v>8.55054995</v>
      </c>
      <c r="X11" s="3">
        <f t="shared" si="4"/>
        <v>6.884102856</v>
      </c>
      <c r="Y11" s="3">
        <f t="shared" si="5"/>
        <v>6.685383996</v>
      </c>
      <c r="Z11" s="3">
        <f t="shared" ref="Z11:AA11" si="14">_xlfn.NORM.S.DIST(X11)</f>
        <v>1</v>
      </c>
      <c r="AA11" s="3">
        <f t="shared" si="14"/>
        <v>1</v>
      </c>
    </row>
    <row r="12" ht="14.25" customHeight="1">
      <c r="A12" s="3" t="s">
        <v>166</v>
      </c>
      <c r="B12" s="3" t="s">
        <v>167</v>
      </c>
      <c r="C12" s="3" t="s">
        <v>128</v>
      </c>
      <c r="D12" s="3" t="s">
        <v>29</v>
      </c>
      <c r="E12" s="3">
        <v>3.0</v>
      </c>
      <c r="F12" s="3" t="s">
        <v>27</v>
      </c>
      <c r="G12" s="3">
        <v>7.25</v>
      </c>
      <c r="I12" s="3">
        <v>10.3</v>
      </c>
      <c r="K12" s="3">
        <v>0.0</v>
      </c>
      <c r="L12" s="3">
        <v>0.0</v>
      </c>
      <c r="M12" s="3" t="s">
        <v>40</v>
      </c>
      <c r="N12" s="3">
        <v>1.0</v>
      </c>
      <c r="O12" s="3">
        <v>0.0</v>
      </c>
      <c r="P12" s="3">
        <v>-0.0091</v>
      </c>
      <c r="Q12" s="3">
        <v>0.0</v>
      </c>
      <c r="R12" s="3">
        <v>0.4355</v>
      </c>
      <c r="S12" s="3">
        <v>11.78</v>
      </c>
      <c r="T12" s="3">
        <v>65.0</v>
      </c>
      <c r="U12" s="3">
        <f t="shared" si="2"/>
        <v>8.775</v>
      </c>
      <c r="V12" s="3"/>
      <c r="W12" s="3">
        <f t="shared" si="3"/>
        <v>8.780541618</v>
      </c>
      <c r="X12" s="3">
        <f t="shared" si="4"/>
        <v>6.295486577</v>
      </c>
      <c r="Y12" s="3">
        <f t="shared" si="5"/>
        <v>6.074307232</v>
      </c>
      <c r="Z12" s="3">
        <f t="shared" ref="Z12:AA12" si="15">_xlfn.NORM.S.DIST(X12)</f>
        <v>0.9999999998</v>
      </c>
      <c r="AA12" s="3">
        <f t="shared" si="15"/>
        <v>0.9999999994</v>
      </c>
    </row>
    <row r="13" ht="14.25" customHeight="1">
      <c r="A13" s="3" t="s">
        <v>166</v>
      </c>
      <c r="B13" s="3" t="s">
        <v>167</v>
      </c>
      <c r="C13" s="3" t="s">
        <v>128</v>
      </c>
      <c r="D13" s="3" t="s">
        <v>29</v>
      </c>
      <c r="E13" s="3">
        <v>3.0</v>
      </c>
      <c r="F13" s="3" t="s">
        <v>27</v>
      </c>
      <c r="G13" s="3">
        <v>6.75</v>
      </c>
      <c r="I13" s="3">
        <v>9.6</v>
      </c>
      <c r="K13" s="3">
        <v>0.0</v>
      </c>
      <c r="L13" s="3">
        <v>0.0</v>
      </c>
      <c r="M13" s="3" t="s">
        <v>41</v>
      </c>
      <c r="N13" s="3">
        <v>1.0</v>
      </c>
      <c r="O13" s="3">
        <v>0.0</v>
      </c>
      <c r="P13" s="3">
        <v>-0.0091</v>
      </c>
      <c r="Q13" s="3">
        <v>0.0</v>
      </c>
      <c r="R13" s="3">
        <v>0.5312</v>
      </c>
      <c r="S13" s="3">
        <v>11.28</v>
      </c>
      <c r="T13" s="3">
        <v>64.0</v>
      </c>
      <c r="U13" s="3">
        <f t="shared" si="2"/>
        <v>8.175</v>
      </c>
      <c r="V13" s="3"/>
      <c r="W13" s="3">
        <f t="shared" si="3"/>
        <v>8.280533395</v>
      </c>
      <c r="X13" s="3">
        <f t="shared" si="4"/>
        <v>5.081920529</v>
      </c>
      <c r="Y13" s="3">
        <f t="shared" si="5"/>
        <v>4.814220892</v>
      </c>
      <c r="Z13" s="3">
        <f t="shared" ref="Z13:AA13" si="16">_xlfn.NORM.S.DIST(X13)</f>
        <v>0.9999998132</v>
      </c>
      <c r="AA13" s="3">
        <f t="shared" si="16"/>
        <v>0.9999992611</v>
      </c>
    </row>
    <row r="14" ht="14.25" customHeight="1">
      <c r="A14" s="3" t="s">
        <v>166</v>
      </c>
      <c r="B14" s="3" t="s">
        <v>167</v>
      </c>
      <c r="C14" s="3" t="s">
        <v>128</v>
      </c>
      <c r="D14" s="3" t="s">
        <v>29</v>
      </c>
      <c r="E14" s="3">
        <v>3.0</v>
      </c>
      <c r="F14" s="3" t="s">
        <v>27</v>
      </c>
      <c r="G14" s="3">
        <v>8.05</v>
      </c>
      <c r="I14" s="3">
        <v>8.2</v>
      </c>
      <c r="K14" s="3">
        <v>0.0</v>
      </c>
      <c r="L14" s="3">
        <v>0.0</v>
      </c>
      <c r="M14" s="3" t="s">
        <v>42</v>
      </c>
      <c r="N14" s="3">
        <v>1.0</v>
      </c>
      <c r="O14" s="3">
        <v>0.0</v>
      </c>
      <c r="P14" s="3">
        <v>-0.0091</v>
      </c>
      <c r="Q14" s="3">
        <v>0.0</v>
      </c>
      <c r="R14" s="3">
        <v>0.3553</v>
      </c>
      <c r="S14" s="3">
        <v>11.14</v>
      </c>
      <c r="T14" s="3">
        <v>63.0</v>
      </c>
      <c r="U14" s="3">
        <f t="shared" si="2"/>
        <v>8.125</v>
      </c>
      <c r="V14" s="3"/>
      <c r="W14" s="3">
        <f t="shared" si="3"/>
        <v>8.140524954</v>
      </c>
      <c r="X14" s="3">
        <f t="shared" si="4"/>
        <v>7.474723935</v>
      </c>
      <c r="Y14" s="3">
        <f t="shared" si="5"/>
        <v>7.297073935</v>
      </c>
      <c r="Z14" s="3">
        <f t="shared" ref="Z14:AA14" si="17">_xlfn.NORM.S.DIST(X14)</f>
        <v>1</v>
      </c>
      <c r="AA14" s="3">
        <f t="shared" si="17"/>
        <v>1</v>
      </c>
    </row>
    <row r="15" ht="14.25" customHeight="1">
      <c r="A15" s="3" t="s">
        <v>166</v>
      </c>
      <c r="B15" s="3" t="s">
        <v>167</v>
      </c>
      <c r="C15" s="3" t="s">
        <v>128</v>
      </c>
      <c r="D15" s="3" t="s">
        <v>29</v>
      </c>
      <c r="E15" s="3">
        <v>3.0</v>
      </c>
      <c r="F15" s="3" t="s">
        <v>27</v>
      </c>
      <c r="G15" s="3">
        <v>7.05</v>
      </c>
      <c r="I15" s="3">
        <v>9.65</v>
      </c>
      <c r="K15" s="3">
        <v>0.0</v>
      </c>
      <c r="L15" s="3">
        <v>0.0</v>
      </c>
      <c r="M15" s="3" t="s">
        <v>43</v>
      </c>
      <c r="N15" s="3">
        <v>0.9996</v>
      </c>
      <c r="O15" s="3">
        <v>0.0</v>
      </c>
      <c r="P15" s="3">
        <v>0.0088</v>
      </c>
      <c r="Q15" s="3">
        <v>1.0E-4</v>
      </c>
      <c r="R15" s="3">
        <v>0.6213</v>
      </c>
      <c r="S15" s="3">
        <v>11.35</v>
      </c>
      <c r="T15" s="3">
        <v>62.0</v>
      </c>
      <c r="U15" s="3">
        <f t="shared" si="2"/>
        <v>8.35</v>
      </c>
      <c r="V15" s="3"/>
      <c r="W15" s="3">
        <f t="shared" si="3"/>
        <v>8.350519582</v>
      </c>
      <c r="X15" s="3">
        <f t="shared" si="4"/>
        <v>4.472345263</v>
      </c>
      <c r="Y15" s="3">
        <f t="shared" si="5"/>
        <v>4.164170601</v>
      </c>
      <c r="Z15" s="3">
        <f t="shared" ref="Z15:AA15" si="18">_xlfn.NORM.S.DIST(X15)</f>
        <v>0.9999961317</v>
      </c>
      <c r="AA15" s="3">
        <f t="shared" si="18"/>
        <v>0.9999843757</v>
      </c>
    </row>
    <row r="16" ht="14.25" customHeight="1">
      <c r="A16" s="3" t="s">
        <v>166</v>
      </c>
      <c r="B16" s="3" t="s">
        <v>167</v>
      </c>
      <c r="C16" s="3" t="s">
        <v>128</v>
      </c>
      <c r="D16" s="3" t="s">
        <v>29</v>
      </c>
      <c r="E16" s="3">
        <v>3.0</v>
      </c>
      <c r="F16" s="3" t="s">
        <v>27</v>
      </c>
      <c r="G16" s="3">
        <v>7.1</v>
      </c>
      <c r="I16" s="3">
        <v>9.7</v>
      </c>
      <c r="K16" s="3">
        <v>0.0</v>
      </c>
      <c r="L16" s="3">
        <v>0.0</v>
      </c>
      <c r="M16" s="3" t="s">
        <v>44</v>
      </c>
      <c r="N16" s="3">
        <v>0.9993</v>
      </c>
      <c r="O16" s="3">
        <v>0.0</v>
      </c>
      <c r="P16" s="3">
        <v>0.0271</v>
      </c>
      <c r="Q16" s="3">
        <v>0.0</v>
      </c>
      <c r="R16" s="3">
        <v>0.3728</v>
      </c>
      <c r="S16" s="3">
        <v>11.42</v>
      </c>
      <c r="T16" s="3">
        <v>61.0</v>
      </c>
      <c r="U16" s="3">
        <f t="shared" si="2"/>
        <v>8.4</v>
      </c>
      <c r="V16" s="3"/>
      <c r="W16" s="3">
        <f t="shared" si="3"/>
        <v>8.42050829</v>
      </c>
      <c r="X16" s="3">
        <f t="shared" si="4"/>
        <v>7.380675317</v>
      </c>
      <c r="Y16" s="3">
        <f t="shared" si="5"/>
        <v>7.197257909</v>
      </c>
      <c r="Z16" s="3">
        <f t="shared" ref="Z16:AA16" si="19">_xlfn.NORM.S.DIST(X16)</f>
        <v>1</v>
      </c>
      <c r="AA16" s="3">
        <f t="shared" si="19"/>
        <v>1</v>
      </c>
    </row>
    <row r="17" ht="14.25" customHeight="1">
      <c r="A17" s="3" t="s">
        <v>166</v>
      </c>
      <c r="B17" s="3" t="s">
        <v>167</v>
      </c>
      <c r="C17" s="3" t="s">
        <v>128</v>
      </c>
      <c r="D17" s="3" t="s">
        <v>29</v>
      </c>
      <c r="E17" s="3">
        <v>3.0</v>
      </c>
      <c r="F17" s="3" t="s">
        <v>27</v>
      </c>
      <c r="G17" s="3">
        <v>7.25</v>
      </c>
      <c r="I17" s="3">
        <v>8.6</v>
      </c>
      <c r="K17" s="3">
        <v>0.0</v>
      </c>
      <c r="L17" s="3">
        <v>0.0</v>
      </c>
      <c r="M17" s="3" t="s">
        <v>45</v>
      </c>
      <c r="N17" s="3">
        <v>0.9993</v>
      </c>
      <c r="O17" s="3">
        <v>0.0</v>
      </c>
      <c r="P17" s="3">
        <v>0.0279</v>
      </c>
      <c r="Q17" s="3">
        <v>0.0</v>
      </c>
      <c r="R17" s="3">
        <v>0.4597</v>
      </c>
      <c r="S17" s="3">
        <v>11.53</v>
      </c>
      <c r="T17" s="3">
        <v>60.0</v>
      </c>
      <c r="U17" s="3">
        <f t="shared" si="2"/>
        <v>7.925</v>
      </c>
      <c r="V17" s="3"/>
      <c r="W17" s="3">
        <f t="shared" si="3"/>
        <v>8.530499959</v>
      </c>
      <c r="X17" s="3">
        <f t="shared" si="4"/>
        <v>6.115021527</v>
      </c>
      <c r="Y17" s="3">
        <f t="shared" si="5"/>
        <v>5.890710895</v>
      </c>
      <c r="Z17" s="3">
        <f t="shared" ref="Z17:AA17" si="20">_xlfn.NORM.S.DIST(X17)</f>
        <v>0.9999999995</v>
      </c>
      <c r="AA17" s="3">
        <f t="shared" si="20"/>
        <v>0.9999999981</v>
      </c>
    </row>
    <row r="18" ht="14.25" customHeight="1">
      <c r="A18" s="3" t="s">
        <v>166</v>
      </c>
      <c r="B18" s="3" t="s">
        <v>167</v>
      </c>
      <c r="C18" s="3" t="s">
        <v>128</v>
      </c>
      <c r="D18" s="3" t="s">
        <v>29</v>
      </c>
      <c r="E18" s="3">
        <v>3.0</v>
      </c>
      <c r="F18" s="3" t="s">
        <v>27</v>
      </c>
      <c r="G18" s="3">
        <v>7.4</v>
      </c>
      <c r="I18" s="3">
        <v>8.65</v>
      </c>
      <c r="K18" s="3">
        <v>0.0</v>
      </c>
      <c r="L18" s="3">
        <v>0.0</v>
      </c>
      <c r="M18" s="3" t="s">
        <v>46</v>
      </c>
      <c r="N18" s="3">
        <v>0.9993</v>
      </c>
      <c r="O18" s="3">
        <v>0.0</v>
      </c>
      <c r="P18" s="3">
        <v>0.0279</v>
      </c>
      <c r="Q18" s="3">
        <v>0.0</v>
      </c>
      <c r="R18" s="3">
        <v>0.391</v>
      </c>
      <c r="S18" s="3">
        <v>11.62</v>
      </c>
      <c r="T18" s="3">
        <v>59.0</v>
      </c>
      <c r="U18" s="3">
        <f t="shared" si="2"/>
        <v>8.025</v>
      </c>
      <c r="V18" s="3"/>
      <c r="W18" s="3">
        <f t="shared" si="3"/>
        <v>8.620491626</v>
      </c>
      <c r="X18" s="3">
        <f t="shared" si="4"/>
        <v>7.252827845</v>
      </c>
      <c r="Y18" s="3">
        <f t="shared" si="5"/>
        <v>7.063635965</v>
      </c>
      <c r="Z18" s="3">
        <f t="shared" ref="Z18:AA18" si="21">_xlfn.NORM.S.DIST(X18)</f>
        <v>1</v>
      </c>
      <c r="AA18" s="3">
        <f t="shared" si="21"/>
        <v>1</v>
      </c>
    </row>
    <row r="19" ht="14.25" customHeight="1">
      <c r="A19" s="3" t="s">
        <v>166</v>
      </c>
      <c r="B19" s="3" t="s">
        <v>167</v>
      </c>
      <c r="C19" s="3" t="s">
        <v>128</v>
      </c>
      <c r="D19" s="3" t="s">
        <v>29</v>
      </c>
      <c r="E19" s="3">
        <v>3.0</v>
      </c>
      <c r="F19" s="3" t="s">
        <v>27</v>
      </c>
      <c r="G19" s="3">
        <v>8.45</v>
      </c>
      <c r="I19" s="3">
        <v>9.8</v>
      </c>
      <c r="K19" s="3">
        <v>0.0</v>
      </c>
      <c r="L19" s="3">
        <v>0.0</v>
      </c>
      <c r="M19" s="3" t="s">
        <v>47</v>
      </c>
      <c r="N19" s="3">
        <v>0.9992</v>
      </c>
      <c r="O19" s="3">
        <v>0.0</v>
      </c>
      <c r="P19" s="3">
        <v>0.03</v>
      </c>
      <c r="Q19" s="3">
        <v>0.0</v>
      </c>
      <c r="R19" s="3">
        <v>0.4673</v>
      </c>
      <c r="S19" s="3">
        <v>11.48</v>
      </c>
      <c r="T19" s="3">
        <v>58.0</v>
      </c>
      <c r="U19" s="3">
        <f t="shared" si="2"/>
        <v>9.125</v>
      </c>
      <c r="V19" s="3"/>
      <c r="W19" s="3">
        <f t="shared" si="3"/>
        <v>8.480483295</v>
      </c>
      <c r="X19" s="3">
        <f t="shared" si="4"/>
        <v>6.098872382</v>
      </c>
      <c r="Y19" s="3">
        <f t="shared" si="5"/>
        <v>5.874685856</v>
      </c>
      <c r="Z19" s="3">
        <f t="shared" ref="Z19:AA19" si="22">_xlfn.NORM.S.DIST(X19)</f>
        <v>0.9999999995</v>
      </c>
      <c r="AA19" s="3">
        <f t="shared" si="22"/>
        <v>0.9999999979</v>
      </c>
    </row>
    <row r="20" ht="14.25" customHeight="1">
      <c r="A20" s="3" t="s">
        <v>166</v>
      </c>
      <c r="B20" s="3" t="s">
        <v>167</v>
      </c>
      <c r="C20" s="3" t="s">
        <v>128</v>
      </c>
      <c r="D20" s="3" t="s">
        <v>29</v>
      </c>
      <c r="E20" s="3">
        <v>3.0</v>
      </c>
      <c r="F20" s="3" t="s">
        <v>27</v>
      </c>
      <c r="G20" s="3">
        <v>8.45</v>
      </c>
      <c r="I20" s="3">
        <v>9.8</v>
      </c>
      <c r="K20" s="3">
        <v>0.0</v>
      </c>
      <c r="L20" s="3">
        <v>0.0</v>
      </c>
      <c r="M20" s="3" t="s">
        <v>48</v>
      </c>
      <c r="N20" s="3">
        <v>0.9992</v>
      </c>
      <c r="O20" s="3">
        <v>0.0</v>
      </c>
      <c r="P20" s="3">
        <v>0.0323</v>
      </c>
      <c r="Q20" s="3">
        <v>0.0</v>
      </c>
      <c r="R20" s="3">
        <v>0.4449</v>
      </c>
      <c r="S20" s="3">
        <v>11.49</v>
      </c>
      <c r="T20" s="3">
        <v>57.0</v>
      </c>
      <c r="U20" s="3">
        <f t="shared" si="2"/>
        <v>9.125</v>
      </c>
      <c r="V20" s="3"/>
      <c r="W20" s="3">
        <f t="shared" si="3"/>
        <v>8.490474962</v>
      </c>
      <c r="X20" s="3">
        <f t="shared" si="4"/>
        <v>6.453021626</v>
      </c>
      <c r="Y20" s="3">
        <f t="shared" si="5"/>
        <v>6.24142947</v>
      </c>
      <c r="Z20" s="3">
        <f t="shared" ref="Z20:AA20" si="23">_xlfn.NORM.S.DIST(X20)</f>
        <v>0.9999999999</v>
      </c>
      <c r="AA20" s="3">
        <f t="shared" si="23"/>
        <v>0.9999999998</v>
      </c>
    </row>
    <row r="21" ht="14.25" customHeight="1">
      <c r="A21" s="3" t="s">
        <v>166</v>
      </c>
      <c r="B21" s="3" t="s">
        <v>167</v>
      </c>
      <c r="C21" s="3" t="s">
        <v>128</v>
      </c>
      <c r="D21" s="3" t="s">
        <v>29</v>
      </c>
      <c r="E21" s="3">
        <v>3.0</v>
      </c>
      <c r="F21" s="3" t="s">
        <v>27</v>
      </c>
      <c r="G21" s="3">
        <v>8.3</v>
      </c>
      <c r="I21" s="3">
        <v>8.7</v>
      </c>
      <c r="K21" s="3">
        <v>0.0</v>
      </c>
      <c r="L21" s="3">
        <v>0.0</v>
      </c>
      <c r="M21" s="3" t="s">
        <v>49</v>
      </c>
      <c r="N21" s="3">
        <v>0.9992</v>
      </c>
      <c r="O21" s="3">
        <v>0.0</v>
      </c>
      <c r="P21" s="3">
        <v>0.032</v>
      </c>
      <c r="Q21" s="3">
        <v>0.0</v>
      </c>
      <c r="R21" s="3">
        <v>0.3669</v>
      </c>
      <c r="S21" s="3">
        <v>11.38</v>
      </c>
      <c r="T21" s="3">
        <v>56.0</v>
      </c>
      <c r="U21" s="3">
        <f t="shared" si="2"/>
        <v>8.5</v>
      </c>
      <c r="V21" s="3"/>
      <c r="W21" s="3">
        <f t="shared" si="3"/>
        <v>8.38046663</v>
      </c>
      <c r="X21" s="3">
        <f t="shared" si="4"/>
        <v>7.79585507</v>
      </c>
      <c r="Y21" s="3">
        <f t="shared" si="5"/>
        <v>7.622896751</v>
      </c>
      <c r="Z21" s="3">
        <f t="shared" ref="Z21:AA21" si="24">_xlfn.NORM.S.DIST(X21)</f>
        <v>1</v>
      </c>
      <c r="AA21" s="3">
        <f t="shared" si="24"/>
        <v>1</v>
      </c>
    </row>
    <row r="22" ht="14.25" customHeight="1">
      <c r="A22" s="3" t="s">
        <v>166</v>
      </c>
      <c r="B22" s="3" t="s">
        <v>167</v>
      </c>
      <c r="C22" s="3" t="s">
        <v>128</v>
      </c>
      <c r="D22" s="3" t="s">
        <v>29</v>
      </c>
      <c r="E22" s="3">
        <v>3.0</v>
      </c>
      <c r="F22" s="3" t="s">
        <v>27</v>
      </c>
      <c r="G22" s="3">
        <v>8.1</v>
      </c>
      <c r="I22" s="3">
        <v>8.5</v>
      </c>
      <c r="K22" s="3">
        <v>0.0</v>
      </c>
      <c r="L22" s="3">
        <v>0.0</v>
      </c>
      <c r="M22" s="3" t="s">
        <v>50</v>
      </c>
      <c r="N22" s="3">
        <v>0.9996</v>
      </c>
      <c r="O22" s="3">
        <v>0.0</v>
      </c>
      <c r="P22" s="3">
        <v>0.0115</v>
      </c>
      <c r="Q22" s="3">
        <v>0.0</v>
      </c>
      <c r="R22" s="3">
        <v>0.3785</v>
      </c>
      <c r="S22" s="3">
        <v>11.32</v>
      </c>
      <c r="T22" s="3">
        <v>55.0</v>
      </c>
      <c r="U22" s="3">
        <f t="shared" si="2"/>
        <v>8.3</v>
      </c>
      <c r="V22" s="3"/>
      <c r="W22" s="3">
        <f t="shared" si="3"/>
        <v>8.320458298</v>
      </c>
      <c r="X22" s="3">
        <f t="shared" si="4"/>
        <v>7.599237411</v>
      </c>
      <c r="Y22" s="3">
        <f t="shared" si="5"/>
        <v>7.422411071</v>
      </c>
      <c r="Z22" s="3">
        <f t="shared" ref="Z22:AA22" si="25">_xlfn.NORM.S.DIST(X22)</f>
        <v>1</v>
      </c>
      <c r="AA22" s="3">
        <f t="shared" si="25"/>
        <v>1</v>
      </c>
    </row>
    <row r="23" ht="14.25" customHeight="1">
      <c r="A23" s="3" t="s">
        <v>166</v>
      </c>
      <c r="B23" s="3" t="s">
        <v>167</v>
      </c>
      <c r="C23" s="3" t="s">
        <v>129</v>
      </c>
      <c r="D23" s="3" t="s">
        <v>29</v>
      </c>
      <c r="E23" s="3">
        <v>3.0</v>
      </c>
      <c r="F23" s="3" t="s">
        <v>27</v>
      </c>
      <c r="G23" s="3">
        <v>8.65</v>
      </c>
      <c r="I23" s="3">
        <v>8.75</v>
      </c>
      <c r="K23" s="3">
        <v>0.0</v>
      </c>
      <c r="L23" s="3">
        <v>0.0</v>
      </c>
      <c r="M23" s="3" t="s">
        <v>52</v>
      </c>
      <c r="N23" s="3">
        <v>1.0</v>
      </c>
      <c r="O23" s="3">
        <v>0.0</v>
      </c>
      <c r="P23" s="3">
        <v>-0.0087</v>
      </c>
      <c r="Q23" s="3">
        <v>0.0</v>
      </c>
      <c r="R23" s="3">
        <v>0.3669</v>
      </c>
      <c r="S23" s="3">
        <v>11.71</v>
      </c>
      <c r="T23" s="3">
        <v>54.0</v>
      </c>
      <c r="U23" s="3">
        <f t="shared" si="2"/>
        <v>8.7</v>
      </c>
      <c r="V23" s="3"/>
      <c r="W23" s="3">
        <f t="shared" si="3"/>
        <v>8.710449966</v>
      </c>
      <c r="X23" s="3">
        <f t="shared" si="4"/>
        <v>8.104040479</v>
      </c>
      <c r="Y23" s="3">
        <f t="shared" si="5"/>
        <v>7.934198782</v>
      </c>
      <c r="Z23" s="3">
        <f t="shared" ref="Z23:AA23" si="26">_xlfn.NORM.S.DIST(X23)</f>
        <v>1</v>
      </c>
      <c r="AA23" s="3">
        <f t="shared" si="26"/>
        <v>1</v>
      </c>
    </row>
    <row r="24" ht="14.25" customHeight="1">
      <c r="A24" s="3" t="s">
        <v>166</v>
      </c>
      <c r="B24" s="3" t="s">
        <v>167</v>
      </c>
      <c r="C24" s="3" t="s">
        <v>129</v>
      </c>
      <c r="D24" s="3" t="s">
        <v>29</v>
      </c>
      <c r="E24" s="3">
        <v>3.0</v>
      </c>
      <c r="F24" s="3" t="s">
        <v>27</v>
      </c>
      <c r="G24" s="3">
        <v>8.45</v>
      </c>
      <c r="I24" s="3">
        <v>8.55</v>
      </c>
      <c r="K24" s="3">
        <v>0.0</v>
      </c>
      <c r="L24" s="3">
        <v>0.0</v>
      </c>
      <c r="M24" s="3" t="s">
        <v>53</v>
      </c>
      <c r="N24" s="3">
        <v>0.9996</v>
      </c>
      <c r="O24" s="3">
        <v>0.0</v>
      </c>
      <c r="P24" s="3">
        <v>0.0136</v>
      </c>
      <c r="Q24" s="3">
        <v>0.0</v>
      </c>
      <c r="R24" s="3">
        <v>0.3919</v>
      </c>
      <c r="S24" s="3">
        <v>11.48</v>
      </c>
      <c r="T24" s="3">
        <v>53.0</v>
      </c>
      <c r="U24" s="3">
        <f t="shared" si="2"/>
        <v>8.5</v>
      </c>
      <c r="V24" s="3"/>
      <c r="W24" s="3">
        <f t="shared" si="3"/>
        <v>8.480441634</v>
      </c>
      <c r="X24" s="3">
        <f t="shared" si="4"/>
        <v>7.557536901</v>
      </c>
      <c r="Y24" s="3">
        <f t="shared" si="5"/>
        <v>7.377810065</v>
      </c>
      <c r="Z24" s="3">
        <f t="shared" ref="Z24:AA24" si="27">_xlfn.NORM.S.DIST(X24)</f>
        <v>1</v>
      </c>
      <c r="AA24" s="3">
        <f t="shared" si="27"/>
        <v>1</v>
      </c>
    </row>
    <row r="25" ht="14.25" customHeight="1">
      <c r="A25" s="3" t="s">
        <v>166</v>
      </c>
      <c r="B25" s="3" t="s">
        <v>167</v>
      </c>
      <c r="C25" s="3" t="s">
        <v>129</v>
      </c>
      <c r="D25" s="3" t="s">
        <v>29</v>
      </c>
      <c r="E25" s="3">
        <v>3.0</v>
      </c>
      <c r="F25" s="3" t="s">
        <v>27</v>
      </c>
      <c r="G25" s="3">
        <v>7.6</v>
      </c>
      <c r="I25" s="3">
        <v>9.95</v>
      </c>
      <c r="K25" s="3">
        <v>0.0</v>
      </c>
      <c r="L25" s="3">
        <v>0.0</v>
      </c>
      <c r="M25" s="3" t="s">
        <v>54</v>
      </c>
      <c r="N25" s="3">
        <v>1.0</v>
      </c>
      <c r="O25" s="3">
        <v>0.0</v>
      </c>
      <c r="P25" s="3">
        <v>-0.0087</v>
      </c>
      <c r="Q25" s="3">
        <v>0.0</v>
      </c>
      <c r="R25" s="3">
        <v>0.3811</v>
      </c>
      <c r="S25" s="3">
        <v>11.88</v>
      </c>
      <c r="T25" s="3">
        <v>52.0</v>
      </c>
      <c r="U25" s="3">
        <f t="shared" si="2"/>
        <v>8.775</v>
      </c>
      <c r="V25" s="3"/>
      <c r="W25" s="3">
        <f t="shared" si="3"/>
        <v>8.880433302</v>
      </c>
      <c r="X25" s="3">
        <f t="shared" si="4"/>
        <v>8.037172745</v>
      </c>
      <c r="Y25" s="3">
        <f t="shared" si="5"/>
        <v>7.864055493</v>
      </c>
      <c r="Z25" s="3">
        <f t="shared" ref="Z25:AA25" si="28">_xlfn.NORM.S.DIST(X25)</f>
        <v>1</v>
      </c>
      <c r="AA25" s="3">
        <f t="shared" si="28"/>
        <v>1</v>
      </c>
    </row>
    <row r="26" ht="14.25" customHeight="1">
      <c r="A26" s="3" t="s">
        <v>166</v>
      </c>
      <c r="B26" s="3" t="s">
        <v>167</v>
      </c>
      <c r="C26" s="3" t="s">
        <v>129</v>
      </c>
      <c r="D26" s="3" t="s">
        <v>29</v>
      </c>
      <c r="E26" s="3">
        <v>3.0</v>
      </c>
      <c r="F26" s="3" t="s">
        <v>27</v>
      </c>
      <c r="G26" s="3">
        <v>8.9</v>
      </c>
      <c r="I26" s="3">
        <v>10.15</v>
      </c>
      <c r="K26" s="3">
        <v>0.0</v>
      </c>
      <c r="L26" s="3">
        <v>0.0</v>
      </c>
      <c r="M26" s="3" t="s">
        <v>55</v>
      </c>
      <c r="N26" s="3">
        <v>0.999</v>
      </c>
      <c r="O26" s="3">
        <v>4.0E-4</v>
      </c>
      <c r="P26" s="3">
        <v>-0.0138</v>
      </c>
      <c r="Q26" s="3">
        <v>0.0111</v>
      </c>
      <c r="R26" s="3">
        <v>1.0296</v>
      </c>
      <c r="S26" s="3">
        <v>11.93</v>
      </c>
      <c r="T26" s="3">
        <v>51.0</v>
      </c>
      <c r="U26" s="3">
        <f t="shared" si="2"/>
        <v>9.525</v>
      </c>
      <c r="V26" s="3"/>
      <c r="W26" s="3">
        <f t="shared" si="3"/>
        <v>8.931532609</v>
      </c>
      <c r="X26" s="3">
        <f t="shared" si="4"/>
        <v>3.212235098</v>
      </c>
      <c r="Y26" s="3">
        <f t="shared" si="5"/>
        <v>2.749051309</v>
      </c>
      <c r="Z26" s="3">
        <f t="shared" ref="Z26:AA26" si="29">_xlfn.NORM.S.DIST(X26)</f>
        <v>0.9993414673</v>
      </c>
      <c r="AA26" s="3">
        <f t="shared" si="29"/>
        <v>0.9970115985</v>
      </c>
    </row>
    <row r="27" ht="14.25" customHeight="1">
      <c r="A27" s="3" t="s">
        <v>166</v>
      </c>
      <c r="B27" s="3" t="s">
        <v>167</v>
      </c>
      <c r="C27" s="3" t="s">
        <v>129</v>
      </c>
      <c r="D27" s="3" t="s">
        <v>29</v>
      </c>
      <c r="E27" s="3">
        <v>3.0</v>
      </c>
      <c r="F27" s="3" t="s">
        <v>27</v>
      </c>
      <c r="G27" s="3">
        <v>8.8</v>
      </c>
      <c r="I27" s="3">
        <v>8.9</v>
      </c>
      <c r="K27" s="3">
        <v>0.0</v>
      </c>
      <c r="L27" s="3">
        <v>0.0</v>
      </c>
      <c r="M27" s="3" t="s">
        <v>56</v>
      </c>
      <c r="N27" s="3">
        <v>0.9996</v>
      </c>
      <c r="O27" s="3">
        <v>0.0</v>
      </c>
      <c r="P27" s="3">
        <v>0.0149</v>
      </c>
      <c r="Q27" s="3">
        <v>0.0</v>
      </c>
      <c r="R27" s="3">
        <v>0.3836</v>
      </c>
      <c r="S27" s="3">
        <v>11.84</v>
      </c>
      <c r="T27" s="3">
        <v>50.0</v>
      </c>
      <c r="U27" s="3">
        <f t="shared" si="2"/>
        <v>8.85</v>
      </c>
      <c r="V27" s="3"/>
      <c r="W27" s="3">
        <f t="shared" si="3"/>
        <v>8.840416638</v>
      </c>
      <c r="X27" s="3">
        <f t="shared" si="4"/>
        <v>8.120888944</v>
      </c>
      <c r="Y27" s="3">
        <f t="shared" si="5"/>
        <v>7.950019923</v>
      </c>
      <c r="Z27" s="3">
        <f t="shared" ref="Z27:AA27" si="30">_xlfn.NORM.S.DIST(X27)</f>
        <v>1</v>
      </c>
      <c r="AA27" s="3">
        <f t="shared" si="30"/>
        <v>1</v>
      </c>
    </row>
    <row r="28" ht="14.25" customHeight="1">
      <c r="A28" s="3" t="s">
        <v>166</v>
      </c>
      <c r="B28" s="3" t="s">
        <v>167</v>
      </c>
      <c r="C28" s="3" t="s">
        <v>129</v>
      </c>
      <c r="D28" s="3" t="s">
        <v>29</v>
      </c>
      <c r="E28" s="3">
        <v>3.0</v>
      </c>
      <c r="F28" s="3" t="s">
        <v>27</v>
      </c>
      <c r="G28" s="3">
        <v>8.7</v>
      </c>
      <c r="I28" s="3">
        <v>8.95</v>
      </c>
      <c r="K28" s="3">
        <v>0.0</v>
      </c>
      <c r="L28" s="3">
        <v>0.0</v>
      </c>
      <c r="M28" s="3" t="s">
        <v>57</v>
      </c>
      <c r="N28" s="3">
        <v>1.0</v>
      </c>
      <c r="O28" s="3">
        <v>0.0</v>
      </c>
      <c r="P28" s="3">
        <v>-0.0087</v>
      </c>
      <c r="Q28" s="3">
        <v>0.0</v>
      </c>
      <c r="R28" s="3">
        <v>0.3546</v>
      </c>
      <c r="S28" s="3">
        <v>11.76</v>
      </c>
      <c r="T28" s="3">
        <v>49.0</v>
      </c>
      <c r="U28" s="3">
        <f t="shared" si="2"/>
        <v>8.825</v>
      </c>
      <c r="V28" s="3"/>
      <c r="W28" s="3">
        <f t="shared" si="3"/>
        <v>8.760408306</v>
      </c>
      <c r="X28" s="3">
        <f t="shared" si="4"/>
        <v>8.815670228</v>
      </c>
      <c r="Y28" s="3">
        <f t="shared" si="5"/>
        <v>8.659306326</v>
      </c>
      <c r="Z28" s="3">
        <f t="shared" ref="Z28:AA28" si="31">_xlfn.NORM.S.DIST(X28)</f>
        <v>1</v>
      </c>
      <c r="AA28" s="3">
        <f t="shared" si="31"/>
        <v>1</v>
      </c>
    </row>
    <row r="29" ht="14.25" customHeight="1">
      <c r="A29" s="3" t="s">
        <v>166</v>
      </c>
      <c r="B29" s="3" t="s">
        <v>167</v>
      </c>
      <c r="C29" s="3" t="s">
        <v>129</v>
      </c>
      <c r="D29" s="3" t="s">
        <v>29</v>
      </c>
      <c r="E29" s="3">
        <v>3.0</v>
      </c>
      <c r="F29" s="3" t="s">
        <v>27</v>
      </c>
      <c r="G29" s="3">
        <v>8.8</v>
      </c>
      <c r="I29" s="3">
        <v>8.9</v>
      </c>
      <c r="K29" s="3">
        <v>0.0</v>
      </c>
      <c r="L29" s="3">
        <v>0.0</v>
      </c>
      <c r="M29" s="3" t="s">
        <v>58</v>
      </c>
      <c r="N29" s="3">
        <v>0.9992</v>
      </c>
      <c r="O29" s="3">
        <v>0.0</v>
      </c>
      <c r="P29" s="3">
        <v>0.0403</v>
      </c>
      <c r="Q29" s="3">
        <v>0.0</v>
      </c>
      <c r="R29" s="3">
        <v>0.3938</v>
      </c>
      <c r="S29" s="3">
        <v>11.86</v>
      </c>
      <c r="T29" s="3">
        <v>48.0</v>
      </c>
      <c r="U29" s="3">
        <f t="shared" si="2"/>
        <v>8.85</v>
      </c>
      <c r="V29" s="3"/>
      <c r="W29" s="3">
        <f t="shared" si="3"/>
        <v>8.860399973</v>
      </c>
      <c r="X29" s="3">
        <f t="shared" si="4"/>
        <v>8.084451416</v>
      </c>
      <c r="Y29" s="3">
        <f t="shared" si="5"/>
        <v>7.912583006</v>
      </c>
      <c r="Z29" s="3">
        <f t="shared" ref="Z29:AA29" si="32">_xlfn.NORM.S.DIST(X29)</f>
        <v>1</v>
      </c>
      <c r="AA29" s="3">
        <f t="shared" si="32"/>
        <v>1</v>
      </c>
    </row>
    <row r="30" ht="14.25" customHeight="1">
      <c r="A30" s="3" t="s">
        <v>166</v>
      </c>
      <c r="B30" s="3" t="s">
        <v>167</v>
      </c>
      <c r="C30" s="3" t="s">
        <v>129</v>
      </c>
      <c r="D30" s="3" t="s">
        <v>29</v>
      </c>
      <c r="E30" s="3">
        <v>3.0</v>
      </c>
      <c r="F30" s="3" t="s">
        <v>27</v>
      </c>
      <c r="G30" s="3">
        <v>9.0</v>
      </c>
      <c r="I30" s="3">
        <v>9.35</v>
      </c>
      <c r="K30" s="3">
        <v>0.0</v>
      </c>
      <c r="L30" s="3">
        <v>0.0</v>
      </c>
      <c r="M30" s="3" t="s">
        <v>59</v>
      </c>
      <c r="N30" s="3">
        <v>0.9992</v>
      </c>
      <c r="O30" s="3">
        <v>0.0</v>
      </c>
      <c r="P30" s="3">
        <v>0.0437</v>
      </c>
      <c r="Q30" s="3">
        <v>0.0</v>
      </c>
      <c r="R30" s="3">
        <v>0.4094</v>
      </c>
      <c r="S30" s="3">
        <v>12.25</v>
      </c>
      <c r="T30" s="3">
        <v>47.0</v>
      </c>
      <c r="U30" s="3">
        <f t="shared" si="2"/>
        <v>9.175</v>
      </c>
      <c r="V30" s="3"/>
      <c r="W30" s="3">
        <f t="shared" si="3"/>
        <v>9.250391641</v>
      </c>
      <c r="X30" s="3">
        <f t="shared" si="4"/>
        <v>8.046536843</v>
      </c>
      <c r="Y30" s="3">
        <f t="shared" si="5"/>
        <v>7.869731048</v>
      </c>
      <c r="Z30" s="3">
        <f t="shared" ref="Z30:AA30" si="33">_xlfn.NORM.S.DIST(X30)</f>
        <v>1</v>
      </c>
      <c r="AA30" s="3">
        <f t="shared" si="33"/>
        <v>1</v>
      </c>
    </row>
    <row r="31" ht="14.25" customHeight="1">
      <c r="A31" s="3" t="s">
        <v>166</v>
      </c>
      <c r="B31" s="3" t="s">
        <v>167</v>
      </c>
      <c r="C31" s="3" t="s">
        <v>129</v>
      </c>
      <c r="D31" s="3" t="s">
        <v>29</v>
      </c>
      <c r="E31" s="3">
        <v>3.0</v>
      </c>
      <c r="F31" s="3" t="s">
        <v>27</v>
      </c>
      <c r="G31" s="3">
        <v>9.1</v>
      </c>
      <c r="I31" s="3">
        <v>9.4</v>
      </c>
      <c r="K31" s="3">
        <v>0.0</v>
      </c>
      <c r="L31" s="3">
        <v>0.0</v>
      </c>
      <c r="M31" s="3" t="s">
        <v>60</v>
      </c>
      <c r="N31" s="3">
        <v>0.9996</v>
      </c>
      <c r="O31" s="3">
        <v>0.0</v>
      </c>
      <c r="P31" s="3">
        <v>0.0182</v>
      </c>
      <c r="Q31" s="3">
        <v>0.0</v>
      </c>
      <c r="R31" s="3">
        <v>0.3493</v>
      </c>
      <c r="S31" s="3">
        <v>12.17</v>
      </c>
      <c r="T31" s="3">
        <v>46.0</v>
      </c>
      <c r="U31" s="3">
        <f t="shared" si="2"/>
        <v>9.25</v>
      </c>
      <c r="V31" s="3"/>
      <c r="W31" s="3">
        <f t="shared" si="3"/>
        <v>9.170383309</v>
      </c>
      <c r="X31" s="3">
        <f t="shared" si="4"/>
        <v>9.458933983</v>
      </c>
      <c r="Y31" s="3">
        <f t="shared" si="5"/>
        <v>9.309696736</v>
      </c>
      <c r="Z31" s="3">
        <f t="shared" ref="Z31:AA31" si="34">_xlfn.NORM.S.DIST(X31)</f>
        <v>1</v>
      </c>
      <c r="AA31" s="3">
        <f t="shared" si="34"/>
        <v>1</v>
      </c>
    </row>
    <row r="32" ht="14.25" customHeight="1">
      <c r="A32" s="3" t="s">
        <v>166</v>
      </c>
      <c r="B32" s="3" t="s">
        <v>167</v>
      </c>
      <c r="C32" s="3" t="s">
        <v>129</v>
      </c>
      <c r="D32" s="3" t="s">
        <v>29</v>
      </c>
      <c r="E32" s="3">
        <v>3.0</v>
      </c>
      <c r="F32" s="3" t="s">
        <v>27</v>
      </c>
      <c r="G32" s="3">
        <v>8.9</v>
      </c>
      <c r="I32" s="3">
        <v>9.35</v>
      </c>
      <c r="K32" s="3">
        <v>0.0</v>
      </c>
      <c r="L32" s="3">
        <v>0.0</v>
      </c>
      <c r="M32" s="3" t="s">
        <v>61</v>
      </c>
      <c r="N32" s="3">
        <v>0.9992</v>
      </c>
      <c r="O32" s="3">
        <v>0.0</v>
      </c>
      <c r="P32" s="3">
        <v>0.0448</v>
      </c>
      <c r="Q32" s="3">
        <v>0.0</v>
      </c>
      <c r="R32" s="3">
        <v>0.4468</v>
      </c>
      <c r="S32" s="3">
        <v>12.13</v>
      </c>
      <c r="T32" s="3">
        <v>45.0</v>
      </c>
      <c r="U32" s="3">
        <f t="shared" si="2"/>
        <v>9.125</v>
      </c>
      <c r="V32" s="3"/>
      <c r="W32" s="3">
        <f t="shared" si="3"/>
        <v>9.130374977</v>
      </c>
      <c r="X32" s="3">
        <f t="shared" si="4"/>
        <v>7.494505562</v>
      </c>
      <c r="Y32" s="3">
        <f t="shared" si="5"/>
        <v>7.305698101</v>
      </c>
      <c r="Z32" s="3">
        <f t="shared" ref="Z32:AA32" si="35">_xlfn.NORM.S.DIST(X32)</f>
        <v>1</v>
      </c>
      <c r="AA32" s="3">
        <f t="shared" si="35"/>
        <v>1</v>
      </c>
    </row>
    <row r="33" ht="14.25" customHeight="1">
      <c r="A33" s="3" t="s">
        <v>166</v>
      </c>
      <c r="B33" s="3" t="s">
        <v>167</v>
      </c>
      <c r="C33" s="3" t="s">
        <v>129</v>
      </c>
      <c r="D33" s="3" t="s">
        <v>29</v>
      </c>
      <c r="E33" s="3">
        <v>3.0</v>
      </c>
      <c r="F33" s="3" t="s">
        <v>27</v>
      </c>
      <c r="G33" s="3">
        <v>8.95</v>
      </c>
      <c r="I33" s="3">
        <v>9.1</v>
      </c>
      <c r="K33" s="3">
        <v>0.0</v>
      </c>
      <c r="L33" s="3">
        <v>0.0</v>
      </c>
      <c r="M33" s="3" t="s">
        <v>62</v>
      </c>
      <c r="N33" s="3">
        <v>0.9992</v>
      </c>
      <c r="O33" s="3">
        <v>0.0</v>
      </c>
      <c r="P33" s="3">
        <v>0.0444</v>
      </c>
      <c r="Q33" s="3">
        <v>0.0</v>
      </c>
      <c r="R33" s="3">
        <v>0.3453</v>
      </c>
      <c r="S33" s="3">
        <v>12.03</v>
      </c>
      <c r="T33" s="3">
        <v>44.0</v>
      </c>
      <c r="U33" s="3">
        <f t="shared" si="2"/>
        <v>9.025</v>
      </c>
      <c r="V33" s="3"/>
      <c r="W33" s="3">
        <f t="shared" si="3"/>
        <v>9.030366644</v>
      </c>
      <c r="X33" s="3">
        <f t="shared" si="4"/>
        <v>9.698290898</v>
      </c>
      <c r="Y33" s="3">
        <f t="shared" si="5"/>
        <v>9.554005413</v>
      </c>
      <c r="Z33" s="3">
        <f t="shared" ref="Z33:AA33" si="36">_xlfn.NORM.S.DIST(X33)</f>
        <v>1</v>
      </c>
      <c r="AA33" s="3">
        <f t="shared" si="36"/>
        <v>1</v>
      </c>
    </row>
    <row r="34" ht="14.25" customHeight="1">
      <c r="A34" s="3" t="s">
        <v>166</v>
      </c>
      <c r="B34" s="3" t="s">
        <v>167</v>
      </c>
      <c r="C34" s="3" t="s">
        <v>129</v>
      </c>
      <c r="D34" s="3" t="s">
        <v>29</v>
      </c>
      <c r="E34" s="3">
        <v>3.0</v>
      </c>
      <c r="F34" s="3" t="s">
        <v>27</v>
      </c>
      <c r="G34" s="3">
        <v>9.1</v>
      </c>
      <c r="I34" s="3">
        <v>9.25</v>
      </c>
      <c r="K34" s="3">
        <v>0.0</v>
      </c>
      <c r="L34" s="3">
        <v>0.0</v>
      </c>
      <c r="M34" s="3" t="s">
        <v>63</v>
      </c>
      <c r="N34" s="3">
        <v>0.9993</v>
      </c>
      <c r="O34" s="3">
        <v>0.0</v>
      </c>
      <c r="P34" s="3">
        <v>0.0455</v>
      </c>
      <c r="Q34" s="3">
        <v>0.0</v>
      </c>
      <c r="R34" s="3">
        <v>0.4435</v>
      </c>
      <c r="S34" s="3">
        <v>12.19</v>
      </c>
      <c r="T34" s="3">
        <v>43.0</v>
      </c>
      <c r="U34" s="3">
        <f t="shared" si="2"/>
        <v>9.175</v>
      </c>
      <c r="V34" s="3"/>
      <c r="W34" s="3">
        <f t="shared" si="3"/>
        <v>9.190358312</v>
      </c>
      <c r="X34" s="3">
        <f t="shared" si="4"/>
        <v>7.745073589</v>
      </c>
      <c r="Y34" s="3">
        <f t="shared" si="5"/>
        <v>7.561872698</v>
      </c>
      <c r="Z34" s="3">
        <f t="shared" ref="Z34:AA34" si="37">_xlfn.NORM.S.DIST(X34)</f>
        <v>1</v>
      </c>
      <c r="AA34" s="3">
        <f t="shared" si="37"/>
        <v>1</v>
      </c>
    </row>
    <row r="35" ht="14.25" customHeight="1">
      <c r="A35" s="3" t="s">
        <v>166</v>
      </c>
      <c r="B35" s="3" t="s">
        <v>167</v>
      </c>
      <c r="C35" s="3" t="s">
        <v>129</v>
      </c>
      <c r="D35" s="3" t="s">
        <v>29</v>
      </c>
      <c r="E35" s="3">
        <v>3.0</v>
      </c>
      <c r="F35" s="3" t="s">
        <v>27</v>
      </c>
      <c r="G35" s="3">
        <v>8.75</v>
      </c>
      <c r="I35" s="3">
        <v>8.85</v>
      </c>
      <c r="K35" s="3">
        <v>0.0</v>
      </c>
      <c r="L35" s="3">
        <v>0.0</v>
      </c>
      <c r="M35" s="3" t="s">
        <v>64</v>
      </c>
      <c r="N35" s="3">
        <v>0.9993</v>
      </c>
      <c r="O35" s="3">
        <v>0.0</v>
      </c>
      <c r="P35" s="3">
        <v>0.0442</v>
      </c>
      <c r="Q35" s="3">
        <v>0.0</v>
      </c>
      <c r="R35" s="3">
        <v>0.379</v>
      </c>
      <c r="S35" s="3">
        <v>11.8</v>
      </c>
      <c r="T35" s="3">
        <v>42.0</v>
      </c>
      <c r="U35" s="3">
        <f t="shared" si="2"/>
        <v>8.8</v>
      </c>
      <c r="V35" s="3"/>
      <c r="W35" s="3">
        <f t="shared" si="3"/>
        <v>8.80034998</v>
      </c>
      <c r="X35" s="3">
        <f t="shared" si="4"/>
        <v>8.929159167</v>
      </c>
      <c r="Y35" s="3">
        <f t="shared" si="5"/>
        <v>8.774433065</v>
      </c>
      <c r="Z35" s="3">
        <f t="shared" ref="Z35:AA35" si="38">_xlfn.NORM.S.DIST(X35)</f>
        <v>1</v>
      </c>
      <c r="AA35" s="3">
        <f t="shared" si="38"/>
        <v>1</v>
      </c>
    </row>
    <row r="36" ht="14.25" customHeight="1">
      <c r="A36" s="3" t="s">
        <v>166</v>
      </c>
      <c r="B36" s="3" t="s">
        <v>167</v>
      </c>
      <c r="C36" s="3" t="s">
        <v>129</v>
      </c>
      <c r="D36" s="3" t="s">
        <v>29</v>
      </c>
      <c r="E36" s="3">
        <v>3.0</v>
      </c>
      <c r="F36" s="3" t="s">
        <v>27</v>
      </c>
      <c r="G36" s="3">
        <v>8.35</v>
      </c>
      <c r="I36" s="3">
        <v>8.45</v>
      </c>
      <c r="K36" s="3">
        <v>0.0</v>
      </c>
      <c r="L36" s="3">
        <v>0.0</v>
      </c>
      <c r="M36" s="3" t="s">
        <v>65</v>
      </c>
      <c r="N36" s="3">
        <v>0.9993</v>
      </c>
      <c r="O36" s="3">
        <v>0.0</v>
      </c>
      <c r="P36" s="3">
        <v>0.0432</v>
      </c>
      <c r="Q36" s="3">
        <v>0.0</v>
      </c>
      <c r="R36" s="3">
        <v>0.3932</v>
      </c>
      <c r="S36" s="3">
        <v>11.42</v>
      </c>
      <c r="T36" s="3">
        <v>41.0</v>
      </c>
      <c r="U36" s="3">
        <f t="shared" si="2"/>
        <v>8.4</v>
      </c>
      <c r="V36" s="3"/>
      <c r="W36" s="3">
        <f t="shared" si="3"/>
        <v>8.420341647</v>
      </c>
      <c r="X36" s="3">
        <f t="shared" si="4"/>
        <v>8.508440947</v>
      </c>
      <c r="Y36" s="3">
        <f t="shared" si="5"/>
        <v>8.349840223</v>
      </c>
      <c r="Z36" s="3">
        <f t="shared" ref="Z36:AA36" si="39">_xlfn.NORM.S.DIST(X36)</f>
        <v>1</v>
      </c>
      <c r="AA36" s="3">
        <f t="shared" si="39"/>
        <v>1</v>
      </c>
    </row>
    <row r="37" ht="14.25" customHeight="1">
      <c r="A37" s="3" t="s">
        <v>166</v>
      </c>
      <c r="B37" s="3" t="s">
        <v>167</v>
      </c>
      <c r="C37" s="3" t="s">
        <v>129</v>
      </c>
      <c r="D37" s="3" t="s">
        <v>29</v>
      </c>
      <c r="E37" s="3">
        <v>3.0</v>
      </c>
      <c r="F37" s="3" t="s">
        <v>27</v>
      </c>
      <c r="G37" s="3">
        <v>8.35</v>
      </c>
      <c r="I37" s="3">
        <v>8.5</v>
      </c>
      <c r="K37" s="3">
        <v>0.0</v>
      </c>
      <c r="L37" s="3">
        <v>0.0</v>
      </c>
      <c r="M37" s="3" t="s">
        <v>66</v>
      </c>
      <c r="N37" s="3">
        <v>0.9993</v>
      </c>
      <c r="O37" s="3">
        <v>0.0</v>
      </c>
      <c r="P37" s="3">
        <v>0.0426</v>
      </c>
      <c r="Q37" s="3">
        <v>0.0</v>
      </c>
      <c r="R37" s="3">
        <v>0.3859</v>
      </c>
      <c r="S37" s="3">
        <v>11.44</v>
      </c>
      <c r="T37" s="3">
        <v>40.0</v>
      </c>
      <c r="U37" s="3">
        <f t="shared" si="2"/>
        <v>8.425</v>
      </c>
      <c r="V37" s="3"/>
      <c r="W37" s="3">
        <f t="shared" si="3"/>
        <v>8.440333315</v>
      </c>
      <c r="X37" s="3">
        <f t="shared" si="4"/>
        <v>8.783523815</v>
      </c>
      <c r="Y37" s="3">
        <f t="shared" si="5"/>
        <v>8.629777575</v>
      </c>
      <c r="Z37" s="3">
        <f t="shared" ref="Z37:AA37" si="40">_xlfn.NORM.S.DIST(X37)</f>
        <v>1</v>
      </c>
      <c r="AA37" s="3">
        <f t="shared" si="40"/>
        <v>1</v>
      </c>
    </row>
    <row r="38" ht="14.25" customHeight="1">
      <c r="A38" s="3" t="s">
        <v>166</v>
      </c>
      <c r="B38" s="3" t="s">
        <v>167</v>
      </c>
      <c r="C38" s="3" t="s">
        <v>129</v>
      </c>
      <c r="D38" s="3" t="s">
        <v>29</v>
      </c>
      <c r="E38" s="3">
        <v>3.0</v>
      </c>
      <c r="F38" s="3" t="s">
        <v>27</v>
      </c>
      <c r="G38" s="3">
        <v>7.95</v>
      </c>
      <c r="I38" s="3">
        <v>8.15</v>
      </c>
      <c r="K38" s="3">
        <v>0.0</v>
      </c>
      <c r="L38" s="3">
        <v>0.0</v>
      </c>
      <c r="M38" s="3" t="s">
        <v>67</v>
      </c>
      <c r="N38" s="3">
        <v>0.9993</v>
      </c>
      <c r="O38" s="3">
        <v>0.0</v>
      </c>
      <c r="P38" s="3">
        <v>0.0422</v>
      </c>
      <c r="Q38" s="3">
        <v>0.0</v>
      </c>
      <c r="R38" s="3">
        <v>0.4045</v>
      </c>
      <c r="S38" s="3">
        <v>11.03</v>
      </c>
      <c r="T38" s="3">
        <v>39.0</v>
      </c>
      <c r="U38" s="3">
        <f t="shared" si="2"/>
        <v>8.05</v>
      </c>
      <c r="V38" s="3"/>
      <c r="W38" s="3">
        <f t="shared" si="3"/>
        <v>8.030324982</v>
      </c>
      <c r="X38" s="3">
        <f t="shared" si="4"/>
        <v>8.262304537</v>
      </c>
      <c r="Y38" s="3">
        <f t="shared" si="5"/>
        <v>8.103175088</v>
      </c>
      <c r="Z38" s="3">
        <f t="shared" ref="Z38:AA38" si="41">_xlfn.NORM.S.DIST(X38)</f>
        <v>1</v>
      </c>
      <c r="AA38" s="3">
        <f t="shared" si="41"/>
        <v>1</v>
      </c>
    </row>
    <row r="39" ht="14.25" customHeight="1">
      <c r="A39" s="3" t="s">
        <v>166</v>
      </c>
      <c r="B39" s="3" t="s">
        <v>167</v>
      </c>
      <c r="C39" s="3" t="s">
        <v>129</v>
      </c>
      <c r="D39" s="3" t="s">
        <v>29</v>
      </c>
      <c r="E39" s="3">
        <v>3.0</v>
      </c>
      <c r="F39" s="3" t="s">
        <v>27</v>
      </c>
      <c r="G39" s="3">
        <v>8.1</v>
      </c>
      <c r="I39" s="3">
        <v>8.2</v>
      </c>
      <c r="K39" s="3">
        <v>0.0</v>
      </c>
      <c r="L39" s="3">
        <v>0.0</v>
      </c>
      <c r="M39" s="3" t="s">
        <v>68</v>
      </c>
      <c r="N39" s="3">
        <v>0.9993</v>
      </c>
      <c r="O39" s="3">
        <v>0.0</v>
      </c>
      <c r="P39" s="3">
        <v>0.0419</v>
      </c>
      <c r="Q39" s="3">
        <v>0.0</v>
      </c>
      <c r="R39" s="3">
        <v>0.5454</v>
      </c>
      <c r="S39" s="3">
        <v>11.13</v>
      </c>
      <c r="T39" s="3">
        <v>38.0</v>
      </c>
      <c r="U39" s="3">
        <f t="shared" si="2"/>
        <v>8.15</v>
      </c>
      <c r="V39" s="3"/>
      <c r="W39" s="3">
        <f t="shared" si="3"/>
        <v>8.13031665</v>
      </c>
      <c r="X39" s="3">
        <f t="shared" si="4"/>
        <v>6.296620899</v>
      </c>
      <c r="Y39" s="3">
        <f t="shared" si="5"/>
        <v>6.084830309</v>
      </c>
      <c r="Z39" s="3">
        <f t="shared" ref="Z39:AA39" si="42">_xlfn.NORM.S.DIST(X39)</f>
        <v>0.9999999998</v>
      </c>
      <c r="AA39" s="3">
        <f t="shared" si="42"/>
        <v>0.9999999994</v>
      </c>
    </row>
    <row r="40" ht="14.25" customHeight="1">
      <c r="A40" s="3" t="s">
        <v>166</v>
      </c>
      <c r="B40" s="3" t="s">
        <v>167</v>
      </c>
      <c r="C40" s="3" t="s">
        <v>129</v>
      </c>
      <c r="D40" s="3" t="s">
        <v>29</v>
      </c>
      <c r="E40" s="3">
        <v>3.0</v>
      </c>
      <c r="F40" s="3" t="s">
        <v>27</v>
      </c>
      <c r="G40" s="3">
        <v>8.2</v>
      </c>
      <c r="I40" s="3">
        <v>8.4</v>
      </c>
      <c r="K40" s="3">
        <v>0.0</v>
      </c>
      <c r="L40" s="3">
        <v>0.0</v>
      </c>
      <c r="M40" s="3" t="s">
        <v>69</v>
      </c>
      <c r="N40" s="3">
        <v>0.9993</v>
      </c>
      <c r="O40" s="3">
        <v>0.0</v>
      </c>
      <c r="P40" s="3">
        <v>0.0441</v>
      </c>
      <c r="Q40" s="3">
        <v>0.0</v>
      </c>
      <c r="R40" s="3">
        <v>0.3739</v>
      </c>
      <c r="S40" s="3">
        <v>11.3</v>
      </c>
      <c r="T40" s="3">
        <v>37.0</v>
      </c>
      <c r="U40" s="3">
        <f t="shared" si="2"/>
        <v>8.3</v>
      </c>
      <c r="V40" s="3"/>
      <c r="W40" s="3">
        <f t="shared" si="3"/>
        <v>8.300308317</v>
      </c>
      <c r="X40" s="3">
        <f t="shared" si="4"/>
        <v>9.328917076</v>
      </c>
      <c r="Y40" s="3">
        <f t="shared" si="5"/>
        <v>9.185646813</v>
      </c>
      <c r="Z40" s="3">
        <f t="shared" ref="Z40:AA40" si="43">_xlfn.NORM.S.DIST(X40)</f>
        <v>1</v>
      </c>
      <c r="AA40" s="3">
        <f t="shared" si="43"/>
        <v>1</v>
      </c>
    </row>
    <row r="41" ht="14.25" customHeight="1">
      <c r="A41" s="3" t="s">
        <v>166</v>
      </c>
      <c r="B41" s="3" t="s">
        <v>167</v>
      </c>
      <c r="C41" s="3" t="s">
        <v>129</v>
      </c>
      <c r="D41" s="3" t="s">
        <v>29</v>
      </c>
      <c r="E41" s="3">
        <v>3.0</v>
      </c>
      <c r="F41" s="3" t="s">
        <v>27</v>
      </c>
      <c r="G41" s="3">
        <v>8.2</v>
      </c>
      <c r="I41" s="3">
        <v>8.25</v>
      </c>
      <c r="K41" s="3">
        <v>0.0</v>
      </c>
      <c r="L41" s="3">
        <v>0.0</v>
      </c>
      <c r="M41" s="3" t="s">
        <v>70</v>
      </c>
      <c r="N41" s="3">
        <v>0.9997</v>
      </c>
      <c r="O41" s="3">
        <v>0.0</v>
      </c>
      <c r="P41" s="3">
        <v>0.0168</v>
      </c>
      <c r="Q41" s="3">
        <v>0.0</v>
      </c>
      <c r="R41" s="3">
        <v>0.4101</v>
      </c>
      <c r="S41" s="3">
        <v>11.23</v>
      </c>
      <c r="T41" s="3">
        <v>36.0</v>
      </c>
      <c r="U41" s="3">
        <f t="shared" si="2"/>
        <v>8.225</v>
      </c>
      <c r="V41" s="3"/>
      <c r="W41" s="3">
        <f t="shared" si="3"/>
        <v>8.230299985</v>
      </c>
      <c r="X41" s="3">
        <f t="shared" si="4"/>
        <v>8.593946575</v>
      </c>
      <c r="Y41" s="3">
        <f t="shared" si="5"/>
        <v>8.438943344</v>
      </c>
      <c r="Z41" s="3">
        <f t="shared" ref="Z41:AA41" si="44">_xlfn.NORM.S.DIST(X41)</f>
        <v>1</v>
      </c>
      <c r="AA41" s="3">
        <f t="shared" si="44"/>
        <v>1</v>
      </c>
    </row>
    <row r="42" ht="14.25" customHeight="1">
      <c r="A42" s="3" t="s">
        <v>166</v>
      </c>
      <c r="B42" s="3" t="s">
        <v>167</v>
      </c>
      <c r="C42" s="3" t="s">
        <v>129</v>
      </c>
      <c r="D42" s="3" t="s">
        <v>29</v>
      </c>
      <c r="E42" s="3">
        <v>3.0</v>
      </c>
      <c r="F42" s="3" t="s">
        <v>27</v>
      </c>
      <c r="G42" s="3">
        <v>8.3</v>
      </c>
      <c r="I42" s="3">
        <v>8.45</v>
      </c>
      <c r="K42" s="3">
        <v>0.0</v>
      </c>
      <c r="L42" s="3">
        <v>0.0</v>
      </c>
      <c r="M42" s="3" t="s">
        <v>71</v>
      </c>
      <c r="N42" s="3">
        <v>1.0</v>
      </c>
      <c r="O42" s="3">
        <v>0.0</v>
      </c>
      <c r="P42" s="3">
        <v>-0.0085</v>
      </c>
      <c r="Q42" s="3">
        <v>0.0</v>
      </c>
      <c r="R42" s="3">
        <v>0.6087</v>
      </c>
      <c r="S42" s="3">
        <v>11.34</v>
      </c>
      <c r="T42" s="3">
        <v>35.0</v>
      </c>
      <c r="U42" s="3">
        <f t="shared" si="2"/>
        <v>8.375</v>
      </c>
      <c r="V42" s="3"/>
      <c r="W42" s="3">
        <f t="shared" si="3"/>
        <v>8.340291653</v>
      </c>
      <c r="X42" s="3">
        <f t="shared" si="4"/>
        <v>5.975564858</v>
      </c>
      <c r="Y42" s="3">
        <f t="shared" si="5"/>
        <v>5.748715762</v>
      </c>
      <c r="Z42" s="3">
        <f t="shared" ref="Z42:AA42" si="45">_xlfn.NORM.S.DIST(X42)</f>
        <v>0.9999999989</v>
      </c>
      <c r="AA42" s="3">
        <f t="shared" si="45"/>
        <v>0.9999999955</v>
      </c>
    </row>
    <row r="43" ht="14.25" customHeight="1">
      <c r="A43" s="3" t="s">
        <v>166</v>
      </c>
      <c r="B43" s="3" t="s">
        <v>167</v>
      </c>
      <c r="C43" s="3" t="s">
        <v>129</v>
      </c>
      <c r="D43" s="3" t="s">
        <v>29</v>
      </c>
      <c r="E43" s="3">
        <v>3.0</v>
      </c>
      <c r="F43" s="3" t="s">
        <v>27</v>
      </c>
      <c r="G43" s="3">
        <v>8.4</v>
      </c>
      <c r="I43" s="3">
        <v>8.45</v>
      </c>
      <c r="K43" s="3">
        <v>0.0</v>
      </c>
      <c r="L43" s="3">
        <v>0.0</v>
      </c>
      <c r="M43" s="3" t="s">
        <v>72</v>
      </c>
      <c r="N43" s="3">
        <v>1.0</v>
      </c>
      <c r="O43" s="3">
        <v>0.0</v>
      </c>
      <c r="P43" s="3">
        <v>-0.0085</v>
      </c>
      <c r="Q43" s="3">
        <v>0.0</v>
      </c>
      <c r="R43" s="3">
        <v>0.4528</v>
      </c>
      <c r="S43" s="3">
        <v>11.41</v>
      </c>
      <c r="T43" s="3">
        <v>34.0</v>
      </c>
      <c r="U43" s="3">
        <f t="shared" si="2"/>
        <v>8.425</v>
      </c>
      <c r="V43" s="3"/>
      <c r="W43" s="3">
        <f t="shared" si="3"/>
        <v>8.41028332</v>
      </c>
      <c r="X43" s="3">
        <f t="shared" si="4"/>
        <v>8.115680921</v>
      </c>
      <c r="Y43" s="3">
        <f t="shared" si="5"/>
        <v>7.949360488</v>
      </c>
      <c r="Z43" s="3">
        <f t="shared" ref="Z43:AA43" si="46">_xlfn.NORM.S.DIST(X43)</f>
        <v>1</v>
      </c>
      <c r="AA43" s="3">
        <f t="shared" si="46"/>
        <v>1</v>
      </c>
    </row>
    <row r="44" ht="14.25" customHeight="1">
      <c r="A44" s="3" t="s">
        <v>166</v>
      </c>
      <c r="B44" s="3" t="s">
        <v>167</v>
      </c>
      <c r="C44" s="3" t="s">
        <v>129</v>
      </c>
      <c r="D44" s="3" t="s">
        <v>29</v>
      </c>
      <c r="E44" s="3">
        <v>3.0</v>
      </c>
      <c r="F44" s="3" t="s">
        <v>27</v>
      </c>
      <c r="G44" s="3">
        <v>8.5</v>
      </c>
      <c r="I44" s="3">
        <v>8.6</v>
      </c>
      <c r="K44" s="3">
        <v>0.0</v>
      </c>
      <c r="L44" s="3">
        <v>0.0</v>
      </c>
      <c r="M44" s="3" t="s">
        <v>73</v>
      </c>
      <c r="N44" s="3">
        <v>1.0</v>
      </c>
      <c r="O44" s="3">
        <v>0.0</v>
      </c>
      <c r="P44" s="3">
        <v>-0.0085</v>
      </c>
      <c r="Q44" s="3">
        <v>0.0</v>
      </c>
      <c r="R44" s="3">
        <v>0.441</v>
      </c>
      <c r="S44" s="3">
        <v>11.55</v>
      </c>
      <c r="T44" s="3">
        <v>33.0</v>
      </c>
      <c r="U44" s="3">
        <f t="shared" si="2"/>
        <v>8.55</v>
      </c>
      <c r="V44" s="3"/>
      <c r="W44" s="3">
        <f t="shared" si="3"/>
        <v>8.550274987</v>
      </c>
      <c r="X44" s="3">
        <f t="shared" si="4"/>
        <v>8.527672378</v>
      </c>
      <c r="Y44" s="3">
        <f t="shared" si="5"/>
        <v>8.368086195</v>
      </c>
      <c r="Z44" s="3">
        <f t="shared" ref="Z44:AA44" si="47">_xlfn.NORM.S.DIST(X44)</f>
        <v>1</v>
      </c>
      <c r="AA44" s="3">
        <f t="shared" si="47"/>
        <v>1</v>
      </c>
    </row>
    <row r="45" ht="14.25" customHeight="1">
      <c r="A45" s="3" t="s">
        <v>166</v>
      </c>
      <c r="B45" s="3" t="s">
        <v>167</v>
      </c>
      <c r="C45" s="3" t="s">
        <v>129</v>
      </c>
      <c r="D45" s="3" t="s">
        <v>29</v>
      </c>
      <c r="E45" s="3">
        <v>3.0</v>
      </c>
      <c r="F45" s="3" t="s">
        <v>27</v>
      </c>
      <c r="G45" s="3">
        <v>8.85</v>
      </c>
      <c r="I45" s="3">
        <v>8.95</v>
      </c>
      <c r="K45" s="3">
        <v>0.0</v>
      </c>
      <c r="L45" s="3">
        <v>0.0</v>
      </c>
      <c r="M45" s="3" t="s">
        <v>74</v>
      </c>
      <c r="N45" s="3">
        <v>1.0</v>
      </c>
      <c r="O45" s="3">
        <v>0.0</v>
      </c>
      <c r="P45" s="3">
        <v>-0.0085</v>
      </c>
      <c r="Q45" s="3">
        <v>0.0</v>
      </c>
      <c r="R45" s="3">
        <v>0.4435</v>
      </c>
      <c r="S45" s="3">
        <v>11.92</v>
      </c>
      <c r="T45" s="3">
        <v>32.0</v>
      </c>
      <c r="U45" s="3">
        <f t="shared" si="2"/>
        <v>8.9</v>
      </c>
      <c r="V45" s="3"/>
      <c r="W45" s="3">
        <f t="shared" si="3"/>
        <v>8.920266655</v>
      </c>
      <c r="X45" s="3">
        <f t="shared" si="4"/>
        <v>8.809025697</v>
      </c>
      <c r="Y45" s="3">
        <f t="shared" si="5"/>
        <v>8.650985216</v>
      </c>
      <c r="Z45" s="3">
        <f t="shared" ref="Z45:AA45" si="48">_xlfn.NORM.S.DIST(X45)</f>
        <v>1</v>
      </c>
      <c r="AA45" s="3">
        <f t="shared" si="48"/>
        <v>1</v>
      </c>
    </row>
    <row r="46" ht="14.25" customHeight="1">
      <c r="A46" s="3" t="s">
        <v>166</v>
      </c>
      <c r="B46" s="3" t="s">
        <v>167</v>
      </c>
      <c r="C46" s="3" t="s">
        <v>129</v>
      </c>
      <c r="D46" s="3" t="s">
        <v>29</v>
      </c>
      <c r="E46" s="3">
        <v>3.0</v>
      </c>
      <c r="F46" s="3" t="s">
        <v>27</v>
      </c>
      <c r="G46" s="3">
        <v>9.2</v>
      </c>
      <c r="I46" s="3">
        <v>9.3</v>
      </c>
      <c r="K46" s="3">
        <v>0.0</v>
      </c>
      <c r="L46" s="3">
        <v>0.0</v>
      </c>
      <c r="M46" s="3" t="s">
        <v>75</v>
      </c>
      <c r="N46" s="3">
        <v>1.0</v>
      </c>
      <c r="O46" s="3">
        <v>0.0</v>
      </c>
      <c r="P46" s="3">
        <v>-0.0085</v>
      </c>
      <c r="Q46" s="3">
        <v>0.0</v>
      </c>
      <c r="R46" s="3">
        <v>0.4184</v>
      </c>
      <c r="S46" s="3">
        <v>12.26</v>
      </c>
      <c r="T46" s="3">
        <v>31.0</v>
      </c>
      <c r="U46" s="3">
        <f t="shared" si="2"/>
        <v>9.25</v>
      </c>
      <c r="V46" s="3"/>
      <c r="W46" s="3">
        <f t="shared" si="3"/>
        <v>9.260258322</v>
      </c>
      <c r="X46" s="3">
        <f t="shared" si="4"/>
        <v>9.666796436</v>
      </c>
      <c r="Y46" s="3">
        <f t="shared" si="5"/>
        <v>9.520048415</v>
      </c>
      <c r="Z46" s="3">
        <f t="shared" ref="Z46:AA46" si="49">_xlfn.NORM.S.DIST(X46)</f>
        <v>1</v>
      </c>
      <c r="AA46" s="3">
        <f t="shared" si="49"/>
        <v>1</v>
      </c>
    </row>
    <row r="47" ht="14.25" customHeight="1">
      <c r="A47" s="3" t="s">
        <v>166</v>
      </c>
      <c r="B47" s="3" t="s">
        <v>167</v>
      </c>
      <c r="C47" s="3" t="s">
        <v>129</v>
      </c>
      <c r="D47" s="3" t="s">
        <v>29</v>
      </c>
      <c r="E47" s="3">
        <v>3.0</v>
      </c>
      <c r="F47" s="3" t="s">
        <v>27</v>
      </c>
      <c r="G47" s="3">
        <v>9.05</v>
      </c>
      <c r="I47" s="3">
        <v>9.1</v>
      </c>
      <c r="K47" s="3">
        <v>0.0</v>
      </c>
      <c r="L47" s="3">
        <v>0.0</v>
      </c>
      <c r="M47" s="3" t="s">
        <v>76</v>
      </c>
      <c r="N47" s="3">
        <v>1.0</v>
      </c>
      <c r="O47" s="3">
        <v>0.0</v>
      </c>
      <c r="P47" s="3">
        <v>-0.0085</v>
      </c>
      <c r="Q47" s="3">
        <v>0.0</v>
      </c>
      <c r="R47" s="3">
        <v>0.3693</v>
      </c>
      <c r="S47" s="3">
        <v>12.07</v>
      </c>
      <c r="T47" s="3">
        <v>30.0</v>
      </c>
      <c r="U47" s="3">
        <f t="shared" si="2"/>
        <v>9.075</v>
      </c>
      <c r="V47" s="3"/>
      <c r="W47" s="3">
        <f t="shared" si="3"/>
        <v>9.07024999</v>
      </c>
      <c r="X47" s="3">
        <f t="shared" si="4"/>
        <v>10.98968318</v>
      </c>
      <c r="Y47" s="3">
        <f t="shared" si="5"/>
        <v>10.86226257</v>
      </c>
      <c r="Z47" s="3">
        <f t="shared" ref="Z47:AA47" si="50">_xlfn.NORM.S.DIST(X47)</f>
        <v>1</v>
      </c>
      <c r="AA47" s="3">
        <f t="shared" si="50"/>
        <v>1</v>
      </c>
    </row>
    <row r="48" ht="14.25" customHeight="1">
      <c r="A48" s="3" t="s">
        <v>166</v>
      </c>
      <c r="B48" s="3" t="s">
        <v>167</v>
      </c>
      <c r="C48" s="3" t="s">
        <v>129</v>
      </c>
      <c r="D48" s="3" t="s">
        <v>29</v>
      </c>
      <c r="E48" s="3">
        <v>3.0</v>
      </c>
      <c r="F48" s="3" t="s">
        <v>27</v>
      </c>
      <c r="G48" s="3">
        <v>9.1</v>
      </c>
      <c r="I48" s="3">
        <v>9.2</v>
      </c>
      <c r="K48" s="3">
        <v>0.0</v>
      </c>
      <c r="L48" s="3">
        <v>0.0</v>
      </c>
      <c r="M48" s="3" t="s">
        <v>77</v>
      </c>
      <c r="N48" s="3">
        <v>1.0</v>
      </c>
      <c r="O48" s="3">
        <v>0.0</v>
      </c>
      <c r="P48" s="3">
        <v>-0.0085</v>
      </c>
      <c r="Q48" s="3">
        <v>0.0</v>
      </c>
      <c r="R48" s="3">
        <v>0.3227</v>
      </c>
      <c r="S48" s="3">
        <v>12.15</v>
      </c>
      <c r="T48" s="3">
        <v>29.0</v>
      </c>
      <c r="U48" s="3">
        <f t="shared" si="2"/>
        <v>9.15</v>
      </c>
      <c r="V48" s="3"/>
      <c r="W48" s="3">
        <f t="shared" si="3"/>
        <v>9.150241657</v>
      </c>
      <c r="X48" s="3">
        <f t="shared" si="4"/>
        <v>12.83256615</v>
      </c>
      <c r="Y48" s="3">
        <f t="shared" si="5"/>
        <v>12.7230955</v>
      </c>
      <c r="Z48" s="3">
        <f t="shared" ref="Z48:AA48" si="51">_xlfn.NORM.S.DIST(X48)</f>
        <v>1</v>
      </c>
      <c r="AA48" s="3">
        <f t="shared" si="51"/>
        <v>1</v>
      </c>
    </row>
    <row r="49" ht="14.25" customHeight="1">
      <c r="A49" s="3" t="s">
        <v>166</v>
      </c>
      <c r="B49" s="3" t="s">
        <v>167</v>
      </c>
      <c r="C49" s="3" t="s">
        <v>129</v>
      </c>
      <c r="D49" s="3" t="s">
        <v>29</v>
      </c>
      <c r="E49" s="3">
        <v>3.0</v>
      </c>
      <c r="F49" s="3" t="s">
        <v>27</v>
      </c>
      <c r="G49" s="3">
        <v>8.95</v>
      </c>
      <c r="I49" s="3">
        <v>9.05</v>
      </c>
      <c r="K49" s="3">
        <v>0.0</v>
      </c>
      <c r="L49" s="3">
        <v>0.0</v>
      </c>
      <c r="M49" s="3" t="s">
        <v>78</v>
      </c>
      <c r="N49" s="3">
        <v>1.0</v>
      </c>
      <c r="O49" s="3">
        <v>0.0</v>
      </c>
      <c r="P49" s="3">
        <v>-0.0085</v>
      </c>
      <c r="Q49" s="3">
        <v>0.0</v>
      </c>
      <c r="R49" s="3">
        <v>0.3457</v>
      </c>
      <c r="S49" s="3">
        <v>12.01</v>
      </c>
      <c r="T49" s="3">
        <v>28.0</v>
      </c>
      <c r="U49" s="3">
        <f t="shared" si="2"/>
        <v>9</v>
      </c>
      <c r="V49" s="3"/>
      <c r="W49" s="3">
        <f t="shared" si="3"/>
        <v>9.010233324</v>
      </c>
      <c r="X49" s="3">
        <f t="shared" si="4"/>
        <v>12.09584454</v>
      </c>
      <c r="Y49" s="3">
        <f t="shared" si="5"/>
        <v>11.98061121</v>
      </c>
      <c r="Z49" s="3">
        <f t="shared" ref="Z49:AA49" si="52">_xlfn.NORM.S.DIST(X49)</f>
        <v>1</v>
      </c>
      <c r="AA49" s="3">
        <f t="shared" si="52"/>
        <v>1</v>
      </c>
    </row>
    <row r="50" ht="14.25" customHeight="1">
      <c r="A50" s="3" t="s">
        <v>166</v>
      </c>
      <c r="B50" s="3" t="s">
        <v>167</v>
      </c>
      <c r="C50" s="3" t="s">
        <v>129</v>
      </c>
      <c r="D50" s="3" t="s">
        <v>29</v>
      </c>
      <c r="E50" s="3">
        <v>3.0</v>
      </c>
      <c r="F50" s="3" t="s">
        <v>27</v>
      </c>
      <c r="G50" s="3">
        <v>9.0</v>
      </c>
      <c r="I50" s="3">
        <v>9.1</v>
      </c>
      <c r="K50" s="3">
        <v>0.0</v>
      </c>
      <c r="L50" s="3">
        <v>0.0</v>
      </c>
      <c r="M50" s="3" t="s">
        <v>79</v>
      </c>
      <c r="N50" s="3">
        <v>1.0</v>
      </c>
      <c r="O50" s="3">
        <v>0.0</v>
      </c>
      <c r="P50" s="3">
        <v>-0.0085</v>
      </c>
      <c r="Q50" s="3">
        <v>0.0</v>
      </c>
      <c r="R50" s="3">
        <v>0.3217</v>
      </c>
      <c r="S50" s="3">
        <v>12.06</v>
      </c>
      <c r="T50" s="3">
        <v>27.0</v>
      </c>
      <c r="U50" s="3">
        <f t="shared" si="2"/>
        <v>9.05</v>
      </c>
      <c r="V50" s="3"/>
      <c r="W50" s="3">
        <f t="shared" si="3"/>
        <v>9.060224992</v>
      </c>
      <c r="X50" s="3">
        <f t="shared" si="4"/>
        <v>13.26578559</v>
      </c>
      <c r="Y50" s="3">
        <f t="shared" si="5"/>
        <v>13.16048454</v>
      </c>
      <c r="Z50" s="3">
        <f t="shared" ref="Z50:AA50" si="53">_xlfn.NORM.S.DIST(X50)</f>
        <v>1</v>
      </c>
      <c r="AA50" s="3">
        <f t="shared" si="53"/>
        <v>1</v>
      </c>
    </row>
    <row r="51" ht="14.25" customHeight="1">
      <c r="A51" s="3" t="s">
        <v>166</v>
      </c>
      <c r="B51" s="3" t="s">
        <v>167</v>
      </c>
      <c r="C51" s="3" t="s">
        <v>129</v>
      </c>
      <c r="D51" s="3" t="s">
        <v>29</v>
      </c>
      <c r="E51" s="3">
        <v>3.0</v>
      </c>
      <c r="F51" s="3" t="s">
        <v>27</v>
      </c>
      <c r="G51" s="3">
        <v>9.1</v>
      </c>
      <c r="I51" s="3">
        <v>9.65</v>
      </c>
      <c r="K51" s="3">
        <v>0.0</v>
      </c>
      <c r="L51" s="3">
        <v>0.0</v>
      </c>
      <c r="M51" s="3" t="s">
        <v>80</v>
      </c>
      <c r="N51" s="3">
        <v>1.0</v>
      </c>
      <c r="O51" s="3">
        <v>0.0</v>
      </c>
      <c r="P51" s="3">
        <v>-0.0085</v>
      </c>
      <c r="Q51" s="3">
        <v>0.0</v>
      </c>
      <c r="R51" s="3">
        <v>0.385</v>
      </c>
      <c r="S51" s="3">
        <v>12.11</v>
      </c>
      <c r="T51" s="3">
        <v>26.0</v>
      </c>
      <c r="U51" s="3">
        <f t="shared" si="2"/>
        <v>9.375</v>
      </c>
      <c r="V51" s="3"/>
      <c r="W51" s="3">
        <f t="shared" si="3"/>
        <v>9.110216659</v>
      </c>
      <c r="X51" s="3">
        <f t="shared" si="4"/>
        <v>11.34627379</v>
      </c>
      <c r="Y51" s="3">
        <f t="shared" si="5"/>
        <v>11.2226087</v>
      </c>
      <c r="Z51" s="3">
        <f t="shared" ref="Z51:AA51" si="54">_xlfn.NORM.S.DIST(X51)</f>
        <v>1</v>
      </c>
      <c r="AA51" s="3">
        <f t="shared" si="54"/>
        <v>1</v>
      </c>
    </row>
    <row r="52" ht="14.25" customHeight="1">
      <c r="A52" s="3" t="s">
        <v>166</v>
      </c>
      <c r="B52" s="3" t="s">
        <v>167</v>
      </c>
      <c r="C52" s="3" t="s">
        <v>129</v>
      </c>
      <c r="D52" s="3" t="s">
        <v>29</v>
      </c>
      <c r="E52" s="3">
        <v>3.0</v>
      </c>
      <c r="F52" s="3" t="s">
        <v>27</v>
      </c>
      <c r="G52" s="3">
        <v>9.0</v>
      </c>
      <c r="I52" s="3">
        <v>10.0</v>
      </c>
      <c r="K52" s="3">
        <v>0.0</v>
      </c>
      <c r="L52" s="3">
        <v>0.0</v>
      </c>
      <c r="M52" s="3" t="s">
        <v>81</v>
      </c>
      <c r="N52" s="3">
        <v>1.0</v>
      </c>
      <c r="O52" s="3">
        <v>0.0</v>
      </c>
      <c r="P52" s="3">
        <v>-0.0085</v>
      </c>
      <c r="Q52" s="3">
        <v>0.0</v>
      </c>
      <c r="R52" s="3">
        <v>0.429</v>
      </c>
      <c r="S52" s="3">
        <v>12.57</v>
      </c>
      <c r="T52" s="3">
        <v>25.0</v>
      </c>
      <c r="U52" s="3">
        <f t="shared" si="2"/>
        <v>9.5</v>
      </c>
      <c r="V52" s="3"/>
      <c r="W52" s="3">
        <f t="shared" si="3"/>
        <v>9.570208326</v>
      </c>
      <c r="X52" s="3">
        <f t="shared" si="4"/>
        <v>10.67106766</v>
      </c>
      <c r="Y52" s="3">
        <f t="shared" si="5"/>
        <v>10.53594536</v>
      </c>
      <c r="Z52" s="3">
        <f t="shared" ref="Z52:AA52" si="55">_xlfn.NORM.S.DIST(X52)</f>
        <v>1</v>
      </c>
      <c r="AA52" s="3">
        <f t="shared" si="55"/>
        <v>1</v>
      </c>
    </row>
    <row r="53" ht="14.25" customHeight="1">
      <c r="A53" s="3" t="s">
        <v>166</v>
      </c>
      <c r="B53" s="3" t="s">
        <v>167</v>
      </c>
      <c r="C53" s="3" t="s">
        <v>129</v>
      </c>
      <c r="D53" s="3" t="s">
        <v>29</v>
      </c>
      <c r="E53" s="3">
        <v>3.0</v>
      </c>
      <c r="F53" s="3" t="s">
        <v>27</v>
      </c>
      <c r="G53" s="3">
        <v>9.5</v>
      </c>
      <c r="I53" s="3">
        <v>9.6</v>
      </c>
      <c r="K53" s="3">
        <v>0.0</v>
      </c>
      <c r="L53" s="3">
        <v>0.0</v>
      </c>
      <c r="M53" s="3" t="s">
        <v>82</v>
      </c>
      <c r="N53" s="3">
        <v>1.0</v>
      </c>
      <c r="O53" s="3">
        <v>0.0</v>
      </c>
      <c r="P53" s="3">
        <v>-0.0085</v>
      </c>
      <c r="Q53" s="3">
        <v>0.0</v>
      </c>
      <c r="R53" s="3">
        <v>0.4215</v>
      </c>
      <c r="S53" s="3">
        <v>12.56</v>
      </c>
      <c r="T53" s="3">
        <v>24.0</v>
      </c>
      <c r="U53" s="3">
        <f t="shared" si="2"/>
        <v>9.55</v>
      </c>
      <c r="V53" s="3"/>
      <c r="W53" s="3">
        <f t="shared" si="3"/>
        <v>9.560199993</v>
      </c>
      <c r="X53" s="3">
        <f t="shared" si="4"/>
        <v>11.07362277</v>
      </c>
      <c r="Y53" s="3">
        <f t="shared" si="5"/>
        <v>10.94354504</v>
      </c>
      <c r="Z53" s="3">
        <f t="shared" ref="Z53:AA53" si="56">_xlfn.NORM.S.DIST(X53)</f>
        <v>1</v>
      </c>
      <c r="AA53" s="3">
        <f t="shared" si="56"/>
        <v>1</v>
      </c>
    </row>
    <row r="54" ht="14.25" customHeight="1">
      <c r="A54" s="3" t="s">
        <v>166</v>
      </c>
      <c r="B54" s="3" t="s">
        <v>167</v>
      </c>
      <c r="C54" s="3" t="s">
        <v>129</v>
      </c>
      <c r="D54" s="3" t="s">
        <v>29</v>
      </c>
      <c r="E54" s="3">
        <v>3.0</v>
      </c>
      <c r="F54" s="3" t="s">
        <v>27</v>
      </c>
      <c r="G54" s="3">
        <v>9.65</v>
      </c>
      <c r="I54" s="3">
        <v>9.75</v>
      </c>
      <c r="K54" s="3">
        <v>0.0</v>
      </c>
      <c r="L54" s="3">
        <v>0.0</v>
      </c>
      <c r="M54" s="3" t="s">
        <v>83</v>
      </c>
      <c r="N54" s="3">
        <v>1.0</v>
      </c>
      <c r="O54" s="3">
        <v>0.0</v>
      </c>
      <c r="P54" s="3">
        <v>-0.0085</v>
      </c>
      <c r="Q54" s="3">
        <v>0.0</v>
      </c>
      <c r="R54" s="3">
        <v>0.4462</v>
      </c>
      <c r="S54" s="3">
        <v>12.71</v>
      </c>
      <c r="T54" s="3">
        <v>23.0</v>
      </c>
      <c r="U54" s="3">
        <f t="shared" si="2"/>
        <v>9.7</v>
      </c>
      <c r="V54" s="3"/>
      <c r="W54" s="3">
        <f t="shared" si="3"/>
        <v>9.710191661</v>
      </c>
      <c r="X54" s="3">
        <f t="shared" si="4"/>
        <v>10.77830291</v>
      </c>
      <c r="Y54" s="3">
        <f t="shared" si="5"/>
        <v>10.64350188</v>
      </c>
      <c r="Z54" s="3">
        <f t="shared" ref="Z54:AA54" si="57">_xlfn.NORM.S.DIST(X54)</f>
        <v>1</v>
      </c>
      <c r="AA54" s="3">
        <f t="shared" si="57"/>
        <v>1</v>
      </c>
    </row>
    <row r="55" ht="14.25" customHeight="1">
      <c r="A55" s="3" t="s">
        <v>166</v>
      </c>
      <c r="B55" s="3" t="s">
        <v>167</v>
      </c>
      <c r="C55" s="3" t="s">
        <v>129</v>
      </c>
      <c r="D55" s="3" t="s">
        <v>29</v>
      </c>
      <c r="E55" s="3">
        <v>3.0</v>
      </c>
      <c r="F55" s="3" t="s">
        <v>27</v>
      </c>
      <c r="G55" s="3">
        <v>9.75</v>
      </c>
      <c r="I55" s="3">
        <v>9.85</v>
      </c>
      <c r="K55" s="3">
        <v>0.0</v>
      </c>
      <c r="L55" s="3">
        <v>0.0</v>
      </c>
      <c r="M55" s="3" t="s">
        <v>84</v>
      </c>
      <c r="N55" s="3">
        <v>1.0</v>
      </c>
      <c r="O55" s="3">
        <v>0.0</v>
      </c>
      <c r="P55" s="3">
        <v>-0.0085</v>
      </c>
      <c r="Q55" s="3">
        <v>0.0</v>
      </c>
      <c r="R55" s="3">
        <v>0.709</v>
      </c>
      <c r="S55" s="3">
        <v>12.78</v>
      </c>
      <c r="T55" s="3">
        <v>22.0</v>
      </c>
      <c r="U55" s="3">
        <f t="shared" si="2"/>
        <v>9.8</v>
      </c>
      <c r="V55" s="3"/>
      <c r="W55" s="3">
        <f t="shared" si="3"/>
        <v>9.780183328</v>
      </c>
      <c r="X55" s="3">
        <f t="shared" si="4"/>
        <v>7.02321349</v>
      </c>
      <c r="Y55" s="3">
        <f t="shared" si="5"/>
        <v>6.81372638</v>
      </c>
      <c r="Z55" s="3">
        <f t="shared" ref="Z55:AA55" si="58">_xlfn.NORM.S.DIST(X55)</f>
        <v>1</v>
      </c>
      <c r="AA55" s="3">
        <f t="shared" si="58"/>
        <v>1</v>
      </c>
    </row>
    <row r="56" ht="14.25" customHeight="1">
      <c r="A56" s="3" t="s">
        <v>166</v>
      </c>
      <c r="B56" s="3" t="s">
        <v>167</v>
      </c>
      <c r="C56" s="3" t="s">
        <v>129</v>
      </c>
      <c r="D56" s="3" t="s">
        <v>29</v>
      </c>
      <c r="E56" s="3">
        <v>3.0</v>
      </c>
      <c r="F56" s="3" t="s">
        <v>27</v>
      </c>
      <c r="G56" s="3">
        <v>9.5</v>
      </c>
      <c r="I56" s="3">
        <v>9.65</v>
      </c>
      <c r="K56" s="3">
        <v>0.0</v>
      </c>
      <c r="L56" s="3">
        <v>0.0</v>
      </c>
      <c r="M56" s="3" t="s">
        <v>85</v>
      </c>
      <c r="N56" s="3">
        <v>1.0</v>
      </c>
      <c r="O56" s="3">
        <v>0.0</v>
      </c>
      <c r="P56" s="3">
        <v>-0.0085</v>
      </c>
      <c r="Q56" s="3">
        <v>0.0</v>
      </c>
      <c r="R56" s="3">
        <v>0.3484</v>
      </c>
      <c r="S56" s="3">
        <v>12.57</v>
      </c>
      <c r="T56" s="3">
        <v>21.0</v>
      </c>
      <c r="U56" s="3">
        <f t="shared" si="2"/>
        <v>9.575</v>
      </c>
      <c r="V56" s="3"/>
      <c r="W56" s="3">
        <f t="shared" si="3"/>
        <v>9.570174995</v>
      </c>
      <c r="X56" s="3">
        <f t="shared" si="4"/>
        <v>14.29604783</v>
      </c>
      <c r="Y56" s="3">
        <f t="shared" si="5"/>
        <v>14.19547341</v>
      </c>
      <c r="Z56" s="3">
        <f t="shared" ref="Z56:AA56" si="59">_xlfn.NORM.S.DIST(X56)</f>
        <v>1</v>
      </c>
      <c r="AA56" s="3">
        <f t="shared" si="59"/>
        <v>1</v>
      </c>
    </row>
    <row r="57" ht="14.25" customHeight="1">
      <c r="A57" s="3" t="s">
        <v>166</v>
      </c>
      <c r="B57" s="3" t="s">
        <v>167</v>
      </c>
      <c r="C57" s="3" t="s">
        <v>129</v>
      </c>
      <c r="D57" s="3" t="s">
        <v>29</v>
      </c>
      <c r="E57" s="3">
        <v>3.0</v>
      </c>
      <c r="F57" s="3" t="s">
        <v>27</v>
      </c>
      <c r="G57" s="3">
        <v>9.3</v>
      </c>
      <c r="I57" s="3">
        <v>9.6</v>
      </c>
      <c r="K57" s="3">
        <v>0.0</v>
      </c>
      <c r="L57" s="3">
        <v>0.0</v>
      </c>
      <c r="M57" s="3" t="s">
        <v>86</v>
      </c>
      <c r="N57" s="3">
        <v>1.0</v>
      </c>
      <c r="O57" s="3">
        <v>0.0</v>
      </c>
      <c r="P57" s="3">
        <v>-0.0085</v>
      </c>
      <c r="Q57" s="3">
        <v>0.0</v>
      </c>
      <c r="R57" s="3">
        <v>0.3531</v>
      </c>
      <c r="S57" s="3">
        <v>12.56</v>
      </c>
      <c r="T57" s="3">
        <v>20.0</v>
      </c>
      <c r="U57" s="3">
        <f t="shared" si="2"/>
        <v>9.45</v>
      </c>
      <c r="V57" s="3"/>
      <c r="W57" s="3">
        <f t="shared" si="3"/>
        <v>9.560166662</v>
      </c>
      <c r="X57" s="3">
        <f t="shared" si="4"/>
        <v>14.44496611</v>
      </c>
      <c r="Y57" s="3">
        <f t="shared" si="5"/>
        <v>14.34549145</v>
      </c>
      <c r="Z57" s="3">
        <f t="shared" ref="Z57:AA57" si="60">_xlfn.NORM.S.DIST(X57)</f>
        <v>1</v>
      </c>
      <c r="AA57" s="3">
        <f t="shared" si="60"/>
        <v>1</v>
      </c>
    </row>
    <row r="58" ht="14.25" customHeight="1">
      <c r="A58" s="3" t="s">
        <v>166</v>
      </c>
      <c r="B58" s="3" t="s">
        <v>167</v>
      </c>
      <c r="C58" s="3" t="s">
        <v>129</v>
      </c>
      <c r="D58" s="3" t="s">
        <v>29</v>
      </c>
      <c r="E58" s="3">
        <v>3.0</v>
      </c>
      <c r="F58" s="3" t="s">
        <v>27</v>
      </c>
      <c r="G58" s="3">
        <v>9.35</v>
      </c>
      <c r="I58" s="3">
        <v>9.45</v>
      </c>
      <c r="K58" s="3">
        <v>0.0</v>
      </c>
      <c r="L58" s="3">
        <v>0.0</v>
      </c>
      <c r="M58" s="3" t="s">
        <v>87</v>
      </c>
      <c r="N58" s="3">
        <v>1.0</v>
      </c>
      <c r="O58" s="3">
        <v>0.0</v>
      </c>
      <c r="P58" s="3">
        <v>-0.0085</v>
      </c>
      <c r="Q58" s="3">
        <v>0.0</v>
      </c>
      <c r="R58" s="3">
        <v>0.4416</v>
      </c>
      <c r="S58" s="3">
        <v>12.4</v>
      </c>
      <c r="T58" s="3">
        <v>19.0</v>
      </c>
      <c r="U58" s="3">
        <f t="shared" si="2"/>
        <v>9.4</v>
      </c>
      <c r="V58" s="3"/>
      <c r="W58" s="3">
        <f t="shared" si="3"/>
        <v>9.400158329</v>
      </c>
      <c r="X58" s="3">
        <f t="shared" si="4"/>
        <v>11.76420802</v>
      </c>
      <c r="Y58" s="3">
        <f t="shared" si="5"/>
        <v>11.64295136</v>
      </c>
      <c r="Z58" s="3">
        <f t="shared" ref="Z58:AA58" si="61">_xlfn.NORM.S.DIST(X58)</f>
        <v>1</v>
      </c>
      <c r="AA58" s="3">
        <f t="shared" si="61"/>
        <v>1</v>
      </c>
    </row>
    <row r="59" ht="14.25" customHeight="1">
      <c r="A59" s="3" t="s">
        <v>166</v>
      </c>
      <c r="B59" s="3" t="s">
        <v>167</v>
      </c>
      <c r="C59" s="3" t="s">
        <v>129</v>
      </c>
      <c r="D59" s="3" t="s">
        <v>29</v>
      </c>
      <c r="E59" s="3">
        <v>3.0</v>
      </c>
      <c r="F59" s="3" t="s">
        <v>27</v>
      </c>
      <c r="G59" s="3">
        <v>9.25</v>
      </c>
      <c r="I59" s="3">
        <v>9.35</v>
      </c>
      <c r="K59" s="3">
        <v>0.0</v>
      </c>
      <c r="L59" s="3">
        <v>0.0</v>
      </c>
      <c r="M59" s="3" t="s">
        <v>88</v>
      </c>
      <c r="N59" s="3">
        <v>1.0</v>
      </c>
      <c r="O59" s="3">
        <v>0.0</v>
      </c>
      <c r="P59" s="3">
        <v>-0.0085</v>
      </c>
      <c r="Q59" s="3">
        <v>0.0</v>
      </c>
      <c r="R59" s="3">
        <v>0.515</v>
      </c>
      <c r="S59" s="3">
        <v>12.28</v>
      </c>
      <c r="T59" s="3">
        <v>18.0</v>
      </c>
      <c r="U59" s="3">
        <f t="shared" si="2"/>
        <v>9.3</v>
      </c>
      <c r="V59" s="3"/>
      <c r="W59" s="3">
        <f t="shared" si="3"/>
        <v>9.280149996</v>
      </c>
      <c r="X59" s="3">
        <f t="shared" si="4"/>
        <v>10.3086799</v>
      </c>
      <c r="Y59" s="3">
        <f t="shared" si="5"/>
        <v>10.17104036</v>
      </c>
      <c r="Z59" s="3">
        <f t="shared" ref="Z59:AA59" si="62">_xlfn.NORM.S.DIST(X59)</f>
        <v>1</v>
      </c>
      <c r="AA59" s="3">
        <f t="shared" si="62"/>
        <v>1</v>
      </c>
    </row>
    <row r="60" ht="14.25" customHeight="1">
      <c r="A60" s="3" t="s">
        <v>166</v>
      </c>
      <c r="B60" s="3" t="s">
        <v>167</v>
      </c>
      <c r="C60" s="3" t="s">
        <v>129</v>
      </c>
      <c r="D60" s="3" t="s">
        <v>29</v>
      </c>
      <c r="E60" s="3">
        <v>3.0</v>
      </c>
      <c r="F60" s="3" t="s">
        <v>27</v>
      </c>
      <c r="G60" s="3">
        <v>9.2</v>
      </c>
      <c r="I60" s="3">
        <v>9.35</v>
      </c>
      <c r="K60" s="3">
        <v>0.0</v>
      </c>
      <c r="L60" s="3">
        <v>0.0</v>
      </c>
      <c r="M60" s="3" t="s">
        <v>89</v>
      </c>
      <c r="N60" s="3">
        <v>1.0</v>
      </c>
      <c r="O60" s="3">
        <v>0.0</v>
      </c>
      <c r="P60" s="3">
        <v>-0.0085</v>
      </c>
      <c r="Q60" s="3">
        <v>0.0</v>
      </c>
      <c r="R60" s="3">
        <v>0.437</v>
      </c>
      <c r="S60" s="3">
        <v>12.23</v>
      </c>
      <c r="T60" s="3">
        <v>17.0</v>
      </c>
      <c r="U60" s="3">
        <f t="shared" si="2"/>
        <v>9.275</v>
      </c>
      <c r="V60" s="3"/>
      <c r="W60" s="3">
        <f t="shared" si="3"/>
        <v>9.230141663</v>
      </c>
      <c r="X60" s="3">
        <f t="shared" si="4"/>
        <v>12.43820751</v>
      </c>
      <c r="Y60" s="3">
        <f t="shared" si="5"/>
        <v>12.32470496</v>
      </c>
      <c r="Z60" s="3">
        <f t="shared" ref="Z60:AA60" si="63">_xlfn.NORM.S.DIST(X60)</f>
        <v>1</v>
      </c>
      <c r="AA60" s="3">
        <f t="shared" si="63"/>
        <v>1</v>
      </c>
    </row>
    <row r="61" ht="14.25" customHeight="1">
      <c r="A61" s="3" t="s">
        <v>166</v>
      </c>
      <c r="B61" s="3" t="s">
        <v>167</v>
      </c>
      <c r="C61" s="3" t="s">
        <v>129</v>
      </c>
      <c r="D61" s="3" t="s">
        <v>29</v>
      </c>
      <c r="E61" s="3">
        <v>3.0</v>
      </c>
      <c r="F61" s="3" t="s">
        <v>27</v>
      </c>
      <c r="G61" s="3">
        <v>9.1</v>
      </c>
      <c r="I61" s="3">
        <v>9.45</v>
      </c>
      <c r="K61" s="3">
        <v>0.0</v>
      </c>
      <c r="L61" s="3">
        <v>0.0</v>
      </c>
      <c r="M61" s="3" t="s">
        <v>90</v>
      </c>
      <c r="N61" s="3">
        <v>1.0</v>
      </c>
      <c r="O61" s="3">
        <v>0.0</v>
      </c>
      <c r="P61" s="3">
        <v>-0.0085</v>
      </c>
      <c r="Q61" s="3">
        <v>0.0</v>
      </c>
      <c r="R61" s="3">
        <v>0.3096</v>
      </c>
      <c r="S61" s="3">
        <v>12.18</v>
      </c>
      <c r="T61" s="3">
        <v>16.0</v>
      </c>
      <c r="U61" s="3">
        <f t="shared" si="2"/>
        <v>9.275</v>
      </c>
      <c r="V61" s="3"/>
      <c r="W61" s="3">
        <f t="shared" si="3"/>
        <v>9.18013333</v>
      </c>
      <c r="X61" s="3">
        <f t="shared" si="4"/>
        <v>18.00072724</v>
      </c>
      <c r="Y61" s="3">
        <f t="shared" si="5"/>
        <v>17.92271538</v>
      </c>
      <c r="Z61" s="3">
        <f t="shared" ref="Z61:AA61" si="64">_xlfn.NORM.S.DIST(X61)</f>
        <v>1</v>
      </c>
      <c r="AA61" s="3">
        <f t="shared" si="64"/>
        <v>1</v>
      </c>
    </row>
    <row r="62" ht="14.25" customHeight="1">
      <c r="A62" s="3" t="s">
        <v>166</v>
      </c>
      <c r="B62" s="3" t="s">
        <v>167</v>
      </c>
      <c r="C62" s="3" t="s">
        <v>129</v>
      </c>
      <c r="D62" s="3" t="s">
        <v>29</v>
      </c>
      <c r="E62" s="3">
        <v>3.0</v>
      </c>
      <c r="F62" s="3" t="s">
        <v>27</v>
      </c>
      <c r="G62" s="3">
        <v>9.1</v>
      </c>
      <c r="I62" s="3">
        <v>9.4</v>
      </c>
      <c r="K62" s="3">
        <v>0.0</v>
      </c>
      <c r="L62" s="3">
        <v>0.0</v>
      </c>
      <c r="M62" s="3" t="s">
        <v>91</v>
      </c>
      <c r="N62" s="3">
        <v>0.9986</v>
      </c>
      <c r="O62" s="3">
        <v>0.0</v>
      </c>
      <c r="P62" s="3">
        <v>0.3239</v>
      </c>
      <c r="Q62" s="3">
        <v>0.0</v>
      </c>
      <c r="R62" s="3">
        <v>0.8233</v>
      </c>
      <c r="S62" s="3">
        <v>12.15</v>
      </c>
      <c r="T62" s="3">
        <v>15.0</v>
      </c>
      <c r="U62" s="3">
        <f t="shared" si="2"/>
        <v>9.25</v>
      </c>
      <c r="V62" s="3"/>
      <c r="W62" s="3">
        <f t="shared" si="3"/>
        <v>9.150124997</v>
      </c>
      <c r="X62" s="3">
        <f t="shared" si="4"/>
        <v>7.064119902</v>
      </c>
      <c r="Y62" s="3">
        <f t="shared" si="5"/>
        <v>6.863255269</v>
      </c>
      <c r="Z62" s="3">
        <f t="shared" ref="Z62:AA62" si="65">_xlfn.NORM.S.DIST(X62)</f>
        <v>1</v>
      </c>
      <c r="AA62" s="3">
        <f t="shared" si="65"/>
        <v>1</v>
      </c>
    </row>
    <row r="63" ht="14.25" customHeight="1">
      <c r="A63" s="3" t="s">
        <v>166</v>
      </c>
      <c r="B63" s="3" t="s">
        <v>167</v>
      </c>
      <c r="C63" s="3" t="s">
        <v>129</v>
      </c>
      <c r="D63" s="3" t="s">
        <v>29</v>
      </c>
      <c r="E63" s="3">
        <v>3.0</v>
      </c>
      <c r="F63" s="3" t="s">
        <v>27</v>
      </c>
      <c r="G63" s="3">
        <v>9.1</v>
      </c>
      <c r="I63" s="3">
        <v>9.2</v>
      </c>
      <c r="K63" s="3">
        <v>0.0</v>
      </c>
      <c r="L63" s="3">
        <v>0.0</v>
      </c>
      <c r="M63" s="3" t="s">
        <v>92</v>
      </c>
      <c r="N63" s="3">
        <v>0.9984</v>
      </c>
      <c r="O63" s="3">
        <v>0.0</v>
      </c>
      <c r="P63" s="3">
        <v>0.3903</v>
      </c>
      <c r="Q63" s="3">
        <v>0.0</v>
      </c>
      <c r="R63" s="3">
        <v>0.5194</v>
      </c>
      <c r="S63" s="3">
        <v>12.15</v>
      </c>
      <c r="T63" s="3">
        <v>14.0</v>
      </c>
      <c r="U63" s="3">
        <f t="shared" si="2"/>
        <v>9.15</v>
      </c>
      <c r="V63" s="3"/>
      <c r="W63" s="3">
        <f t="shared" si="3"/>
        <v>9.150116664</v>
      </c>
      <c r="X63" s="3">
        <f t="shared" si="4"/>
        <v>11.48673776</v>
      </c>
      <c r="Y63" s="3">
        <f t="shared" si="5"/>
        <v>11.364314</v>
      </c>
      <c r="Z63" s="3">
        <f t="shared" ref="Z63:AA63" si="66">_xlfn.NORM.S.DIST(X63)</f>
        <v>1</v>
      </c>
      <c r="AA63" s="3">
        <f t="shared" si="66"/>
        <v>1</v>
      </c>
    </row>
    <row r="64" ht="14.25" customHeight="1">
      <c r="A64" s="3" t="s">
        <v>166</v>
      </c>
      <c r="B64" s="3" t="s">
        <v>167</v>
      </c>
      <c r="C64" s="3" t="s">
        <v>129</v>
      </c>
      <c r="D64" s="3" t="s">
        <v>29</v>
      </c>
      <c r="E64" s="3">
        <v>3.0</v>
      </c>
      <c r="F64" s="3" t="s">
        <v>27</v>
      </c>
      <c r="G64" s="3">
        <v>8.75</v>
      </c>
      <c r="I64" s="3">
        <v>8.85</v>
      </c>
      <c r="K64" s="3">
        <v>0.0</v>
      </c>
      <c r="L64" s="3">
        <v>0.0</v>
      </c>
      <c r="M64" s="3" t="s">
        <v>93</v>
      </c>
      <c r="N64" s="3">
        <v>0.9983</v>
      </c>
      <c r="O64" s="3">
        <v>0.0</v>
      </c>
      <c r="P64" s="3">
        <v>0.4436</v>
      </c>
      <c r="Q64" s="3">
        <v>0.0</v>
      </c>
      <c r="R64" s="3">
        <v>0.7236</v>
      </c>
      <c r="S64" s="3">
        <v>11.81</v>
      </c>
      <c r="T64" s="3">
        <v>13.0</v>
      </c>
      <c r="U64" s="3">
        <f t="shared" si="2"/>
        <v>8.8</v>
      </c>
      <c r="V64" s="3"/>
      <c r="W64" s="3">
        <f t="shared" si="3"/>
        <v>8.810108331</v>
      </c>
      <c r="X64" s="3">
        <f t="shared" si="4"/>
        <v>8.420292763</v>
      </c>
      <c r="Y64" s="3">
        <f t="shared" si="5"/>
        <v>8.255942666</v>
      </c>
      <c r="Z64" s="3">
        <f t="shared" ref="Z64:AA64" si="67">_xlfn.NORM.S.DIST(X64)</f>
        <v>1</v>
      </c>
      <c r="AA64" s="3">
        <f t="shared" si="67"/>
        <v>1</v>
      </c>
    </row>
    <row r="65" ht="14.25" customHeight="1">
      <c r="A65" s="3" t="s">
        <v>166</v>
      </c>
      <c r="B65" s="3" t="s">
        <v>167</v>
      </c>
      <c r="C65" s="3" t="s">
        <v>129</v>
      </c>
      <c r="D65" s="3" t="s">
        <v>29</v>
      </c>
      <c r="E65" s="3">
        <v>3.0</v>
      </c>
      <c r="F65" s="3" t="s">
        <v>27</v>
      </c>
      <c r="G65" s="3">
        <v>8.9</v>
      </c>
      <c r="I65" s="3">
        <v>9.0</v>
      </c>
      <c r="K65" s="3">
        <v>0.0</v>
      </c>
      <c r="L65" s="3">
        <v>0.0</v>
      </c>
      <c r="M65" s="3" t="s">
        <v>94</v>
      </c>
      <c r="N65" s="3">
        <v>0.9992</v>
      </c>
      <c r="O65" s="3">
        <v>0.0</v>
      </c>
      <c r="P65" s="3">
        <v>0.2203</v>
      </c>
      <c r="Q65" s="3">
        <v>0.0</v>
      </c>
      <c r="R65" s="3">
        <v>0.612</v>
      </c>
      <c r="S65" s="3">
        <v>11.94</v>
      </c>
      <c r="T65" s="3">
        <v>12.0</v>
      </c>
      <c r="U65" s="3">
        <f t="shared" si="2"/>
        <v>8.95</v>
      </c>
      <c r="V65" s="3"/>
      <c r="W65" s="3">
        <f t="shared" si="3"/>
        <v>8.940099998</v>
      </c>
      <c r="X65" s="3">
        <f t="shared" si="4"/>
        <v>10.40988128</v>
      </c>
      <c r="Y65" s="3">
        <f t="shared" si="5"/>
        <v>10.27633194</v>
      </c>
      <c r="Z65" s="3">
        <f t="shared" ref="Z65:AA65" si="68">_xlfn.NORM.S.DIST(X65)</f>
        <v>1</v>
      </c>
      <c r="AA65" s="3">
        <f t="shared" si="68"/>
        <v>1</v>
      </c>
    </row>
    <row r="66" ht="14.25" customHeight="1">
      <c r="A66" s="3" t="s">
        <v>166</v>
      </c>
      <c r="B66" s="3" t="s">
        <v>167</v>
      </c>
      <c r="C66" s="3" t="s">
        <v>129</v>
      </c>
      <c r="D66" s="3" t="s">
        <v>29</v>
      </c>
      <c r="E66" s="3">
        <v>3.0</v>
      </c>
      <c r="F66" s="3" t="s">
        <v>27</v>
      </c>
      <c r="G66" s="3">
        <v>8.7</v>
      </c>
      <c r="I66" s="3">
        <v>9.2</v>
      </c>
      <c r="K66" s="3">
        <v>0.0</v>
      </c>
      <c r="L66" s="3">
        <v>0.0</v>
      </c>
      <c r="M66" s="3" t="s">
        <v>95</v>
      </c>
      <c r="N66" s="3">
        <v>0.9985</v>
      </c>
      <c r="O66" s="3">
        <v>0.0</v>
      </c>
      <c r="P66" s="3">
        <v>0.4498</v>
      </c>
      <c r="Q66" s="3">
        <v>0.0</v>
      </c>
      <c r="R66" s="3">
        <v>0.4974</v>
      </c>
      <c r="S66" s="3">
        <v>11.97</v>
      </c>
      <c r="T66" s="3">
        <v>11.0</v>
      </c>
      <c r="U66" s="3">
        <f t="shared" si="2"/>
        <v>8.95</v>
      </c>
      <c r="V66" s="3"/>
      <c r="W66" s="3">
        <f t="shared" si="3"/>
        <v>8.970091665</v>
      </c>
      <c r="X66" s="3">
        <f t="shared" si="4"/>
        <v>13.36809904</v>
      </c>
      <c r="Y66" s="3">
        <f t="shared" si="5"/>
        <v>13.26417839</v>
      </c>
      <c r="Z66" s="3">
        <f t="shared" ref="Z66:AA66" si="69">_xlfn.NORM.S.DIST(X66)</f>
        <v>1</v>
      </c>
      <c r="AA66" s="3">
        <f t="shared" si="69"/>
        <v>1</v>
      </c>
    </row>
    <row r="67" ht="14.25" customHeight="1">
      <c r="A67" s="3" t="s">
        <v>166</v>
      </c>
      <c r="B67" s="3" t="s">
        <v>167</v>
      </c>
      <c r="C67" s="3" t="s">
        <v>129</v>
      </c>
      <c r="D67" s="3" t="s">
        <v>29</v>
      </c>
      <c r="E67" s="3">
        <v>3.0</v>
      </c>
      <c r="F67" s="3" t="s">
        <v>27</v>
      </c>
      <c r="G67" s="3">
        <v>9.15</v>
      </c>
      <c r="I67" s="3">
        <v>9.25</v>
      </c>
      <c r="K67" s="3">
        <v>0.0</v>
      </c>
      <c r="L67" s="3">
        <v>0.0</v>
      </c>
      <c r="M67" s="3" t="s">
        <v>96</v>
      </c>
      <c r="N67" s="3">
        <v>0.9988</v>
      </c>
      <c r="O67" s="3">
        <v>0.0</v>
      </c>
      <c r="P67" s="3">
        <v>0.4592</v>
      </c>
      <c r="Q67" s="3">
        <v>0.0</v>
      </c>
      <c r="R67" s="3">
        <v>0.5783</v>
      </c>
      <c r="S67" s="3">
        <v>12.21</v>
      </c>
      <c r="T67" s="3">
        <v>10.0</v>
      </c>
      <c r="U67" s="3">
        <f t="shared" si="2"/>
        <v>9.2</v>
      </c>
      <c r="V67" s="3"/>
      <c r="W67" s="3">
        <f t="shared" si="3"/>
        <v>9.210083332</v>
      </c>
      <c r="X67" s="3">
        <f t="shared" si="4"/>
        <v>12.2422298</v>
      </c>
      <c r="Y67" s="3">
        <f t="shared" si="5"/>
        <v>12.12702968</v>
      </c>
      <c r="Z67" s="3">
        <f t="shared" ref="Z67:AA67" si="70">_xlfn.NORM.S.DIST(X67)</f>
        <v>1</v>
      </c>
      <c r="AA67" s="3">
        <f t="shared" si="70"/>
        <v>1</v>
      </c>
    </row>
    <row r="68" ht="14.25" customHeight="1">
      <c r="A68" s="3" t="s">
        <v>166</v>
      </c>
      <c r="B68" s="3" t="s">
        <v>167</v>
      </c>
      <c r="C68" s="3" t="s">
        <v>129</v>
      </c>
      <c r="D68" s="3" t="s">
        <v>29</v>
      </c>
      <c r="E68" s="3">
        <v>3.0</v>
      </c>
      <c r="F68" s="3" t="s">
        <v>27</v>
      </c>
      <c r="G68" s="3">
        <v>9.2</v>
      </c>
      <c r="I68" s="3">
        <v>9.3</v>
      </c>
      <c r="K68" s="3">
        <v>0.0</v>
      </c>
      <c r="L68" s="3">
        <v>0.0</v>
      </c>
      <c r="M68" s="3" t="s">
        <v>97</v>
      </c>
      <c r="N68" s="3">
        <v>0.9989</v>
      </c>
      <c r="O68" s="3">
        <v>0.0</v>
      </c>
      <c r="P68" s="3">
        <v>0.4607</v>
      </c>
      <c r="Q68" s="3">
        <v>0.0</v>
      </c>
      <c r="R68" s="3">
        <v>0.5985</v>
      </c>
      <c r="S68" s="3">
        <v>12.25</v>
      </c>
      <c r="T68" s="3">
        <v>9.0</v>
      </c>
      <c r="U68" s="3">
        <f t="shared" si="2"/>
        <v>9.25</v>
      </c>
      <c r="V68" s="3"/>
      <c r="W68" s="3">
        <f t="shared" si="3"/>
        <v>9.250074999</v>
      </c>
      <c r="X68" s="3">
        <f t="shared" si="4"/>
        <v>12.49568334</v>
      </c>
      <c r="Y68" s="3">
        <f t="shared" si="5"/>
        <v>12.38257747</v>
      </c>
      <c r="Z68" s="3">
        <f t="shared" ref="Z68:AA68" si="71">_xlfn.NORM.S.DIST(X68)</f>
        <v>1</v>
      </c>
      <c r="AA68" s="3">
        <f t="shared" si="71"/>
        <v>1</v>
      </c>
    </row>
    <row r="69" ht="14.25" customHeight="1">
      <c r="A69" s="3" t="s">
        <v>166</v>
      </c>
      <c r="B69" s="3" t="s">
        <v>167</v>
      </c>
      <c r="C69" s="3" t="s">
        <v>129</v>
      </c>
      <c r="D69" s="3" t="s">
        <v>29</v>
      </c>
      <c r="E69" s="3">
        <v>3.0</v>
      </c>
      <c r="F69" s="3" t="s">
        <v>27</v>
      </c>
      <c r="G69" s="3">
        <v>9.25</v>
      </c>
      <c r="I69" s="3">
        <v>9.35</v>
      </c>
      <c r="K69" s="3">
        <v>0.0</v>
      </c>
      <c r="L69" s="3">
        <v>0.0</v>
      </c>
      <c r="M69" s="3" t="s">
        <v>98</v>
      </c>
      <c r="N69" s="3">
        <v>0.9995</v>
      </c>
      <c r="O69" s="3">
        <v>0.0</v>
      </c>
      <c r="P69" s="3">
        <v>0.252</v>
      </c>
      <c r="Q69" s="3">
        <v>0.0</v>
      </c>
      <c r="R69" s="3">
        <v>0.3328</v>
      </c>
      <c r="S69" s="3">
        <v>12.32</v>
      </c>
      <c r="T69" s="3">
        <v>8.0</v>
      </c>
      <c r="U69" s="3">
        <f t="shared" si="2"/>
        <v>9.3</v>
      </c>
      <c r="V69" s="3"/>
      <c r="W69" s="3">
        <f t="shared" si="3"/>
        <v>9.320066666</v>
      </c>
      <c r="X69" s="3">
        <f t="shared" si="4"/>
        <v>23.85292959</v>
      </c>
      <c r="Y69" s="3">
        <f t="shared" si="5"/>
        <v>23.79363323</v>
      </c>
      <c r="Z69" s="3">
        <f t="shared" ref="Z69:AA69" si="72">_xlfn.NORM.S.DIST(X69)</f>
        <v>1</v>
      </c>
      <c r="AA69" s="3">
        <f t="shared" si="72"/>
        <v>1</v>
      </c>
    </row>
    <row r="70" ht="14.25" customHeight="1">
      <c r="A70" s="3" t="s">
        <v>166</v>
      </c>
      <c r="B70" s="3" t="s">
        <v>167</v>
      </c>
      <c r="C70" s="3" t="s">
        <v>129</v>
      </c>
      <c r="D70" s="3" t="s">
        <v>29</v>
      </c>
      <c r="E70" s="3">
        <v>3.0</v>
      </c>
      <c r="F70" s="3" t="s">
        <v>27</v>
      </c>
      <c r="G70" s="3">
        <v>9.2</v>
      </c>
      <c r="I70" s="3">
        <v>9.3</v>
      </c>
      <c r="K70" s="3">
        <v>0.0</v>
      </c>
      <c r="L70" s="3">
        <v>0.0</v>
      </c>
      <c r="M70" s="3" t="s">
        <v>99</v>
      </c>
      <c r="N70" s="3">
        <v>0.9995</v>
      </c>
      <c r="O70" s="3">
        <v>0.0</v>
      </c>
      <c r="P70" s="3">
        <v>0.2509</v>
      </c>
      <c r="Q70" s="3">
        <v>0.0</v>
      </c>
      <c r="R70" s="3">
        <v>0.3195</v>
      </c>
      <c r="S70" s="3">
        <v>12.27</v>
      </c>
      <c r="T70" s="3">
        <v>7.0</v>
      </c>
      <c r="U70" s="3">
        <f t="shared" si="2"/>
        <v>9.25</v>
      </c>
      <c r="V70" s="3"/>
      <c r="W70" s="3">
        <f t="shared" si="3"/>
        <v>9.270058333</v>
      </c>
      <c r="X70" s="3">
        <f t="shared" si="4"/>
        <v>26.47853889</v>
      </c>
      <c r="Y70" s="3">
        <f t="shared" si="5"/>
        <v>26.42528889</v>
      </c>
      <c r="Z70" s="3">
        <f t="shared" ref="Z70:AA70" si="73">_xlfn.NORM.S.DIST(X70)</f>
        <v>1</v>
      </c>
      <c r="AA70" s="3">
        <f t="shared" si="73"/>
        <v>1</v>
      </c>
    </row>
    <row r="71" ht="14.25" customHeight="1">
      <c r="A71" s="3" t="s">
        <v>166</v>
      </c>
      <c r="B71" s="3" t="s">
        <v>167</v>
      </c>
      <c r="C71" s="3" t="s">
        <v>129</v>
      </c>
      <c r="D71" s="3" t="s">
        <v>29</v>
      </c>
      <c r="E71" s="3">
        <v>3.0</v>
      </c>
      <c r="F71" s="3" t="s">
        <v>27</v>
      </c>
      <c r="G71" s="3">
        <v>9.1</v>
      </c>
      <c r="I71" s="3">
        <v>9.2</v>
      </c>
      <c r="K71" s="3">
        <v>0.0</v>
      </c>
      <c r="L71" s="3">
        <v>0.0</v>
      </c>
      <c r="M71" s="3" t="s">
        <v>100</v>
      </c>
      <c r="N71" s="3">
        <v>1.0</v>
      </c>
      <c r="O71" s="3">
        <v>0.0</v>
      </c>
      <c r="P71" s="3">
        <v>-0.0083</v>
      </c>
      <c r="Q71" s="3">
        <v>0.0</v>
      </c>
      <c r="R71" s="3">
        <v>0.3248</v>
      </c>
      <c r="S71" s="3">
        <v>12.17</v>
      </c>
      <c r="T71" s="3">
        <v>6.0</v>
      </c>
      <c r="U71" s="3">
        <f t="shared" si="2"/>
        <v>9.15</v>
      </c>
      <c r="V71" s="3"/>
      <c r="W71" s="3">
        <f t="shared" si="3"/>
        <v>9.17005</v>
      </c>
      <c r="X71" s="3">
        <f t="shared" si="4"/>
        <v>27.96683394</v>
      </c>
      <c r="Y71" s="3">
        <f t="shared" si="5"/>
        <v>27.91671621</v>
      </c>
      <c r="Z71" s="3">
        <f t="shared" ref="Z71:AA71" si="74">_xlfn.NORM.S.DIST(X71)</f>
        <v>1</v>
      </c>
      <c r="AA71" s="3">
        <f t="shared" si="74"/>
        <v>1</v>
      </c>
    </row>
    <row r="72" ht="14.25" customHeight="1">
      <c r="A72" s="3" t="s">
        <v>166</v>
      </c>
      <c r="B72" s="3" t="s">
        <v>167</v>
      </c>
      <c r="C72" s="3" t="s">
        <v>129</v>
      </c>
      <c r="D72" s="3" t="s">
        <v>29</v>
      </c>
      <c r="E72" s="3">
        <v>3.0</v>
      </c>
      <c r="F72" s="3" t="s">
        <v>27</v>
      </c>
      <c r="G72" s="3">
        <v>8.8</v>
      </c>
      <c r="I72" s="3">
        <v>9.1</v>
      </c>
      <c r="K72" s="3">
        <v>0.0</v>
      </c>
      <c r="L72" s="3">
        <v>0.0</v>
      </c>
      <c r="M72" s="3" t="s">
        <v>101</v>
      </c>
      <c r="N72" s="3">
        <v>1.0</v>
      </c>
      <c r="O72" s="3">
        <v>0.0</v>
      </c>
      <c r="P72" s="3">
        <v>-0.0083</v>
      </c>
      <c r="Q72" s="3">
        <v>0.0</v>
      </c>
      <c r="R72" s="3">
        <v>0.5259</v>
      </c>
      <c r="S72" s="3">
        <v>11.98</v>
      </c>
      <c r="T72" s="3">
        <v>5.0</v>
      </c>
      <c r="U72" s="3">
        <f t="shared" si="2"/>
        <v>8.95</v>
      </c>
      <c r="V72" s="3"/>
      <c r="W72" s="3">
        <f t="shared" si="3"/>
        <v>8.980041666</v>
      </c>
      <c r="X72" s="3">
        <f t="shared" si="4"/>
        <v>18.72874876</v>
      </c>
      <c r="Y72" s="3">
        <f t="shared" si="5"/>
        <v>18.65467099</v>
      </c>
      <c r="Z72" s="3">
        <f t="shared" ref="Z72:AA72" si="75">_xlfn.NORM.S.DIST(X72)</f>
        <v>1</v>
      </c>
      <c r="AA72" s="3">
        <f t="shared" si="75"/>
        <v>1</v>
      </c>
    </row>
    <row r="73" ht="14.25" customHeight="1">
      <c r="A73" s="3" t="s">
        <v>166</v>
      </c>
      <c r="B73" s="3" t="s">
        <v>167</v>
      </c>
      <c r="C73" s="3" t="s">
        <v>129</v>
      </c>
      <c r="D73" s="3" t="s">
        <v>29</v>
      </c>
      <c r="E73" s="3">
        <v>3.0</v>
      </c>
      <c r="F73" s="3" t="s">
        <v>27</v>
      </c>
      <c r="G73" s="3">
        <v>9.1</v>
      </c>
      <c r="I73" s="3">
        <v>9.45</v>
      </c>
      <c r="K73" s="3">
        <v>0.0</v>
      </c>
      <c r="L73" s="3">
        <v>0.0</v>
      </c>
      <c r="M73" s="3" t="s">
        <v>102</v>
      </c>
      <c r="N73" s="3">
        <v>1.0</v>
      </c>
      <c r="O73" s="3">
        <v>0.0</v>
      </c>
      <c r="P73" s="3">
        <v>-0.0083</v>
      </c>
      <c r="Q73" s="3">
        <v>0.0</v>
      </c>
      <c r="R73" s="3">
        <v>0.5084</v>
      </c>
      <c r="S73" s="3">
        <v>12.28</v>
      </c>
      <c r="T73" s="3">
        <v>4.0</v>
      </c>
      <c r="U73" s="3">
        <f t="shared" si="2"/>
        <v>9.275</v>
      </c>
      <c r="V73" s="3"/>
      <c r="W73" s="3">
        <f t="shared" si="3"/>
        <v>9.280033333</v>
      </c>
      <c r="X73" s="3">
        <f t="shared" si="4"/>
        <v>22.03543589</v>
      </c>
      <c r="Y73" s="3">
        <f t="shared" si="5"/>
        <v>21.97138351</v>
      </c>
      <c r="Z73" s="3">
        <f t="shared" ref="Z73:AA73" si="76">_xlfn.NORM.S.DIST(X73)</f>
        <v>1</v>
      </c>
      <c r="AA73" s="3">
        <f t="shared" si="76"/>
        <v>1</v>
      </c>
    </row>
    <row r="74" ht="14.25" customHeight="1">
      <c r="A74" s="3" t="s">
        <v>166</v>
      </c>
      <c r="B74" s="3" t="s">
        <v>167</v>
      </c>
      <c r="C74" s="3" t="s">
        <v>129</v>
      </c>
      <c r="D74" s="3" t="s">
        <v>29</v>
      </c>
      <c r="E74" s="3">
        <v>3.0</v>
      </c>
      <c r="F74" s="3" t="s">
        <v>27</v>
      </c>
      <c r="G74" s="3">
        <v>8.65</v>
      </c>
      <c r="I74" s="3">
        <v>8.75</v>
      </c>
      <c r="K74" s="3">
        <v>0.0</v>
      </c>
      <c r="L74" s="3">
        <v>0.0</v>
      </c>
      <c r="M74" s="3" t="s">
        <v>103</v>
      </c>
      <c r="N74" s="3">
        <v>1.0</v>
      </c>
      <c r="O74" s="3">
        <v>0.0</v>
      </c>
      <c r="P74" s="3">
        <v>-0.0083</v>
      </c>
      <c r="Q74" s="3">
        <v>0.0</v>
      </c>
      <c r="R74" s="3">
        <v>0.4478</v>
      </c>
      <c r="S74" s="3">
        <v>11.7</v>
      </c>
      <c r="T74" s="3">
        <v>3.0</v>
      </c>
      <c r="U74" s="3">
        <f t="shared" si="2"/>
        <v>8.7</v>
      </c>
      <c r="V74" s="3"/>
      <c r="W74" s="3">
        <f t="shared" si="3"/>
        <v>8.700025</v>
      </c>
      <c r="X74" s="3">
        <f t="shared" si="4"/>
        <v>27.87979466</v>
      </c>
      <c r="Y74" s="3">
        <f t="shared" si="5"/>
        <v>27.83093568</v>
      </c>
      <c r="Z74" s="3">
        <f t="shared" ref="Z74:AA74" si="77">_xlfn.NORM.S.DIST(X74)</f>
        <v>1</v>
      </c>
      <c r="AA74" s="3">
        <f t="shared" si="77"/>
        <v>1</v>
      </c>
    </row>
    <row r="75" ht="14.25" customHeight="1">
      <c r="A75" s="3" t="s">
        <v>166</v>
      </c>
      <c r="B75" s="3" t="s">
        <v>167</v>
      </c>
      <c r="C75" s="3" t="s">
        <v>129</v>
      </c>
      <c r="D75" s="3" t="s">
        <v>29</v>
      </c>
      <c r="E75" s="3">
        <v>3.0</v>
      </c>
      <c r="F75" s="3" t="s">
        <v>27</v>
      </c>
      <c r="G75" s="3">
        <v>8.4</v>
      </c>
      <c r="I75" s="3">
        <v>8.45</v>
      </c>
      <c r="K75" s="3">
        <v>0.0</v>
      </c>
      <c r="L75" s="3">
        <v>0.0</v>
      </c>
      <c r="M75" s="3" t="s">
        <v>104</v>
      </c>
      <c r="N75" s="3">
        <v>1.0</v>
      </c>
      <c r="O75" s="3">
        <v>0.0</v>
      </c>
      <c r="P75" s="3">
        <v>-0.0083</v>
      </c>
      <c r="Q75" s="3">
        <v>0.0</v>
      </c>
      <c r="R75" s="3">
        <v>0.8209</v>
      </c>
      <c r="S75" s="3">
        <v>11.44</v>
      </c>
      <c r="T75" s="3">
        <v>2.0</v>
      </c>
      <c r="U75" s="3">
        <f t="shared" si="2"/>
        <v>8.425</v>
      </c>
      <c r="V75" s="3"/>
      <c r="W75" s="3">
        <f t="shared" si="3"/>
        <v>8.440016667</v>
      </c>
      <c r="X75" s="3">
        <f t="shared" si="4"/>
        <v>18.33931777</v>
      </c>
      <c r="Y75" s="3">
        <f t="shared" si="5"/>
        <v>18.26618619</v>
      </c>
      <c r="Z75" s="3">
        <f t="shared" ref="Z75:AA75" si="78">_xlfn.NORM.S.DIST(X75)</f>
        <v>1</v>
      </c>
      <c r="AA75" s="3">
        <f t="shared" si="78"/>
        <v>1</v>
      </c>
    </row>
    <row r="76" ht="14.25" customHeight="1">
      <c r="A76" s="3" t="s">
        <v>166</v>
      </c>
      <c r="B76" s="3" t="s">
        <v>167</v>
      </c>
      <c r="C76" s="3" t="s">
        <v>129</v>
      </c>
      <c r="D76" s="3" t="s">
        <v>29</v>
      </c>
      <c r="E76" s="3">
        <v>3.0</v>
      </c>
      <c r="F76" s="3" t="s">
        <v>27</v>
      </c>
      <c r="G76" s="3">
        <v>8.45</v>
      </c>
      <c r="I76" s="3">
        <v>9.0</v>
      </c>
      <c r="K76" s="3">
        <v>0.0</v>
      </c>
      <c r="L76" s="3">
        <v>0.0</v>
      </c>
      <c r="M76" s="3" t="s">
        <v>105</v>
      </c>
      <c r="N76" s="3">
        <v>1.0</v>
      </c>
      <c r="O76" s="3">
        <v>0.0</v>
      </c>
      <c r="P76" s="3">
        <v>-0.0083</v>
      </c>
      <c r="Q76" s="3">
        <v>0.0</v>
      </c>
      <c r="R76" s="3">
        <v>0.1482</v>
      </c>
      <c r="S76" s="3">
        <v>11.66</v>
      </c>
      <c r="T76" s="3">
        <v>1.0</v>
      </c>
      <c r="U76" s="3">
        <f t="shared" si="2"/>
        <v>8.725</v>
      </c>
      <c r="V76" s="3"/>
      <c r="W76" s="3">
        <f t="shared" si="3"/>
        <v>8.660008333</v>
      </c>
      <c r="X76" s="3">
        <f t="shared" si="4"/>
        <v>145.4197305</v>
      </c>
      <c r="Y76" s="3">
        <f t="shared" si="5"/>
        <v>145.4103948</v>
      </c>
      <c r="Z76" s="3">
        <f t="shared" ref="Z76:AA76" si="79">_xlfn.NORM.S.DIST(X76)</f>
        <v>1</v>
      </c>
      <c r="AA76" s="3">
        <f t="shared" si="79"/>
        <v>1</v>
      </c>
    </row>
    <row r="77" ht="14.25" customHeight="1">
      <c r="V77" s="3"/>
    </row>
    <row r="78" ht="14.25" customHeight="1">
      <c r="V78" s="3"/>
    </row>
    <row r="79" ht="14.25" customHeight="1">
      <c r="V79" s="3"/>
    </row>
    <row r="80" ht="14.25" customHeight="1">
      <c r="V80" s="3"/>
    </row>
    <row r="81" ht="14.25" customHeight="1">
      <c r="V81" s="3"/>
    </row>
    <row r="82" ht="14.25" customHeight="1">
      <c r="V82" s="3"/>
    </row>
    <row r="83" ht="14.25" customHeight="1">
      <c r="V83" s="3"/>
    </row>
    <row r="84" ht="14.25" customHeight="1">
      <c r="V84" s="3"/>
    </row>
    <row r="85" ht="14.25" customHeight="1">
      <c r="V85" s="3"/>
    </row>
    <row r="86" ht="14.25" customHeight="1">
      <c r="V86" s="3"/>
    </row>
    <row r="87" ht="14.25" customHeight="1">
      <c r="V87" s="3"/>
    </row>
    <row r="88" ht="14.25" customHeight="1">
      <c r="V88" s="3"/>
    </row>
    <row r="89" ht="14.25" customHeight="1">
      <c r="V89" s="3"/>
    </row>
    <row r="90" ht="14.25" customHeight="1">
      <c r="V90" s="3"/>
    </row>
    <row r="91" ht="14.25" customHeight="1">
      <c r="V91" s="3"/>
    </row>
    <row r="92" ht="14.25" customHeight="1">
      <c r="V92" s="3"/>
    </row>
    <row r="93" ht="14.25" customHeight="1">
      <c r="V93" s="3"/>
    </row>
    <row r="94" ht="14.25" customHeight="1">
      <c r="V94" s="3"/>
    </row>
    <row r="95" ht="14.25" customHeight="1">
      <c r="V95" s="3"/>
    </row>
    <row r="96" ht="14.25" customHeight="1">
      <c r="V96" s="3"/>
    </row>
    <row r="97" ht="14.25" customHeight="1">
      <c r="V97" s="3"/>
    </row>
    <row r="98" ht="14.25" customHeight="1">
      <c r="V98" s="3"/>
    </row>
    <row r="99" ht="14.25" customHeight="1">
      <c r="V99" s="3"/>
    </row>
    <row r="100" ht="14.25" customHeight="1">
      <c r="V100" s="3"/>
    </row>
    <row r="101" ht="14.25" customHeight="1">
      <c r="V101" s="3"/>
    </row>
    <row r="102" ht="14.25" customHeight="1">
      <c r="V102" s="3"/>
    </row>
    <row r="103" ht="14.25" customHeight="1">
      <c r="V103" s="3"/>
    </row>
    <row r="104" ht="14.25" customHeight="1">
      <c r="V104" s="3"/>
    </row>
    <row r="105" ht="14.25" customHeight="1">
      <c r="V105" s="3"/>
    </row>
    <row r="106" ht="14.25" customHeight="1">
      <c r="V106" s="3"/>
    </row>
    <row r="107" ht="14.25" customHeight="1">
      <c r="V107" s="3"/>
    </row>
    <row r="108" ht="14.25" customHeight="1">
      <c r="V108" s="3"/>
    </row>
    <row r="109" ht="14.25" customHeight="1">
      <c r="V109" s="3"/>
    </row>
    <row r="110" ht="14.25" customHeight="1">
      <c r="V110" s="3"/>
    </row>
    <row r="111" ht="14.25" customHeight="1">
      <c r="V111" s="3"/>
    </row>
    <row r="112" ht="14.25" customHeight="1">
      <c r="V112" s="3"/>
    </row>
    <row r="113" ht="14.25" customHeight="1">
      <c r="V113" s="3"/>
    </row>
    <row r="114" ht="14.25" customHeight="1">
      <c r="V114" s="3"/>
    </row>
    <row r="115" ht="14.25" customHeight="1">
      <c r="V115" s="3"/>
    </row>
    <row r="116" ht="14.25" customHeight="1">
      <c r="V116" s="3"/>
    </row>
    <row r="117" ht="14.25" customHeight="1">
      <c r="V117" s="3"/>
    </row>
    <row r="118" ht="14.25" customHeight="1">
      <c r="V118" s="3"/>
    </row>
    <row r="119" ht="14.25" customHeight="1">
      <c r="V119" s="3"/>
    </row>
    <row r="120" ht="14.25" customHeight="1">
      <c r="V120" s="3"/>
    </row>
    <row r="121" ht="14.25" customHeight="1">
      <c r="V121" s="3"/>
    </row>
    <row r="122" ht="14.25" customHeight="1">
      <c r="V122" s="3"/>
    </row>
    <row r="123" ht="14.25" customHeight="1">
      <c r="V123" s="3"/>
    </row>
    <row r="124" ht="14.25" customHeight="1">
      <c r="V124" s="3"/>
    </row>
    <row r="125" ht="14.25" customHeight="1">
      <c r="V125" s="3"/>
    </row>
    <row r="126" ht="14.25" customHeight="1">
      <c r="V126" s="3"/>
    </row>
    <row r="127" ht="14.25" customHeight="1">
      <c r="V127" s="3"/>
    </row>
    <row r="128" ht="14.25" customHeight="1">
      <c r="V128" s="3"/>
    </row>
    <row r="129" ht="14.25" customHeight="1">
      <c r="V129" s="3"/>
    </row>
    <row r="130" ht="14.25" customHeight="1">
      <c r="V130" s="3"/>
    </row>
    <row r="131" ht="14.25" customHeight="1">
      <c r="V131" s="3"/>
    </row>
    <row r="132" ht="14.25" customHeight="1">
      <c r="V132" s="3"/>
    </row>
    <row r="133" ht="14.25" customHeight="1">
      <c r="V133" s="3"/>
    </row>
    <row r="134" ht="14.25" customHeight="1">
      <c r="V134" s="3"/>
    </row>
    <row r="135" ht="14.25" customHeight="1">
      <c r="V135" s="3"/>
    </row>
    <row r="136" ht="14.25" customHeight="1">
      <c r="V136" s="3"/>
    </row>
    <row r="137" ht="14.25" customHeight="1">
      <c r="V137" s="3"/>
    </row>
    <row r="138" ht="14.25" customHeight="1">
      <c r="V138" s="3"/>
    </row>
    <row r="139" ht="14.25" customHeight="1">
      <c r="V139" s="3"/>
    </row>
    <row r="140" ht="14.25" customHeight="1">
      <c r="V140" s="3"/>
    </row>
    <row r="141" ht="14.25" customHeight="1">
      <c r="V141" s="3"/>
    </row>
    <row r="142" ht="14.25" customHeight="1">
      <c r="V142" s="3"/>
    </row>
    <row r="143" ht="14.25" customHeight="1">
      <c r="V143" s="3"/>
    </row>
    <row r="144" ht="14.25" customHeight="1">
      <c r="V144" s="3"/>
    </row>
    <row r="145" ht="14.25" customHeight="1">
      <c r="V145" s="3"/>
    </row>
    <row r="146" ht="14.25" customHeight="1">
      <c r="V146" s="3"/>
    </row>
    <row r="147" ht="14.25" customHeight="1">
      <c r="V147" s="3"/>
    </row>
    <row r="148" ht="14.25" customHeight="1">
      <c r="V148" s="3"/>
    </row>
    <row r="149" ht="14.25" customHeight="1">
      <c r="V149" s="3"/>
    </row>
    <row r="150" ht="14.25" customHeight="1">
      <c r="V150" s="3"/>
    </row>
    <row r="151" ht="14.25" customHeight="1">
      <c r="V151" s="3"/>
    </row>
    <row r="152" ht="14.25" customHeight="1">
      <c r="V152" s="3"/>
    </row>
    <row r="153" ht="14.25" customHeight="1">
      <c r="V153" s="3"/>
    </row>
    <row r="154" ht="14.25" customHeight="1">
      <c r="V154" s="3"/>
    </row>
    <row r="155" ht="14.25" customHeight="1">
      <c r="V155" s="3"/>
    </row>
    <row r="156" ht="14.25" customHeight="1">
      <c r="V156" s="3"/>
    </row>
    <row r="157" ht="14.25" customHeight="1">
      <c r="V157" s="3"/>
    </row>
    <row r="158" ht="14.25" customHeight="1">
      <c r="V158" s="3"/>
    </row>
    <row r="159" ht="14.25" customHeight="1">
      <c r="V159" s="3"/>
    </row>
    <row r="160" ht="14.25" customHeight="1">
      <c r="V160" s="3"/>
    </row>
    <row r="161" ht="14.25" customHeight="1">
      <c r="V161" s="3"/>
    </row>
    <row r="162" ht="14.25" customHeight="1">
      <c r="V162" s="3"/>
    </row>
    <row r="163" ht="14.25" customHeight="1">
      <c r="V163" s="3"/>
    </row>
    <row r="164" ht="14.25" customHeight="1">
      <c r="V164" s="3"/>
    </row>
    <row r="165" ht="14.25" customHeight="1">
      <c r="V165" s="3"/>
    </row>
    <row r="166" ht="14.25" customHeight="1">
      <c r="V166" s="3"/>
    </row>
    <row r="167" ht="14.25" customHeight="1">
      <c r="V167" s="3"/>
    </row>
    <row r="168" ht="14.25" customHeight="1">
      <c r="V168" s="3"/>
    </row>
    <row r="169" ht="14.25" customHeight="1">
      <c r="V169" s="3"/>
    </row>
    <row r="170" ht="14.25" customHeight="1">
      <c r="V170" s="3"/>
    </row>
    <row r="171" ht="14.25" customHeight="1">
      <c r="V171" s="3"/>
    </row>
    <row r="172" ht="14.25" customHeight="1">
      <c r="V172" s="3"/>
    </row>
    <row r="173" ht="14.25" customHeight="1">
      <c r="V173" s="3"/>
    </row>
    <row r="174" ht="14.25" customHeight="1">
      <c r="V174" s="3"/>
    </row>
    <row r="175" ht="14.25" customHeight="1">
      <c r="V175" s="3"/>
    </row>
    <row r="176" ht="14.25" customHeight="1">
      <c r="V176" s="3"/>
    </row>
    <row r="177" ht="14.25" customHeight="1">
      <c r="V177" s="3"/>
    </row>
    <row r="178" ht="14.25" customHeight="1">
      <c r="V178" s="3"/>
    </row>
    <row r="179" ht="14.25" customHeight="1">
      <c r="V179" s="3"/>
    </row>
    <row r="180" ht="14.25" customHeight="1">
      <c r="V180" s="3"/>
    </row>
    <row r="181" ht="14.25" customHeight="1">
      <c r="V181" s="3"/>
    </row>
    <row r="182" ht="14.25" customHeight="1">
      <c r="V182" s="3"/>
    </row>
    <row r="183" ht="14.25" customHeight="1">
      <c r="V183" s="3"/>
    </row>
    <row r="184" ht="14.25" customHeight="1">
      <c r="V184" s="3"/>
    </row>
    <row r="185" ht="14.25" customHeight="1">
      <c r="V185" s="3"/>
    </row>
    <row r="186" ht="14.25" customHeight="1">
      <c r="V186" s="3"/>
    </row>
    <row r="187" ht="14.25" customHeight="1">
      <c r="V187" s="3"/>
    </row>
    <row r="188" ht="14.25" customHeight="1">
      <c r="V188" s="3"/>
    </row>
    <row r="189" ht="14.25" customHeight="1">
      <c r="V189" s="3"/>
    </row>
    <row r="190" ht="14.25" customHeight="1">
      <c r="V190" s="3"/>
    </row>
    <row r="191" ht="14.25" customHeight="1">
      <c r="V191" s="3"/>
    </row>
    <row r="192" ht="14.25" customHeight="1">
      <c r="V192" s="3"/>
    </row>
    <row r="193" ht="14.25" customHeight="1">
      <c r="V193" s="3"/>
    </row>
    <row r="194" ht="14.25" customHeight="1">
      <c r="V194" s="3"/>
    </row>
    <row r="195" ht="14.25" customHeight="1">
      <c r="V195" s="3"/>
    </row>
    <row r="196" ht="14.25" customHeight="1">
      <c r="V196" s="3"/>
    </row>
    <row r="197" ht="14.25" customHeight="1">
      <c r="V197" s="3"/>
    </row>
    <row r="198" ht="14.25" customHeight="1">
      <c r="V198" s="3"/>
    </row>
    <row r="199" ht="14.25" customHeight="1">
      <c r="V199" s="3"/>
    </row>
    <row r="200" ht="14.25" customHeight="1">
      <c r="V200" s="3"/>
    </row>
    <row r="201" ht="14.25" customHeight="1">
      <c r="V201" s="3"/>
    </row>
    <row r="202" ht="14.25" customHeight="1">
      <c r="V202" s="3"/>
    </row>
    <row r="203" ht="14.25" customHeight="1">
      <c r="V203" s="3"/>
    </row>
    <row r="204" ht="14.25" customHeight="1">
      <c r="V204" s="3"/>
    </row>
    <row r="205" ht="14.25" customHeight="1">
      <c r="V205" s="3"/>
    </row>
    <row r="206" ht="14.25" customHeight="1">
      <c r="V206" s="3"/>
    </row>
    <row r="207" ht="14.25" customHeight="1">
      <c r="V207" s="3"/>
    </row>
    <row r="208" ht="14.25" customHeight="1">
      <c r="V208" s="3"/>
    </row>
    <row r="209" ht="14.25" customHeight="1">
      <c r="V209" s="3"/>
    </row>
    <row r="210" ht="14.25" customHeight="1">
      <c r="V210" s="3"/>
    </row>
    <row r="211" ht="14.25" customHeight="1">
      <c r="V211" s="3"/>
    </row>
    <row r="212" ht="14.25" customHeight="1">
      <c r="V212" s="3"/>
    </row>
    <row r="213" ht="14.25" customHeight="1">
      <c r="V213" s="3"/>
    </row>
    <row r="214" ht="14.25" customHeight="1">
      <c r="V214" s="3"/>
    </row>
    <row r="215" ht="14.25" customHeight="1">
      <c r="V215" s="3"/>
    </row>
    <row r="216" ht="14.25" customHeight="1">
      <c r="V216" s="3"/>
    </row>
    <row r="217" ht="14.25" customHeight="1">
      <c r="V217" s="3"/>
    </row>
    <row r="218" ht="14.25" customHeight="1">
      <c r="V218" s="3"/>
    </row>
    <row r="219" ht="14.25" customHeight="1">
      <c r="V219" s="3"/>
    </row>
    <row r="220" ht="14.25" customHeight="1">
      <c r="V220" s="3"/>
    </row>
    <row r="221" ht="14.25" customHeight="1">
      <c r="V221" s="3"/>
    </row>
    <row r="222" ht="14.25" customHeight="1">
      <c r="V222" s="3"/>
    </row>
    <row r="223" ht="14.25" customHeight="1">
      <c r="V223" s="3"/>
    </row>
    <row r="224" ht="14.25" customHeight="1">
      <c r="V224" s="3"/>
    </row>
    <row r="225" ht="14.25" customHeight="1">
      <c r="V225" s="3"/>
    </row>
    <row r="226" ht="14.25" customHeight="1">
      <c r="V226" s="3"/>
    </row>
    <row r="227" ht="14.25" customHeight="1">
      <c r="V227" s="3"/>
    </row>
    <row r="228" ht="14.25" customHeight="1">
      <c r="V228" s="3"/>
    </row>
    <row r="229" ht="14.25" customHeight="1">
      <c r="V229" s="3"/>
    </row>
    <row r="230" ht="14.25" customHeight="1">
      <c r="V230" s="3"/>
    </row>
    <row r="231" ht="14.25" customHeight="1">
      <c r="V231" s="3"/>
    </row>
    <row r="232" ht="14.25" customHeight="1">
      <c r="V232" s="3"/>
    </row>
    <row r="233" ht="14.25" customHeight="1">
      <c r="V233" s="3"/>
    </row>
    <row r="234" ht="14.25" customHeight="1">
      <c r="V234" s="3"/>
    </row>
    <row r="235" ht="14.25" customHeight="1">
      <c r="V235" s="3"/>
    </row>
    <row r="236" ht="14.25" customHeight="1">
      <c r="V236" s="3"/>
    </row>
    <row r="237" ht="14.25" customHeight="1">
      <c r="V237" s="3"/>
    </row>
    <row r="238" ht="14.25" customHeight="1">
      <c r="V238" s="3"/>
    </row>
    <row r="239" ht="14.25" customHeight="1">
      <c r="V239" s="3"/>
    </row>
    <row r="240" ht="14.25" customHeight="1">
      <c r="V240" s="3"/>
    </row>
    <row r="241" ht="14.25" customHeight="1">
      <c r="V241" s="3"/>
    </row>
    <row r="242" ht="14.25" customHeight="1">
      <c r="V242" s="3"/>
    </row>
    <row r="243" ht="14.25" customHeight="1">
      <c r="V243" s="3"/>
    </row>
    <row r="244" ht="14.25" customHeight="1">
      <c r="V244" s="3"/>
    </row>
    <row r="245" ht="14.25" customHeight="1">
      <c r="V245" s="3"/>
    </row>
    <row r="246" ht="14.25" customHeight="1">
      <c r="V246" s="3"/>
    </row>
    <row r="247" ht="14.25" customHeight="1">
      <c r="V247" s="3"/>
    </row>
    <row r="248" ht="14.25" customHeight="1">
      <c r="V248" s="3"/>
    </row>
    <row r="249" ht="14.25" customHeight="1">
      <c r="V249" s="3"/>
    </row>
    <row r="250" ht="14.25" customHeight="1">
      <c r="V250" s="3"/>
    </row>
    <row r="251" ht="14.25" customHeight="1">
      <c r="V251" s="3"/>
    </row>
    <row r="252" ht="14.25" customHeight="1">
      <c r="V252" s="3"/>
    </row>
    <row r="253" ht="14.25" customHeight="1">
      <c r="V253" s="3"/>
    </row>
    <row r="254" ht="14.25" customHeight="1">
      <c r="V254" s="3"/>
    </row>
    <row r="255" ht="14.25" customHeight="1">
      <c r="V255" s="3"/>
    </row>
    <row r="256" ht="14.25" customHeight="1">
      <c r="V256" s="3"/>
    </row>
    <row r="257" ht="14.25" customHeight="1">
      <c r="V257" s="3"/>
    </row>
    <row r="258" ht="14.25" customHeight="1">
      <c r="V258" s="3"/>
    </row>
    <row r="259" ht="14.25" customHeight="1">
      <c r="V259" s="3"/>
    </row>
    <row r="260" ht="14.25" customHeight="1">
      <c r="V260" s="3"/>
    </row>
    <row r="261" ht="14.25" customHeight="1">
      <c r="V261" s="3"/>
    </row>
    <row r="262" ht="14.25" customHeight="1">
      <c r="V262" s="3"/>
    </row>
    <row r="263" ht="14.25" customHeight="1">
      <c r="V263" s="3"/>
    </row>
    <row r="264" ht="14.25" customHeight="1">
      <c r="V264" s="3"/>
    </row>
    <row r="265" ht="14.25" customHeight="1">
      <c r="V265" s="3"/>
    </row>
    <row r="266" ht="14.25" customHeight="1">
      <c r="V266" s="3"/>
    </row>
    <row r="267" ht="14.25" customHeight="1">
      <c r="V267" s="3"/>
    </row>
    <row r="268" ht="14.25" customHeight="1">
      <c r="V268" s="3"/>
    </row>
    <row r="269" ht="14.25" customHeight="1">
      <c r="V269" s="3"/>
    </row>
    <row r="270" ht="14.25" customHeight="1">
      <c r="V270" s="3"/>
    </row>
    <row r="271" ht="14.25" customHeight="1">
      <c r="V271" s="3"/>
    </row>
    <row r="272" ht="14.25" customHeight="1">
      <c r="V272" s="3"/>
    </row>
    <row r="273" ht="14.25" customHeight="1">
      <c r="V273" s="3"/>
    </row>
    <row r="274" ht="14.25" customHeight="1">
      <c r="V274" s="3"/>
    </row>
    <row r="275" ht="14.25" customHeight="1">
      <c r="V275" s="3"/>
    </row>
    <row r="276" ht="14.25" customHeight="1">
      <c r="V276" s="3"/>
    </row>
    <row r="277" ht="14.25" customHeight="1">
      <c r="V277" s="3"/>
    </row>
    <row r="278" ht="14.25" customHeight="1">
      <c r="V278" s="3"/>
    </row>
    <row r="279" ht="14.25" customHeight="1">
      <c r="V279" s="3"/>
    </row>
    <row r="280" ht="14.25" customHeight="1">
      <c r="V280" s="3"/>
    </row>
    <row r="281" ht="14.25" customHeight="1">
      <c r="V281" s="3"/>
    </row>
    <row r="282" ht="14.25" customHeight="1">
      <c r="V282" s="3"/>
    </row>
    <row r="283" ht="14.25" customHeight="1">
      <c r="V283" s="3"/>
    </row>
    <row r="284" ht="14.25" customHeight="1">
      <c r="V284" s="3"/>
    </row>
    <row r="285" ht="14.25" customHeight="1">
      <c r="V285" s="3"/>
    </row>
    <row r="286" ht="14.25" customHeight="1">
      <c r="V286" s="3"/>
    </row>
    <row r="287" ht="14.25" customHeight="1">
      <c r="V287" s="3"/>
    </row>
    <row r="288" ht="14.25" customHeight="1">
      <c r="V288" s="3"/>
    </row>
    <row r="289" ht="14.25" customHeight="1">
      <c r="V289" s="3"/>
    </row>
    <row r="290" ht="14.25" customHeight="1">
      <c r="V290" s="3"/>
    </row>
    <row r="291" ht="14.25" customHeight="1">
      <c r="V291" s="3"/>
    </row>
    <row r="292" ht="14.25" customHeight="1">
      <c r="V292" s="3"/>
    </row>
    <row r="293" ht="14.25" customHeight="1">
      <c r="V293" s="3"/>
    </row>
    <row r="294" ht="14.25" customHeight="1">
      <c r="V294" s="3"/>
    </row>
    <row r="295" ht="14.25" customHeight="1">
      <c r="V295" s="3"/>
    </row>
    <row r="296" ht="14.25" customHeight="1">
      <c r="V296" s="3"/>
    </row>
    <row r="297" ht="14.25" customHeight="1">
      <c r="V297" s="3"/>
    </row>
    <row r="298" ht="14.25" customHeight="1">
      <c r="V298" s="3"/>
    </row>
    <row r="299" ht="14.25" customHeight="1">
      <c r="V299" s="3"/>
    </row>
    <row r="300" ht="14.25" customHeight="1">
      <c r="V300" s="3"/>
    </row>
    <row r="301" ht="14.25" customHeight="1">
      <c r="V301" s="3"/>
    </row>
    <row r="302" ht="14.25" customHeight="1">
      <c r="V302" s="3"/>
    </row>
    <row r="303" ht="14.25" customHeight="1">
      <c r="V303" s="3"/>
    </row>
    <row r="304" ht="14.25" customHeight="1">
      <c r="V304" s="3"/>
    </row>
    <row r="305" ht="14.25" customHeight="1">
      <c r="V305" s="3"/>
    </row>
    <row r="306" ht="14.25" customHeight="1">
      <c r="V306" s="3"/>
    </row>
    <row r="307" ht="14.25" customHeight="1">
      <c r="V307" s="3"/>
    </row>
    <row r="308" ht="14.25" customHeight="1">
      <c r="V308" s="3"/>
    </row>
    <row r="309" ht="14.25" customHeight="1">
      <c r="V309" s="3"/>
    </row>
    <row r="310" ht="14.25" customHeight="1">
      <c r="V310" s="3"/>
    </row>
    <row r="311" ht="14.25" customHeight="1">
      <c r="V311" s="3"/>
    </row>
    <row r="312" ht="14.25" customHeight="1">
      <c r="V312" s="3"/>
    </row>
    <row r="313" ht="14.25" customHeight="1">
      <c r="V313" s="3"/>
    </row>
    <row r="314" ht="14.25" customHeight="1">
      <c r="V314" s="3"/>
    </row>
    <row r="315" ht="14.25" customHeight="1">
      <c r="V315" s="3"/>
    </row>
    <row r="316" ht="14.25" customHeight="1">
      <c r="V316" s="3"/>
    </row>
    <row r="317" ht="14.25" customHeight="1">
      <c r="V317" s="3"/>
    </row>
    <row r="318" ht="14.25" customHeight="1">
      <c r="V318" s="3"/>
    </row>
    <row r="319" ht="14.25" customHeight="1">
      <c r="V319" s="3"/>
    </row>
    <row r="320" ht="14.25" customHeight="1">
      <c r="V320" s="3"/>
    </row>
    <row r="321" ht="14.25" customHeight="1">
      <c r="V321" s="3"/>
    </row>
    <row r="322" ht="14.25" customHeight="1">
      <c r="V322" s="3"/>
    </row>
    <row r="323" ht="14.25" customHeight="1">
      <c r="V323" s="3"/>
    </row>
    <row r="324" ht="14.25" customHeight="1">
      <c r="V324" s="3"/>
    </row>
    <row r="325" ht="14.25" customHeight="1">
      <c r="V325" s="3"/>
    </row>
    <row r="326" ht="14.25" customHeight="1">
      <c r="V326" s="3"/>
    </row>
    <row r="327" ht="14.25" customHeight="1">
      <c r="V327" s="3"/>
    </row>
    <row r="328" ht="14.25" customHeight="1">
      <c r="V328" s="3"/>
    </row>
    <row r="329" ht="14.25" customHeight="1">
      <c r="V329" s="3"/>
    </row>
    <row r="330" ht="14.25" customHeight="1">
      <c r="V330" s="3"/>
    </row>
    <row r="331" ht="14.25" customHeight="1">
      <c r="V331" s="3"/>
    </row>
    <row r="332" ht="14.25" customHeight="1">
      <c r="V332" s="3"/>
    </row>
    <row r="333" ht="14.25" customHeight="1">
      <c r="V333" s="3"/>
    </row>
    <row r="334" ht="14.25" customHeight="1">
      <c r="V334" s="3"/>
    </row>
    <row r="335" ht="14.25" customHeight="1">
      <c r="V335" s="3"/>
    </row>
    <row r="336" ht="14.25" customHeight="1">
      <c r="V336" s="3"/>
    </row>
    <row r="337" ht="14.25" customHeight="1">
      <c r="V337" s="3"/>
    </row>
    <row r="338" ht="14.25" customHeight="1">
      <c r="V338" s="3"/>
    </row>
    <row r="339" ht="14.25" customHeight="1">
      <c r="V339" s="3"/>
    </row>
    <row r="340" ht="14.25" customHeight="1">
      <c r="V340" s="3"/>
    </row>
    <row r="341" ht="14.25" customHeight="1">
      <c r="V341" s="3"/>
    </row>
    <row r="342" ht="14.25" customHeight="1">
      <c r="V342" s="3"/>
    </row>
    <row r="343" ht="14.25" customHeight="1">
      <c r="V343" s="3"/>
    </row>
    <row r="344" ht="14.25" customHeight="1">
      <c r="V344" s="3"/>
    </row>
    <row r="345" ht="14.25" customHeight="1">
      <c r="V345" s="3"/>
    </row>
    <row r="346" ht="14.25" customHeight="1">
      <c r="V346" s="3"/>
    </row>
    <row r="347" ht="14.25" customHeight="1">
      <c r="V347" s="3"/>
    </row>
    <row r="348" ht="14.25" customHeight="1">
      <c r="V348" s="3"/>
    </row>
    <row r="349" ht="14.25" customHeight="1">
      <c r="V349" s="3"/>
    </row>
    <row r="350" ht="14.25" customHeight="1">
      <c r="V350" s="3"/>
    </row>
    <row r="351" ht="14.25" customHeight="1">
      <c r="V351" s="3"/>
    </row>
    <row r="352" ht="14.25" customHeight="1">
      <c r="V352" s="3"/>
    </row>
    <row r="353" ht="14.25" customHeight="1">
      <c r="V353" s="3"/>
    </row>
    <row r="354" ht="14.25" customHeight="1">
      <c r="V354" s="3"/>
    </row>
    <row r="355" ht="14.25" customHeight="1">
      <c r="V355" s="3"/>
    </row>
    <row r="356" ht="14.25" customHeight="1">
      <c r="V356" s="3"/>
    </row>
    <row r="357" ht="14.25" customHeight="1">
      <c r="V357" s="3"/>
    </row>
    <row r="358" ht="14.25" customHeight="1">
      <c r="V358" s="3"/>
    </row>
    <row r="359" ht="14.25" customHeight="1">
      <c r="V359" s="3"/>
    </row>
    <row r="360" ht="14.25" customHeight="1">
      <c r="V360" s="3"/>
    </row>
    <row r="361" ht="14.25" customHeight="1">
      <c r="V361" s="3"/>
    </row>
    <row r="362" ht="14.25" customHeight="1">
      <c r="V362" s="3"/>
    </row>
    <row r="363" ht="14.25" customHeight="1">
      <c r="V363" s="3"/>
    </row>
    <row r="364" ht="14.25" customHeight="1">
      <c r="V364" s="3"/>
    </row>
    <row r="365" ht="14.25" customHeight="1">
      <c r="V365" s="3"/>
    </row>
    <row r="366" ht="14.25" customHeight="1">
      <c r="V366" s="3"/>
    </row>
    <row r="367" ht="14.25" customHeight="1">
      <c r="V367" s="3"/>
    </row>
    <row r="368" ht="14.25" customHeight="1">
      <c r="V368" s="3"/>
    </row>
    <row r="369" ht="14.25" customHeight="1">
      <c r="V369" s="3"/>
    </row>
    <row r="370" ht="14.25" customHeight="1">
      <c r="V370" s="3"/>
    </row>
    <row r="371" ht="14.25" customHeight="1">
      <c r="V371" s="3"/>
    </row>
    <row r="372" ht="14.25" customHeight="1">
      <c r="V372" s="3"/>
    </row>
    <row r="373" ht="14.25" customHeight="1">
      <c r="V373" s="3"/>
    </row>
    <row r="374" ht="14.25" customHeight="1">
      <c r="V374" s="3"/>
    </row>
    <row r="375" ht="14.25" customHeight="1">
      <c r="V375" s="3"/>
    </row>
    <row r="376" ht="14.25" customHeight="1">
      <c r="V376" s="3"/>
    </row>
    <row r="377" ht="14.25" customHeight="1">
      <c r="V377" s="3"/>
    </row>
    <row r="378" ht="14.25" customHeight="1">
      <c r="V378" s="3"/>
    </row>
    <row r="379" ht="14.25" customHeight="1">
      <c r="V379" s="3"/>
    </row>
    <row r="380" ht="14.25" customHeight="1">
      <c r="V380" s="3"/>
    </row>
    <row r="381" ht="14.25" customHeight="1">
      <c r="V381" s="3"/>
    </row>
    <row r="382" ht="14.25" customHeight="1">
      <c r="V382" s="3"/>
    </row>
    <row r="383" ht="14.25" customHeight="1">
      <c r="V383" s="3"/>
    </row>
    <row r="384" ht="14.25" customHeight="1">
      <c r="V384" s="3"/>
    </row>
    <row r="385" ht="14.25" customHeight="1">
      <c r="V385" s="3"/>
    </row>
    <row r="386" ht="14.25" customHeight="1">
      <c r="V386" s="3"/>
    </row>
    <row r="387" ht="14.25" customHeight="1">
      <c r="V387" s="3"/>
    </row>
    <row r="388" ht="14.25" customHeight="1">
      <c r="V388" s="3"/>
    </row>
    <row r="389" ht="14.25" customHeight="1">
      <c r="V389" s="3"/>
    </row>
    <row r="390" ht="14.25" customHeight="1">
      <c r="V390" s="3"/>
    </row>
    <row r="391" ht="14.25" customHeight="1">
      <c r="V391" s="3"/>
    </row>
    <row r="392" ht="14.25" customHeight="1">
      <c r="V392" s="3"/>
    </row>
    <row r="393" ht="14.25" customHeight="1">
      <c r="V393" s="3"/>
    </row>
    <row r="394" ht="14.25" customHeight="1">
      <c r="V394" s="3"/>
    </row>
    <row r="395" ht="14.25" customHeight="1">
      <c r="V395" s="3"/>
    </row>
    <row r="396" ht="14.25" customHeight="1">
      <c r="V396" s="3"/>
    </row>
    <row r="397" ht="14.25" customHeight="1">
      <c r="V397" s="3"/>
    </row>
    <row r="398" ht="14.25" customHeight="1">
      <c r="V398" s="3"/>
    </row>
    <row r="399" ht="14.25" customHeight="1">
      <c r="V399" s="3"/>
    </row>
    <row r="400" ht="14.25" customHeight="1">
      <c r="V400" s="3"/>
    </row>
    <row r="401" ht="14.25" customHeight="1">
      <c r="V401" s="3"/>
    </row>
    <row r="402" ht="14.25" customHeight="1">
      <c r="V402" s="3"/>
    </row>
    <row r="403" ht="14.25" customHeight="1">
      <c r="V403" s="3"/>
    </row>
    <row r="404" ht="14.25" customHeight="1">
      <c r="V404" s="3"/>
    </row>
    <row r="405" ht="14.25" customHeight="1">
      <c r="V405" s="3"/>
    </row>
    <row r="406" ht="14.25" customHeight="1">
      <c r="V406" s="3"/>
    </row>
    <row r="407" ht="14.25" customHeight="1">
      <c r="V407" s="3"/>
    </row>
    <row r="408" ht="14.25" customHeight="1">
      <c r="V408" s="3"/>
    </row>
    <row r="409" ht="14.25" customHeight="1">
      <c r="V409" s="3"/>
    </row>
    <row r="410" ht="14.25" customHeight="1">
      <c r="V410" s="3"/>
    </row>
    <row r="411" ht="14.25" customHeight="1">
      <c r="V411" s="3"/>
    </row>
    <row r="412" ht="14.25" customHeight="1">
      <c r="V412" s="3"/>
    </row>
    <row r="413" ht="14.25" customHeight="1">
      <c r="V413" s="3"/>
    </row>
    <row r="414" ht="14.25" customHeight="1">
      <c r="V414" s="3"/>
    </row>
    <row r="415" ht="14.25" customHeight="1">
      <c r="V415" s="3"/>
    </row>
    <row r="416" ht="14.25" customHeight="1">
      <c r="V416" s="3"/>
    </row>
    <row r="417" ht="14.25" customHeight="1">
      <c r="V417" s="3"/>
    </row>
    <row r="418" ht="14.25" customHeight="1">
      <c r="V418" s="3"/>
    </row>
    <row r="419" ht="14.25" customHeight="1">
      <c r="V419" s="3"/>
    </row>
    <row r="420" ht="14.25" customHeight="1">
      <c r="V420" s="3"/>
    </row>
    <row r="421" ht="14.25" customHeight="1">
      <c r="V421" s="3"/>
    </row>
    <row r="422" ht="14.25" customHeight="1">
      <c r="V422" s="3"/>
    </row>
    <row r="423" ht="14.25" customHeight="1">
      <c r="V423" s="3"/>
    </row>
    <row r="424" ht="14.25" customHeight="1">
      <c r="V424" s="3"/>
    </row>
    <row r="425" ht="14.25" customHeight="1">
      <c r="V425" s="3"/>
    </row>
    <row r="426" ht="14.25" customHeight="1">
      <c r="V426" s="3"/>
    </row>
    <row r="427" ht="14.25" customHeight="1">
      <c r="V427" s="3"/>
    </row>
    <row r="428" ht="14.25" customHeight="1">
      <c r="V428" s="3"/>
    </row>
    <row r="429" ht="14.25" customHeight="1">
      <c r="V429" s="3"/>
    </row>
    <row r="430" ht="14.25" customHeight="1">
      <c r="V430" s="3"/>
    </row>
    <row r="431" ht="14.25" customHeight="1">
      <c r="V431" s="3"/>
    </row>
    <row r="432" ht="14.25" customHeight="1">
      <c r="V432" s="3"/>
    </row>
    <row r="433" ht="14.25" customHeight="1">
      <c r="V433" s="3"/>
    </row>
    <row r="434" ht="14.25" customHeight="1">
      <c r="V434" s="3"/>
    </row>
    <row r="435" ht="14.25" customHeight="1">
      <c r="V435" s="3"/>
    </row>
    <row r="436" ht="14.25" customHeight="1">
      <c r="V436" s="3"/>
    </row>
    <row r="437" ht="14.25" customHeight="1">
      <c r="V437" s="3"/>
    </row>
    <row r="438" ht="14.25" customHeight="1">
      <c r="V438" s="3"/>
    </row>
    <row r="439" ht="14.25" customHeight="1">
      <c r="V439" s="3"/>
    </row>
    <row r="440" ht="14.25" customHeight="1">
      <c r="V440" s="3"/>
    </row>
    <row r="441" ht="14.25" customHeight="1">
      <c r="V441" s="3"/>
    </row>
    <row r="442" ht="14.25" customHeight="1">
      <c r="V442" s="3"/>
    </row>
    <row r="443" ht="14.25" customHeight="1">
      <c r="V443" s="3"/>
    </row>
    <row r="444" ht="14.25" customHeight="1">
      <c r="V444" s="3"/>
    </row>
    <row r="445" ht="14.25" customHeight="1">
      <c r="V445" s="3"/>
    </row>
    <row r="446" ht="14.25" customHeight="1">
      <c r="V446" s="3"/>
    </row>
    <row r="447" ht="14.25" customHeight="1">
      <c r="V447" s="3"/>
    </row>
    <row r="448" ht="14.25" customHeight="1">
      <c r="V448" s="3"/>
    </row>
    <row r="449" ht="14.25" customHeight="1">
      <c r="V449" s="3"/>
    </row>
    <row r="450" ht="14.25" customHeight="1">
      <c r="V450" s="3"/>
    </row>
    <row r="451" ht="14.25" customHeight="1">
      <c r="V451" s="3"/>
    </row>
    <row r="452" ht="14.25" customHeight="1">
      <c r="V452" s="3"/>
    </row>
    <row r="453" ht="14.25" customHeight="1">
      <c r="V453" s="3"/>
    </row>
    <row r="454" ht="14.25" customHeight="1">
      <c r="V454" s="3"/>
    </row>
    <row r="455" ht="14.25" customHeight="1">
      <c r="V455" s="3"/>
    </row>
    <row r="456" ht="14.25" customHeight="1">
      <c r="V456" s="3"/>
    </row>
    <row r="457" ht="14.25" customHeight="1">
      <c r="V457" s="3"/>
    </row>
    <row r="458" ht="14.25" customHeight="1">
      <c r="V458" s="3"/>
    </row>
    <row r="459" ht="14.25" customHeight="1">
      <c r="V459" s="3"/>
    </row>
    <row r="460" ht="14.25" customHeight="1">
      <c r="V460" s="3"/>
    </row>
    <row r="461" ht="14.25" customHeight="1">
      <c r="V461" s="3"/>
    </row>
    <row r="462" ht="14.25" customHeight="1">
      <c r="V462" s="3"/>
    </row>
    <row r="463" ht="14.25" customHeight="1">
      <c r="V463" s="3"/>
    </row>
    <row r="464" ht="14.25" customHeight="1">
      <c r="V464" s="3"/>
    </row>
    <row r="465" ht="14.25" customHeight="1">
      <c r="V465" s="3"/>
    </row>
    <row r="466" ht="14.25" customHeight="1">
      <c r="V466" s="3"/>
    </row>
    <row r="467" ht="14.25" customHeight="1">
      <c r="V467" s="3"/>
    </row>
    <row r="468" ht="14.25" customHeight="1">
      <c r="V468" s="3"/>
    </row>
    <row r="469" ht="14.25" customHeight="1">
      <c r="V469" s="3"/>
    </row>
    <row r="470" ht="14.25" customHeight="1">
      <c r="V470" s="3"/>
    </row>
    <row r="471" ht="14.25" customHeight="1">
      <c r="V471" s="3"/>
    </row>
    <row r="472" ht="14.25" customHeight="1">
      <c r="V472" s="3"/>
    </row>
    <row r="473" ht="14.25" customHeight="1">
      <c r="V473" s="3"/>
    </row>
    <row r="474" ht="14.25" customHeight="1">
      <c r="V474" s="3"/>
    </row>
    <row r="475" ht="14.25" customHeight="1">
      <c r="V475" s="3"/>
    </row>
    <row r="476" ht="14.25" customHeight="1">
      <c r="V476" s="3"/>
    </row>
    <row r="477" ht="14.25" customHeight="1">
      <c r="V477" s="3"/>
    </row>
    <row r="478" ht="14.25" customHeight="1">
      <c r="V478" s="3"/>
    </row>
    <row r="479" ht="14.25" customHeight="1">
      <c r="V479" s="3"/>
    </row>
    <row r="480" ht="14.25" customHeight="1">
      <c r="V480" s="3"/>
    </row>
    <row r="481" ht="14.25" customHeight="1">
      <c r="V481" s="3"/>
    </row>
    <row r="482" ht="14.25" customHeight="1">
      <c r="V482" s="3"/>
    </row>
    <row r="483" ht="14.25" customHeight="1">
      <c r="V483" s="3"/>
    </row>
    <row r="484" ht="14.25" customHeight="1">
      <c r="V484" s="3"/>
    </row>
    <row r="485" ht="14.25" customHeight="1">
      <c r="V485" s="3"/>
    </row>
    <row r="486" ht="14.25" customHeight="1">
      <c r="V486" s="3"/>
    </row>
    <row r="487" ht="14.25" customHeight="1">
      <c r="V487" s="3"/>
    </row>
    <row r="488" ht="14.25" customHeight="1">
      <c r="V488" s="3"/>
    </row>
    <row r="489" ht="14.25" customHeight="1">
      <c r="V489" s="3"/>
    </row>
    <row r="490" ht="14.25" customHeight="1">
      <c r="V490" s="3"/>
    </row>
    <row r="491" ht="14.25" customHeight="1">
      <c r="V491" s="3"/>
    </row>
    <row r="492" ht="14.25" customHeight="1">
      <c r="V492" s="3"/>
    </row>
    <row r="493" ht="14.25" customHeight="1">
      <c r="V493" s="3"/>
    </row>
    <row r="494" ht="14.25" customHeight="1">
      <c r="V494" s="3"/>
    </row>
    <row r="495" ht="14.25" customHeight="1">
      <c r="V495" s="3"/>
    </row>
    <row r="496" ht="14.25" customHeight="1">
      <c r="V496" s="3"/>
    </row>
    <row r="497" ht="14.25" customHeight="1">
      <c r="V497" s="3"/>
    </row>
    <row r="498" ht="14.25" customHeight="1">
      <c r="V498" s="3"/>
    </row>
    <row r="499" ht="14.25" customHeight="1">
      <c r="V499" s="3"/>
    </row>
    <row r="500" ht="14.25" customHeight="1">
      <c r="V500" s="3"/>
    </row>
    <row r="501" ht="14.25" customHeight="1">
      <c r="V501" s="3"/>
    </row>
    <row r="502" ht="14.25" customHeight="1">
      <c r="V502" s="3"/>
    </row>
    <row r="503" ht="14.25" customHeight="1">
      <c r="V503" s="3"/>
    </row>
    <row r="504" ht="14.25" customHeight="1">
      <c r="V504" s="3"/>
    </row>
    <row r="505" ht="14.25" customHeight="1">
      <c r="V505" s="3"/>
    </row>
    <row r="506" ht="14.25" customHeight="1">
      <c r="V506" s="3"/>
    </row>
    <row r="507" ht="14.25" customHeight="1">
      <c r="V507" s="3"/>
    </row>
    <row r="508" ht="14.25" customHeight="1">
      <c r="V508" s="3"/>
    </row>
    <row r="509" ht="14.25" customHeight="1">
      <c r="V509" s="3"/>
    </row>
    <row r="510" ht="14.25" customHeight="1">
      <c r="V510" s="3"/>
    </row>
    <row r="511" ht="14.25" customHeight="1">
      <c r="V511" s="3"/>
    </row>
    <row r="512" ht="14.25" customHeight="1">
      <c r="V512" s="3"/>
    </row>
    <row r="513" ht="14.25" customHeight="1">
      <c r="V513" s="3"/>
    </row>
    <row r="514" ht="14.25" customHeight="1">
      <c r="V514" s="3"/>
    </row>
    <row r="515" ht="14.25" customHeight="1">
      <c r="V515" s="3"/>
    </row>
    <row r="516" ht="14.25" customHeight="1">
      <c r="V516" s="3"/>
    </row>
    <row r="517" ht="14.25" customHeight="1">
      <c r="V517" s="3"/>
    </row>
    <row r="518" ht="14.25" customHeight="1">
      <c r="V518" s="3"/>
    </row>
    <row r="519" ht="14.25" customHeight="1">
      <c r="V519" s="3"/>
    </row>
    <row r="520" ht="14.25" customHeight="1">
      <c r="V520" s="3"/>
    </row>
    <row r="521" ht="14.25" customHeight="1">
      <c r="V521" s="3"/>
    </row>
    <row r="522" ht="14.25" customHeight="1">
      <c r="V522" s="3"/>
    </row>
    <row r="523" ht="14.25" customHeight="1">
      <c r="V523" s="3"/>
    </row>
    <row r="524" ht="14.25" customHeight="1">
      <c r="V524" s="3"/>
    </row>
    <row r="525" ht="14.25" customHeight="1">
      <c r="V525" s="3"/>
    </row>
    <row r="526" ht="14.25" customHeight="1">
      <c r="V526" s="3"/>
    </row>
    <row r="527" ht="14.25" customHeight="1">
      <c r="V527" s="3"/>
    </row>
    <row r="528" ht="14.25" customHeight="1">
      <c r="V528" s="3"/>
    </row>
    <row r="529" ht="14.25" customHeight="1">
      <c r="V529" s="3"/>
    </row>
    <row r="530" ht="14.25" customHeight="1">
      <c r="V530" s="3"/>
    </row>
    <row r="531" ht="14.25" customHeight="1">
      <c r="V531" s="3"/>
    </row>
    <row r="532" ht="14.25" customHeight="1">
      <c r="V532" s="3"/>
    </row>
    <row r="533" ht="14.25" customHeight="1">
      <c r="V533" s="3"/>
    </row>
    <row r="534" ht="14.25" customHeight="1">
      <c r="V534" s="3"/>
    </row>
    <row r="535" ht="14.25" customHeight="1">
      <c r="V535" s="3"/>
    </row>
    <row r="536" ht="14.25" customHeight="1">
      <c r="V536" s="3"/>
    </row>
    <row r="537" ht="14.25" customHeight="1">
      <c r="V537" s="3"/>
    </row>
    <row r="538" ht="14.25" customHeight="1">
      <c r="V538" s="3"/>
    </row>
    <row r="539" ht="14.25" customHeight="1">
      <c r="V539" s="3"/>
    </row>
    <row r="540" ht="14.25" customHeight="1">
      <c r="V540" s="3"/>
    </row>
    <row r="541" ht="14.25" customHeight="1">
      <c r="V541" s="3"/>
    </row>
    <row r="542" ht="14.25" customHeight="1">
      <c r="V542" s="3"/>
    </row>
    <row r="543" ht="14.25" customHeight="1">
      <c r="V543" s="3"/>
    </row>
    <row r="544" ht="14.25" customHeight="1">
      <c r="V544" s="3"/>
    </row>
    <row r="545" ht="14.25" customHeight="1">
      <c r="V545" s="3"/>
    </row>
    <row r="546" ht="14.25" customHeight="1">
      <c r="V546" s="3"/>
    </row>
    <row r="547" ht="14.25" customHeight="1">
      <c r="V547" s="3"/>
    </row>
    <row r="548" ht="14.25" customHeight="1">
      <c r="V548" s="3"/>
    </row>
    <row r="549" ht="14.25" customHeight="1">
      <c r="V549" s="3"/>
    </row>
    <row r="550" ht="14.25" customHeight="1">
      <c r="V550" s="3"/>
    </row>
    <row r="551" ht="14.25" customHeight="1">
      <c r="V551" s="3"/>
    </row>
    <row r="552" ht="14.25" customHeight="1">
      <c r="V552" s="3"/>
    </row>
    <row r="553" ht="14.25" customHeight="1">
      <c r="V553" s="3"/>
    </row>
    <row r="554" ht="14.25" customHeight="1">
      <c r="V554" s="3"/>
    </row>
    <row r="555" ht="14.25" customHeight="1">
      <c r="V555" s="3"/>
    </row>
    <row r="556" ht="14.25" customHeight="1">
      <c r="V556" s="3"/>
    </row>
    <row r="557" ht="14.25" customHeight="1">
      <c r="V557" s="3"/>
    </row>
    <row r="558" ht="14.25" customHeight="1">
      <c r="V558" s="3"/>
    </row>
    <row r="559" ht="14.25" customHeight="1">
      <c r="V559" s="3"/>
    </row>
    <row r="560" ht="14.25" customHeight="1">
      <c r="V560" s="3"/>
    </row>
    <row r="561" ht="14.25" customHeight="1">
      <c r="V561" s="3"/>
    </row>
    <row r="562" ht="14.25" customHeight="1">
      <c r="V562" s="3"/>
    </row>
    <row r="563" ht="14.25" customHeight="1">
      <c r="V563" s="3"/>
    </row>
    <row r="564" ht="14.25" customHeight="1">
      <c r="V564" s="3"/>
    </row>
    <row r="565" ht="14.25" customHeight="1">
      <c r="V565" s="3"/>
    </row>
    <row r="566" ht="14.25" customHeight="1">
      <c r="V566" s="3"/>
    </row>
    <row r="567" ht="14.25" customHeight="1">
      <c r="V567" s="3"/>
    </row>
    <row r="568" ht="14.25" customHeight="1">
      <c r="V568" s="3"/>
    </row>
    <row r="569" ht="14.25" customHeight="1">
      <c r="V569" s="3"/>
    </row>
    <row r="570" ht="14.25" customHeight="1">
      <c r="V570" s="3"/>
    </row>
    <row r="571" ht="14.25" customHeight="1">
      <c r="V571" s="3"/>
    </row>
    <row r="572" ht="14.25" customHeight="1">
      <c r="V572" s="3"/>
    </row>
    <row r="573" ht="14.25" customHeight="1">
      <c r="V573" s="3"/>
    </row>
    <row r="574" ht="14.25" customHeight="1">
      <c r="V574" s="3"/>
    </row>
    <row r="575" ht="14.25" customHeight="1">
      <c r="V575" s="3"/>
    </row>
    <row r="576" ht="14.25" customHeight="1">
      <c r="V576" s="3"/>
    </row>
    <row r="577" ht="14.25" customHeight="1">
      <c r="V577" s="3"/>
    </row>
    <row r="578" ht="14.25" customHeight="1">
      <c r="V578" s="3"/>
    </row>
    <row r="579" ht="14.25" customHeight="1">
      <c r="V579" s="3"/>
    </row>
    <row r="580" ht="14.25" customHeight="1">
      <c r="V580" s="3"/>
    </row>
    <row r="581" ht="14.25" customHeight="1">
      <c r="V581" s="3"/>
    </row>
    <row r="582" ht="14.25" customHeight="1">
      <c r="V582" s="3"/>
    </row>
    <row r="583" ht="14.25" customHeight="1">
      <c r="V583" s="3"/>
    </row>
    <row r="584" ht="14.25" customHeight="1">
      <c r="V584" s="3"/>
    </row>
    <row r="585" ht="14.25" customHeight="1">
      <c r="V585" s="3"/>
    </row>
    <row r="586" ht="14.25" customHeight="1">
      <c r="V586" s="3"/>
    </row>
    <row r="587" ht="14.25" customHeight="1">
      <c r="V587" s="3"/>
    </row>
    <row r="588" ht="14.25" customHeight="1">
      <c r="V588" s="3"/>
    </row>
    <row r="589" ht="14.25" customHeight="1">
      <c r="V589" s="3"/>
    </row>
    <row r="590" ht="14.25" customHeight="1">
      <c r="V590" s="3"/>
    </row>
    <row r="591" ht="14.25" customHeight="1">
      <c r="V591" s="3"/>
    </row>
    <row r="592" ht="14.25" customHeight="1">
      <c r="V592" s="3"/>
    </row>
    <row r="593" ht="14.25" customHeight="1">
      <c r="V593" s="3"/>
    </row>
    <row r="594" ht="14.25" customHeight="1">
      <c r="V594" s="3"/>
    </row>
    <row r="595" ht="14.25" customHeight="1">
      <c r="V595" s="3"/>
    </row>
    <row r="596" ht="14.25" customHeight="1">
      <c r="V596" s="3"/>
    </row>
    <row r="597" ht="14.25" customHeight="1">
      <c r="V597" s="3"/>
    </row>
    <row r="598" ht="14.25" customHeight="1">
      <c r="V598" s="3"/>
    </row>
    <row r="599" ht="14.25" customHeight="1">
      <c r="V599" s="3"/>
    </row>
    <row r="600" ht="14.25" customHeight="1">
      <c r="V600" s="3"/>
    </row>
    <row r="601" ht="14.25" customHeight="1">
      <c r="V601" s="3"/>
    </row>
    <row r="602" ht="14.25" customHeight="1">
      <c r="V602" s="3"/>
    </row>
    <row r="603" ht="14.25" customHeight="1">
      <c r="V603" s="3"/>
    </row>
    <row r="604" ht="14.25" customHeight="1">
      <c r="V604" s="3"/>
    </row>
    <row r="605" ht="14.25" customHeight="1">
      <c r="V605" s="3"/>
    </row>
    <row r="606" ht="14.25" customHeight="1">
      <c r="V606" s="3"/>
    </row>
    <row r="607" ht="14.25" customHeight="1">
      <c r="V607" s="3"/>
    </row>
    <row r="608" ht="14.25" customHeight="1">
      <c r="V608" s="3"/>
    </row>
    <row r="609" ht="14.25" customHeight="1">
      <c r="V609" s="3"/>
    </row>
    <row r="610" ht="14.25" customHeight="1">
      <c r="V610" s="3"/>
    </row>
    <row r="611" ht="14.25" customHeight="1">
      <c r="V611" s="3"/>
    </row>
    <row r="612" ht="14.25" customHeight="1">
      <c r="V612" s="3"/>
    </row>
    <row r="613" ht="14.25" customHeight="1">
      <c r="V613" s="3"/>
    </row>
    <row r="614" ht="14.25" customHeight="1">
      <c r="V614" s="3"/>
    </row>
    <row r="615" ht="14.25" customHeight="1">
      <c r="V615" s="3"/>
    </row>
    <row r="616" ht="14.25" customHeight="1">
      <c r="V616" s="3"/>
    </row>
    <row r="617" ht="14.25" customHeight="1">
      <c r="V617" s="3"/>
    </row>
    <row r="618" ht="14.25" customHeight="1">
      <c r="V618" s="3"/>
    </row>
    <row r="619" ht="14.25" customHeight="1">
      <c r="V619" s="3"/>
    </row>
    <row r="620" ht="14.25" customHeight="1">
      <c r="V620" s="3"/>
    </row>
    <row r="621" ht="14.25" customHeight="1">
      <c r="V621" s="3"/>
    </row>
    <row r="622" ht="14.25" customHeight="1">
      <c r="V622" s="3"/>
    </row>
    <row r="623" ht="14.25" customHeight="1">
      <c r="V623" s="3"/>
    </row>
    <row r="624" ht="14.25" customHeight="1">
      <c r="V624" s="3"/>
    </row>
    <row r="625" ht="14.25" customHeight="1">
      <c r="V625" s="3"/>
    </row>
    <row r="626" ht="14.25" customHeight="1">
      <c r="V626" s="3"/>
    </row>
    <row r="627" ht="14.25" customHeight="1">
      <c r="V627" s="3"/>
    </row>
    <row r="628" ht="14.25" customHeight="1">
      <c r="V628" s="3"/>
    </row>
    <row r="629" ht="14.25" customHeight="1">
      <c r="V629" s="3"/>
    </row>
    <row r="630" ht="14.25" customHeight="1">
      <c r="V630" s="3"/>
    </row>
    <row r="631" ht="14.25" customHeight="1">
      <c r="V631" s="3"/>
    </row>
    <row r="632" ht="14.25" customHeight="1">
      <c r="V632" s="3"/>
    </row>
    <row r="633" ht="14.25" customHeight="1">
      <c r="V633" s="3"/>
    </row>
    <row r="634" ht="14.25" customHeight="1">
      <c r="V634" s="3"/>
    </row>
    <row r="635" ht="14.25" customHeight="1">
      <c r="V635" s="3"/>
    </row>
    <row r="636" ht="14.25" customHeight="1">
      <c r="V636" s="3"/>
    </row>
    <row r="637" ht="14.25" customHeight="1">
      <c r="V637" s="3"/>
    </row>
    <row r="638" ht="14.25" customHeight="1">
      <c r="V638" s="3"/>
    </row>
    <row r="639" ht="14.25" customHeight="1">
      <c r="V639" s="3"/>
    </row>
    <row r="640" ht="14.25" customHeight="1">
      <c r="V640" s="3"/>
    </row>
    <row r="641" ht="14.25" customHeight="1">
      <c r="V641" s="3"/>
    </row>
    <row r="642" ht="14.25" customHeight="1">
      <c r="V642" s="3"/>
    </row>
    <row r="643" ht="14.25" customHeight="1">
      <c r="V643" s="3"/>
    </row>
    <row r="644" ht="14.25" customHeight="1">
      <c r="V644" s="3"/>
    </row>
    <row r="645" ht="14.25" customHeight="1">
      <c r="V645" s="3"/>
    </row>
    <row r="646" ht="14.25" customHeight="1">
      <c r="V646" s="3"/>
    </row>
    <row r="647" ht="14.25" customHeight="1">
      <c r="V647" s="3"/>
    </row>
    <row r="648" ht="14.25" customHeight="1">
      <c r="V648" s="3"/>
    </row>
    <row r="649" ht="14.25" customHeight="1">
      <c r="V649" s="3"/>
    </row>
    <row r="650" ht="14.25" customHeight="1">
      <c r="V650" s="3"/>
    </row>
    <row r="651" ht="14.25" customHeight="1">
      <c r="V651" s="3"/>
    </row>
    <row r="652" ht="14.25" customHeight="1">
      <c r="V652" s="3"/>
    </row>
    <row r="653" ht="14.25" customHeight="1">
      <c r="V653" s="3"/>
    </row>
    <row r="654" ht="14.25" customHeight="1">
      <c r="V654" s="3"/>
    </row>
    <row r="655" ht="14.25" customHeight="1">
      <c r="V655" s="3"/>
    </row>
    <row r="656" ht="14.25" customHeight="1">
      <c r="V656" s="3"/>
    </row>
    <row r="657" ht="14.25" customHeight="1">
      <c r="V657" s="3"/>
    </row>
    <row r="658" ht="14.25" customHeight="1">
      <c r="V658" s="3"/>
    </row>
    <row r="659" ht="14.25" customHeight="1">
      <c r="V659" s="3"/>
    </row>
    <row r="660" ht="14.25" customHeight="1">
      <c r="V660" s="3"/>
    </row>
    <row r="661" ht="14.25" customHeight="1">
      <c r="V661" s="3"/>
    </row>
    <row r="662" ht="14.25" customHeight="1">
      <c r="V662" s="3"/>
    </row>
    <row r="663" ht="14.25" customHeight="1">
      <c r="V663" s="3"/>
    </row>
    <row r="664" ht="14.25" customHeight="1">
      <c r="V664" s="3"/>
    </row>
    <row r="665" ht="14.25" customHeight="1">
      <c r="V665" s="3"/>
    </row>
    <row r="666" ht="14.25" customHeight="1">
      <c r="V666" s="3"/>
    </row>
    <row r="667" ht="14.25" customHeight="1">
      <c r="V667" s="3"/>
    </row>
    <row r="668" ht="14.25" customHeight="1">
      <c r="V668" s="3"/>
    </row>
    <row r="669" ht="14.25" customHeight="1">
      <c r="V669" s="3"/>
    </row>
    <row r="670" ht="14.25" customHeight="1">
      <c r="V670" s="3"/>
    </row>
    <row r="671" ht="14.25" customHeight="1">
      <c r="V671" s="3"/>
    </row>
    <row r="672" ht="14.25" customHeight="1">
      <c r="V672" s="3"/>
    </row>
    <row r="673" ht="14.25" customHeight="1">
      <c r="V673" s="3"/>
    </row>
    <row r="674" ht="14.25" customHeight="1">
      <c r="V674" s="3"/>
    </row>
    <row r="675" ht="14.25" customHeight="1">
      <c r="V675" s="3"/>
    </row>
    <row r="676" ht="14.25" customHeight="1">
      <c r="V676" s="3"/>
    </row>
    <row r="677" ht="14.25" customHeight="1">
      <c r="V677" s="3"/>
    </row>
    <row r="678" ht="14.25" customHeight="1">
      <c r="V678" s="3"/>
    </row>
    <row r="679" ht="14.25" customHeight="1">
      <c r="V679" s="3"/>
    </row>
    <row r="680" ht="14.25" customHeight="1">
      <c r="V680" s="3"/>
    </row>
    <row r="681" ht="14.25" customHeight="1">
      <c r="V681" s="3"/>
    </row>
    <row r="682" ht="14.25" customHeight="1">
      <c r="V682" s="3"/>
    </row>
    <row r="683" ht="14.25" customHeight="1">
      <c r="V683" s="3"/>
    </row>
    <row r="684" ht="14.25" customHeight="1">
      <c r="V684" s="3"/>
    </row>
    <row r="685" ht="14.25" customHeight="1">
      <c r="V685" s="3"/>
    </row>
    <row r="686" ht="14.25" customHeight="1">
      <c r="V686" s="3"/>
    </row>
    <row r="687" ht="14.25" customHeight="1">
      <c r="V687" s="3"/>
    </row>
    <row r="688" ht="14.25" customHeight="1">
      <c r="V688" s="3"/>
    </row>
    <row r="689" ht="14.25" customHeight="1">
      <c r="V689" s="3"/>
    </row>
    <row r="690" ht="14.25" customHeight="1">
      <c r="V690" s="3"/>
    </row>
    <row r="691" ht="14.25" customHeight="1">
      <c r="V691" s="3"/>
    </row>
    <row r="692" ht="14.25" customHeight="1">
      <c r="V692" s="3"/>
    </row>
    <row r="693" ht="14.25" customHeight="1">
      <c r="V693" s="3"/>
    </row>
    <row r="694" ht="14.25" customHeight="1">
      <c r="V694" s="3"/>
    </row>
    <row r="695" ht="14.25" customHeight="1">
      <c r="V695" s="3"/>
    </row>
    <row r="696" ht="14.25" customHeight="1">
      <c r="V696" s="3"/>
    </row>
    <row r="697" ht="14.25" customHeight="1">
      <c r="V697" s="3"/>
    </row>
    <row r="698" ht="14.25" customHeight="1">
      <c r="V698" s="3"/>
    </row>
    <row r="699" ht="14.25" customHeight="1">
      <c r="V699" s="3"/>
    </row>
    <row r="700" ht="14.25" customHeight="1">
      <c r="V700" s="3"/>
    </row>
    <row r="701" ht="14.25" customHeight="1">
      <c r="V701" s="3"/>
    </row>
    <row r="702" ht="14.25" customHeight="1">
      <c r="V702" s="3"/>
    </row>
    <row r="703" ht="14.25" customHeight="1">
      <c r="V703" s="3"/>
    </row>
    <row r="704" ht="14.25" customHeight="1">
      <c r="V704" s="3"/>
    </row>
    <row r="705" ht="14.25" customHeight="1">
      <c r="V705" s="3"/>
    </row>
    <row r="706" ht="14.25" customHeight="1">
      <c r="V706" s="3"/>
    </row>
    <row r="707" ht="14.25" customHeight="1">
      <c r="V707" s="3"/>
    </row>
    <row r="708" ht="14.25" customHeight="1">
      <c r="V708" s="3"/>
    </row>
    <row r="709" ht="14.25" customHeight="1">
      <c r="V709" s="3"/>
    </row>
    <row r="710" ht="14.25" customHeight="1">
      <c r="V710" s="3"/>
    </row>
    <row r="711" ht="14.25" customHeight="1">
      <c r="V711" s="3"/>
    </row>
    <row r="712" ht="14.25" customHeight="1">
      <c r="V712" s="3"/>
    </row>
    <row r="713" ht="14.25" customHeight="1">
      <c r="V713" s="3"/>
    </row>
    <row r="714" ht="14.25" customHeight="1">
      <c r="V714" s="3"/>
    </row>
    <row r="715" ht="14.25" customHeight="1">
      <c r="V715" s="3"/>
    </row>
    <row r="716" ht="14.25" customHeight="1">
      <c r="V716" s="3"/>
    </row>
    <row r="717" ht="14.25" customHeight="1">
      <c r="V717" s="3"/>
    </row>
    <row r="718" ht="14.25" customHeight="1">
      <c r="V718" s="3"/>
    </row>
    <row r="719" ht="14.25" customHeight="1">
      <c r="V719" s="3"/>
    </row>
    <row r="720" ht="14.25" customHeight="1">
      <c r="V720" s="3"/>
    </row>
    <row r="721" ht="14.25" customHeight="1">
      <c r="V721" s="3"/>
    </row>
    <row r="722" ht="14.25" customHeight="1">
      <c r="V722" s="3"/>
    </row>
    <row r="723" ht="14.25" customHeight="1">
      <c r="V723" s="3"/>
    </row>
    <row r="724" ht="14.25" customHeight="1">
      <c r="V724" s="3"/>
    </row>
    <row r="725" ht="14.25" customHeight="1">
      <c r="V725" s="3"/>
    </row>
    <row r="726" ht="14.25" customHeight="1">
      <c r="V726" s="3"/>
    </row>
    <row r="727" ht="14.25" customHeight="1">
      <c r="V727" s="3"/>
    </row>
    <row r="728" ht="14.25" customHeight="1">
      <c r="V728" s="3"/>
    </row>
    <row r="729" ht="14.25" customHeight="1">
      <c r="V729" s="3"/>
    </row>
    <row r="730" ht="14.25" customHeight="1">
      <c r="V730" s="3"/>
    </row>
    <row r="731" ht="14.25" customHeight="1">
      <c r="V731" s="3"/>
    </row>
    <row r="732" ht="14.25" customHeight="1">
      <c r="V732" s="3"/>
    </row>
    <row r="733" ht="14.25" customHeight="1">
      <c r="V733" s="3"/>
    </row>
    <row r="734" ht="14.25" customHeight="1">
      <c r="V734" s="3"/>
    </row>
    <row r="735" ht="14.25" customHeight="1">
      <c r="V735" s="3"/>
    </row>
    <row r="736" ht="14.25" customHeight="1">
      <c r="V736" s="3"/>
    </row>
    <row r="737" ht="14.25" customHeight="1">
      <c r="V737" s="3"/>
    </row>
    <row r="738" ht="14.25" customHeight="1">
      <c r="V738" s="3"/>
    </row>
    <row r="739" ht="14.25" customHeight="1">
      <c r="V739" s="3"/>
    </row>
    <row r="740" ht="14.25" customHeight="1">
      <c r="V740" s="3"/>
    </row>
    <row r="741" ht="14.25" customHeight="1">
      <c r="V741" s="3"/>
    </row>
    <row r="742" ht="14.25" customHeight="1">
      <c r="V742" s="3"/>
    </row>
    <row r="743" ht="14.25" customHeight="1">
      <c r="V743" s="3"/>
    </row>
    <row r="744" ht="14.25" customHeight="1">
      <c r="V744" s="3"/>
    </row>
    <row r="745" ht="14.25" customHeight="1">
      <c r="V745" s="3"/>
    </row>
    <row r="746" ht="14.25" customHeight="1">
      <c r="V746" s="3"/>
    </row>
    <row r="747" ht="14.25" customHeight="1">
      <c r="V747" s="3"/>
    </row>
    <row r="748" ht="14.25" customHeight="1">
      <c r="V748" s="3"/>
    </row>
    <row r="749" ht="14.25" customHeight="1">
      <c r="V749" s="3"/>
    </row>
    <row r="750" ht="14.25" customHeight="1">
      <c r="V750" s="3"/>
    </row>
    <row r="751" ht="14.25" customHeight="1">
      <c r="V751" s="3"/>
    </row>
    <row r="752" ht="14.25" customHeight="1">
      <c r="V752" s="3"/>
    </row>
    <row r="753" ht="14.25" customHeight="1">
      <c r="V753" s="3"/>
    </row>
    <row r="754" ht="14.25" customHeight="1">
      <c r="V754" s="3"/>
    </row>
    <row r="755" ht="14.25" customHeight="1">
      <c r="V755" s="3"/>
    </row>
    <row r="756" ht="14.25" customHeight="1">
      <c r="V756" s="3"/>
    </row>
    <row r="757" ht="14.25" customHeight="1">
      <c r="V757" s="3"/>
    </row>
    <row r="758" ht="14.25" customHeight="1">
      <c r="V758" s="3"/>
    </row>
    <row r="759" ht="14.25" customHeight="1">
      <c r="V759" s="3"/>
    </row>
    <row r="760" ht="14.25" customHeight="1">
      <c r="V760" s="3"/>
    </row>
    <row r="761" ht="14.25" customHeight="1">
      <c r="V761" s="3"/>
    </row>
    <row r="762" ht="14.25" customHeight="1">
      <c r="V762" s="3"/>
    </row>
    <row r="763" ht="14.25" customHeight="1">
      <c r="V763" s="3"/>
    </row>
    <row r="764" ht="14.25" customHeight="1">
      <c r="V764" s="3"/>
    </row>
    <row r="765" ht="14.25" customHeight="1">
      <c r="V765" s="3"/>
    </row>
    <row r="766" ht="14.25" customHeight="1">
      <c r="V766" s="3"/>
    </row>
    <row r="767" ht="14.25" customHeight="1">
      <c r="V767" s="3"/>
    </row>
    <row r="768" ht="14.25" customHeight="1">
      <c r="V768" s="3"/>
    </row>
    <row r="769" ht="14.25" customHeight="1">
      <c r="V769" s="3"/>
    </row>
    <row r="770" ht="14.25" customHeight="1">
      <c r="V770" s="3"/>
    </row>
    <row r="771" ht="14.25" customHeight="1">
      <c r="V771" s="3"/>
    </row>
    <row r="772" ht="14.25" customHeight="1">
      <c r="V772" s="3"/>
    </row>
    <row r="773" ht="14.25" customHeight="1">
      <c r="V773" s="3"/>
    </row>
    <row r="774" ht="14.25" customHeight="1">
      <c r="V774" s="3"/>
    </row>
    <row r="775" ht="14.25" customHeight="1">
      <c r="V775" s="3"/>
    </row>
    <row r="776" ht="14.25" customHeight="1">
      <c r="V776" s="3"/>
    </row>
    <row r="777" ht="14.25" customHeight="1">
      <c r="V777" s="3"/>
    </row>
    <row r="778" ht="14.25" customHeight="1">
      <c r="V778" s="3"/>
    </row>
    <row r="779" ht="14.25" customHeight="1">
      <c r="V779" s="3"/>
    </row>
    <row r="780" ht="14.25" customHeight="1">
      <c r="V780" s="3"/>
    </row>
    <row r="781" ht="14.25" customHeight="1">
      <c r="V781" s="3"/>
    </row>
    <row r="782" ht="14.25" customHeight="1">
      <c r="V782" s="3"/>
    </row>
    <row r="783" ht="14.25" customHeight="1">
      <c r="V783" s="3"/>
    </row>
    <row r="784" ht="14.25" customHeight="1">
      <c r="V784" s="3"/>
    </row>
    <row r="785" ht="14.25" customHeight="1">
      <c r="V785" s="3"/>
    </row>
    <row r="786" ht="14.25" customHeight="1">
      <c r="V786" s="3"/>
    </row>
    <row r="787" ht="14.25" customHeight="1">
      <c r="V787" s="3"/>
    </row>
    <row r="788" ht="14.25" customHeight="1">
      <c r="V788" s="3"/>
    </row>
    <row r="789" ht="14.25" customHeight="1">
      <c r="V789" s="3"/>
    </row>
    <row r="790" ht="14.25" customHeight="1">
      <c r="V790" s="3"/>
    </row>
    <row r="791" ht="14.25" customHeight="1">
      <c r="V791" s="3"/>
    </row>
    <row r="792" ht="14.25" customHeight="1">
      <c r="V792" s="3"/>
    </row>
    <row r="793" ht="14.25" customHeight="1">
      <c r="V793" s="3"/>
    </row>
    <row r="794" ht="14.25" customHeight="1">
      <c r="V794" s="3"/>
    </row>
    <row r="795" ht="14.25" customHeight="1">
      <c r="V795" s="3"/>
    </row>
    <row r="796" ht="14.25" customHeight="1">
      <c r="V796" s="3"/>
    </row>
    <row r="797" ht="14.25" customHeight="1">
      <c r="V797" s="3"/>
    </row>
    <row r="798" ht="14.25" customHeight="1">
      <c r="V798" s="3"/>
    </row>
    <row r="799" ht="14.25" customHeight="1">
      <c r="V799" s="3"/>
    </row>
    <row r="800" ht="14.25" customHeight="1">
      <c r="V800" s="3"/>
    </row>
    <row r="801" ht="14.25" customHeight="1">
      <c r="V801" s="3"/>
    </row>
    <row r="802" ht="14.25" customHeight="1">
      <c r="V802" s="3"/>
    </row>
    <row r="803" ht="14.25" customHeight="1">
      <c r="V803" s="3"/>
    </row>
    <row r="804" ht="14.25" customHeight="1">
      <c r="V804" s="3"/>
    </row>
    <row r="805" ht="14.25" customHeight="1">
      <c r="V805" s="3"/>
    </row>
    <row r="806" ht="14.25" customHeight="1">
      <c r="V806" s="3"/>
    </row>
    <row r="807" ht="14.25" customHeight="1">
      <c r="V807" s="3"/>
    </row>
    <row r="808" ht="14.25" customHeight="1">
      <c r="V808" s="3"/>
    </row>
    <row r="809" ht="14.25" customHeight="1">
      <c r="V809" s="3"/>
    </row>
    <row r="810" ht="14.25" customHeight="1">
      <c r="V810" s="3"/>
    </row>
    <row r="811" ht="14.25" customHeight="1">
      <c r="V811" s="3"/>
    </row>
    <row r="812" ht="14.25" customHeight="1">
      <c r="V812" s="3"/>
    </row>
    <row r="813" ht="14.25" customHeight="1">
      <c r="V813" s="3"/>
    </row>
    <row r="814" ht="14.25" customHeight="1">
      <c r="V814" s="3"/>
    </row>
    <row r="815" ht="14.25" customHeight="1">
      <c r="V815" s="3"/>
    </row>
    <row r="816" ht="14.25" customHeight="1">
      <c r="V816" s="3"/>
    </row>
    <row r="817" ht="14.25" customHeight="1">
      <c r="V817" s="3"/>
    </row>
    <row r="818" ht="14.25" customHeight="1">
      <c r="V818" s="3"/>
    </row>
    <row r="819" ht="14.25" customHeight="1">
      <c r="V819" s="3"/>
    </row>
    <row r="820" ht="14.25" customHeight="1">
      <c r="V820" s="3"/>
    </row>
    <row r="821" ht="14.25" customHeight="1">
      <c r="V821" s="3"/>
    </row>
    <row r="822" ht="14.25" customHeight="1">
      <c r="V822" s="3"/>
    </row>
    <row r="823" ht="14.25" customHeight="1">
      <c r="V823" s="3"/>
    </row>
    <row r="824" ht="14.25" customHeight="1">
      <c r="V824" s="3"/>
    </row>
    <row r="825" ht="14.25" customHeight="1">
      <c r="V825" s="3"/>
    </row>
    <row r="826" ht="14.25" customHeight="1">
      <c r="V826" s="3"/>
    </row>
    <row r="827" ht="14.25" customHeight="1">
      <c r="V827" s="3"/>
    </row>
    <row r="828" ht="14.25" customHeight="1">
      <c r="V828" s="3"/>
    </row>
    <row r="829" ht="14.25" customHeight="1">
      <c r="V829" s="3"/>
    </row>
    <row r="830" ht="14.25" customHeight="1">
      <c r="V830" s="3"/>
    </row>
    <row r="831" ht="14.25" customHeight="1">
      <c r="V831" s="3"/>
    </row>
    <row r="832" ht="14.25" customHeight="1">
      <c r="V832" s="3"/>
    </row>
    <row r="833" ht="14.25" customHeight="1">
      <c r="V833" s="3"/>
    </row>
    <row r="834" ht="14.25" customHeight="1">
      <c r="V834" s="3"/>
    </row>
    <row r="835" ht="14.25" customHeight="1">
      <c r="V835" s="3"/>
    </row>
    <row r="836" ht="14.25" customHeight="1">
      <c r="V836" s="3"/>
    </row>
    <row r="837" ht="14.25" customHeight="1">
      <c r="V837" s="3"/>
    </row>
    <row r="838" ht="14.25" customHeight="1">
      <c r="V838" s="3"/>
    </row>
    <row r="839" ht="14.25" customHeight="1">
      <c r="V839" s="3"/>
    </row>
    <row r="840" ht="14.25" customHeight="1">
      <c r="V840" s="3"/>
    </row>
    <row r="841" ht="14.25" customHeight="1">
      <c r="V841" s="3"/>
    </row>
    <row r="842" ht="14.25" customHeight="1">
      <c r="V842" s="3"/>
    </row>
    <row r="843" ht="14.25" customHeight="1">
      <c r="V843" s="3"/>
    </row>
    <row r="844" ht="14.25" customHeight="1">
      <c r="V844" s="3"/>
    </row>
    <row r="845" ht="14.25" customHeight="1">
      <c r="V845" s="3"/>
    </row>
    <row r="846" ht="14.25" customHeight="1">
      <c r="V846" s="3"/>
    </row>
    <row r="847" ht="14.25" customHeight="1">
      <c r="V847" s="3"/>
    </row>
    <row r="848" ht="14.25" customHeight="1">
      <c r="V848" s="3"/>
    </row>
    <row r="849" ht="14.25" customHeight="1">
      <c r="V849" s="3"/>
    </row>
    <row r="850" ht="14.25" customHeight="1">
      <c r="V850" s="3"/>
    </row>
    <row r="851" ht="14.25" customHeight="1">
      <c r="V851" s="3"/>
    </row>
    <row r="852" ht="14.25" customHeight="1">
      <c r="V852" s="3"/>
    </row>
    <row r="853" ht="14.25" customHeight="1">
      <c r="V853" s="3"/>
    </row>
    <row r="854" ht="14.25" customHeight="1">
      <c r="V854" s="3"/>
    </row>
    <row r="855" ht="14.25" customHeight="1">
      <c r="V855" s="3"/>
    </row>
    <row r="856" ht="14.25" customHeight="1">
      <c r="V856" s="3"/>
    </row>
    <row r="857" ht="14.25" customHeight="1">
      <c r="V857" s="3"/>
    </row>
    <row r="858" ht="14.25" customHeight="1">
      <c r="V858" s="3"/>
    </row>
    <row r="859" ht="14.25" customHeight="1">
      <c r="V859" s="3"/>
    </row>
    <row r="860" ht="14.25" customHeight="1">
      <c r="V860" s="3"/>
    </row>
    <row r="861" ht="14.25" customHeight="1">
      <c r="V861" s="3"/>
    </row>
    <row r="862" ht="14.25" customHeight="1">
      <c r="V862" s="3"/>
    </row>
    <row r="863" ht="14.25" customHeight="1">
      <c r="V863" s="3"/>
    </row>
    <row r="864" ht="14.25" customHeight="1">
      <c r="V864" s="3"/>
    </row>
    <row r="865" ht="14.25" customHeight="1">
      <c r="V865" s="3"/>
    </row>
    <row r="866" ht="14.25" customHeight="1">
      <c r="V866" s="3"/>
    </row>
    <row r="867" ht="14.25" customHeight="1">
      <c r="V867" s="3"/>
    </row>
    <row r="868" ht="14.25" customHeight="1">
      <c r="V868" s="3"/>
    </row>
    <row r="869" ht="14.25" customHeight="1">
      <c r="V869" s="3"/>
    </row>
    <row r="870" ht="14.25" customHeight="1">
      <c r="V870" s="3"/>
    </row>
    <row r="871" ht="14.25" customHeight="1">
      <c r="V871" s="3"/>
    </row>
    <row r="872" ht="14.25" customHeight="1">
      <c r="V872" s="3"/>
    </row>
    <row r="873" ht="14.25" customHeight="1">
      <c r="V873" s="3"/>
    </row>
    <row r="874" ht="14.25" customHeight="1">
      <c r="V874" s="3"/>
    </row>
    <row r="875" ht="14.25" customHeight="1">
      <c r="V875" s="3"/>
    </row>
    <row r="876" ht="14.25" customHeight="1">
      <c r="V876" s="3"/>
    </row>
    <row r="877" ht="14.25" customHeight="1">
      <c r="V877" s="3"/>
    </row>
    <row r="878" ht="14.25" customHeight="1">
      <c r="V878" s="3"/>
    </row>
    <row r="879" ht="14.25" customHeight="1">
      <c r="V879" s="3"/>
    </row>
    <row r="880" ht="14.25" customHeight="1">
      <c r="V880" s="3"/>
    </row>
    <row r="881" ht="14.25" customHeight="1">
      <c r="V881" s="3"/>
    </row>
    <row r="882" ht="14.25" customHeight="1">
      <c r="V882" s="3"/>
    </row>
    <row r="883" ht="14.25" customHeight="1">
      <c r="V883" s="3"/>
    </row>
    <row r="884" ht="14.25" customHeight="1">
      <c r="V884" s="3"/>
    </row>
    <row r="885" ht="14.25" customHeight="1">
      <c r="V885" s="3"/>
    </row>
    <row r="886" ht="14.25" customHeight="1">
      <c r="V886" s="3"/>
    </row>
    <row r="887" ht="14.25" customHeight="1">
      <c r="V887" s="3"/>
    </row>
    <row r="888" ht="14.25" customHeight="1">
      <c r="V888" s="3"/>
    </row>
    <row r="889" ht="14.25" customHeight="1">
      <c r="V889" s="3"/>
    </row>
    <row r="890" ht="14.25" customHeight="1">
      <c r="V890" s="3"/>
    </row>
    <row r="891" ht="14.25" customHeight="1">
      <c r="V891" s="3"/>
    </row>
    <row r="892" ht="14.25" customHeight="1">
      <c r="V892" s="3"/>
    </row>
    <row r="893" ht="14.25" customHeight="1">
      <c r="V893" s="3"/>
    </row>
    <row r="894" ht="14.25" customHeight="1">
      <c r="V894" s="3"/>
    </row>
    <row r="895" ht="14.25" customHeight="1">
      <c r="V895" s="3"/>
    </row>
    <row r="896" ht="14.25" customHeight="1">
      <c r="V896" s="3"/>
    </row>
    <row r="897" ht="14.25" customHeight="1">
      <c r="V897" s="3"/>
    </row>
    <row r="898" ht="14.25" customHeight="1">
      <c r="V898" s="3"/>
    </row>
    <row r="899" ht="14.25" customHeight="1">
      <c r="V899" s="3"/>
    </row>
    <row r="900" ht="14.25" customHeight="1">
      <c r="V900" s="3"/>
    </row>
    <row r="901" ht="14.25" customHeight="1">
      <c r="V901" s="3"/>
    </row>
    <row r="902" ht="14.25" customHeight="1">
      <c r="V902" s="3"/>
    </row>
    <row r="903" ht="14.25" customHeight="1">
      <c r="V903" s="3"/>
    </row>
    <row r="904" ht="14.25" customHeight="1">
      <c r="V904" s="3"/>
    </row>
    <row r="905" ht="14.25" customHeight="1">
      <c r="V905" s="3"/>
    </row>
    <row r="906" ht="14.25" customHeight="1">
      <c r="V906" s="3"/>
    </row>
    <row r="907" ht="14.25" customHeight="1">
      <c r="V907" s="3"/>
    </row>
    <row r="908" ht="14.25" customHeight="1">
      <c r="V908" s="3"/>
    </row>
    <row r="909" ht="14.25" customHeight="1">
      <c r="V909" s="3"/>
    </row>
    <row r="910" ht="14.25" customHeight="1">
      <c r="V910" s="3"/>
    </row>
    <row r="911" ht="14.25" customHeight="1">
      <c r="V911" s="3"/>
    </row>
    <row r="912" ht="14.25" customHeight="1">
      <c r="V912" s="3"/>
    </row>
    <row r="913" ht="14.25" customHeight="1">
      <c r="V913" s="3"/>
    </row>
    <row r="914" ht="14.25" customHeight="1">
      <c r="V914" s="3"/>
    </row>
    <row r="915" ht="14.25" customHeight="1">
      <c r="V915" s="3"/>
    </row>
    <row r="916" ht="14.25" customHeight="1">
      <c r="V916" s="3"/>
    </row>
    <row r="917" ht="14.25" customHeight="1">
      <c r="V917" s="3"/>
    </row>
    <row r="918" ht="14.25" customHeight="1">
      <c r="V918" s="3"/>
    </row>
    <row r="919" ht="14.25" customHeight="1">
      <c r="V919" s="3"/>
    </row>
    <row r="920" ht="14.25" customHeight="1">
      <c r="V920" s="3"/>
    </row>
    <row r="921" ht="14.25" customHeight="1">
      <c r="V921" s="3"/>
    </row>
    <row r="922" ht="14.25" customHeight="1">
      <c r="V922" s="3"/>
    </row>
    <row r="923" ht="14.25" customHeight="1">
      <c r="V923" s="3"/>
    </row>
    <row r="924" ht="14.25" customHeight="1">
      <c r="V924" s="3"/>
    </row>
    <row r="925" ht="14.25" customHeight="1">
      <c r="V925" s="3"/>
    </row>
    <row r="926" ht="14.25" customHeight="1">
      <c r="V926" s="3"/>
    </row>
    <row r="927" ht="14.25" customHeight="1">
      <c r="V927" s="3"/>
    </row>
    <row r="928" ht="14.25" customHeight="1">
      <c r="V928" s="3"/>
    </row>
    <row r="929" ht="14.25" customHeight="1">
      <c r="V929" s="3"/>
    </row>
    <row r="930" ht="14.25" customHeight="1">
      <c r="V930" s="3"/>
    </row>
    <row r="931" ht="14.25" customHeight="1">
      <c r="V931" s="3"/>
    </row>
    <row r="932" ht="14.25" customHeight="1">
      <c r="V932" s="3"/>
    </row>
    <row r="933" ht="14.25" customHeight="1">
      <c r="V933" s="3"/>
    </row>
    <row r="934" ht="14.25" customHeight="1">
      <c r="V934" s="3"/>
    </row>
    <row r="935" ht="14.25" customHeight="1">
      <c r="V935" s="3"/>
    </row>
    <row r="936" ht="14.25" customHeight="1">
      <c r="V936" s="3"/>
    </row>
    <row r="937" ht="14.25" customHeight="1">
      <c r="V937" s="3"/>
    </row>
    <row r="938" ht="14.25" customHeight="1">
      <c r="V938" s="3"/>
    </row>
    <row r="939" ht="14.25" customHeight="1">
      <c r="V939" s="3"/>
    </row>
    <row r="940" ht="14.25" customHeight="1">
      <c r="V940" s="3"/>
    </row>
    <row r="941" ht="14.25" customHeight="1">
      <c r="V941" s="3"/>
    </row>
    <row r="942" ht="14.25" customHeight="1">
      <c r="V942" s="3"/>
    </row>
    <row r="943" ht="14.25" customHeight="1">
      <c r="V943" s="3"/>
    </row>
    <row r="944" ht="14.25" customHeight="1">
      <c r="V944" s="3"/>
    </row>
    <row r="945" ht="14.25" customHeight="1">
      <c r="V945" s="3"/>
    </row>
    <row r="946" ht="14.25" customHeight="1">
      <c r="V946" s="3"/>
    </row>
    <row r="947" ht="14.25" customHeight="1">
      <c r="V947" s="3"/>
    </row>
    <row r="948" ht="14.25" customHeight="1">
      <c r="V948" s="3"/>
    </row>
    <row r="949" ht="14.25" customHeight="1">
      <c r="V949" s="3"/>
    </row>
    <row r="950" ht="14.25" customHeight="1">
      <c r="V950" s="3"/>
    </row>
    <row r="951" ht="14.25" customHeight="1">
      <c r="V951" s="3"/>
    </row>
    <row r="952" ht="14.25" customHeight="1">
      <c r="V952" s="3"/>
    </row>
    <row r="953" ht="14.25" customHeight="1">
      <c r="V953" s="3"/>
    </row>
    <row r="954" ht="14.25" customHeight="1">
      <c r="V954" s="3"/>
    </row>
    <row r="955" ht="14.25" customHeight="1">
      <c r="V955" s="3"/>
    </row>
    <row r="956" ht="14.25" customHeight="1">
      <c r="V956" s="3"/>
    </row>
    <row r="957" ht="14.25" customHeight="1">
      <c r="V957" s="3"/>
    </row>
    <row r="958" ht="14.25" customHeight="1">
      <c r="V958" s="3"/>
    </row>
    <row r="959" ht="14.25" customHeight="1">
      <c r="V959" s="3"/>
    </row>
    <row r="960" ht="14.25" customHeight="1">
      <c r="V960" s="3"/>
    </row>
    <row r="961" ht="14.25" customHeight="1">
      <c r="V961" s="3"/>
    </row>
    <row r="962" ht="14.25" customHeight="1">
      <c r="V962" s="3"/>
    </row>
    <row r="963" ht="14.25" customHeight="1">
      <c r="V963" s="3"/>
    </row>
    <row r="964" ht="14.25" customHeight="1">
      <c r="V964" s="3"/>
    </row>
    <row r="965" ht="14.25" customHeight="1">
      <c r="V965" s="3"/>
    </row>
    <row r="966" ht="14.25" customHeight="1">
      <c r="V966" s="3"/>
    </row>
    <row r="967" ht="14.25" customHeight="1">
      <c r="V967" s="3"/>
    </row>
    <row r="968" ht="14.25" customHeight="1">
      <c r="V968" s="3"/>
    </row>
    <row r="969" ht="14.25" customHeight="1">
      <c r="V969" s="3"/>
    </row>
    <row r="970" ht="14.25" customHeight="1">
      <c r="V970" s="3"/>
    </row>
    <row r="971" ht="14.25" customHeight="1">
      <c r="V971" s="3"/>
    </row>
    <row r="972" ht="14.25" customHeight="1">
      <c r="V972" s="3"/>
    </row>
    <row r="973" ht="14.25" customHeight="1">
      <c r="V973" s="3"/>
    </row>
    <row r="974" ht="14.25" customHeight="1">
      <c r="V974" s="3"/>
    </row>
    <row r="975" ht="14.25" customHeight="1">
      <c r="V975" s="3"/>
    </row>
    <row r="976" ht="14.25" customHeight="1">
      <c r="V976" s="3"/>
    </row>
    <row r="977" ht="14.25" customHeight="1">
      <c r="V977" s="3"/>
    </row>
    <row r="978" ht="14.25" customHeight="1">
      <c r="V978" s="3"/>
    </row>
    <row r="979" ht="14.25" customHeight="1">
      <c r="V979" s="3"/>
    </row>
    <row r="980">
      <c r="V980" s="3"/>
    </row>
    <row r="981">
      <c r="V981" s="3"/>
    </row>
    <row r="982">
      <c r="V982" s="3"/>
    </row>
    <row r="983">
      <c r="V983" s="3"/>
    </row>
    <row r="984">
      <c r="V984" s="3"/>
    </row>
    <row r="985">
      <c r="V985" s="3"/>
    </row>
    <row r="986">
      <c r="V986" s="3"/>
    </row>
    <row r="987">
      <c r="V987" s="3"/>
    </row>
    <row r="988">
      <c r="V988" s="3"/>
    </row>
    <row r="989">
      <c r="V989" s="3"/>
    </row>
    <row r="990">
      <c r="V990" s="3"/>
    </row>
    <row r="991">
      <c r="V991" s="3"/>
    </row>
    <row r="992">
      <c r="V992" s="3"/>
    </row>
    <row r="993">
      <c r="V993" s="3"/>
    </row>
    <row r="994">
      <c r="V994" s="3"/>
    </row>
    <row r="995">
      <c r="V995" s="3"/>
    </row>
    <row r="996">
      <c r="V996" s="3"/>
    </row>
    <row r="997">
      <c r="V997" s="3"/>
    </row>
    <row r="998">
      <c r="V998" s="3"/>
    </row>
    <row r="999">
      <c r="V999" s="3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0.0"/>
    <col customWidth="1" min="3" max="8" width="8.71"/>
    <col customWidth="1" min="9" max="9" width="15.57"/>
    <col customWidth="1" min="10" max="12" width="8.71"/>
    <col customWidth="1" min="13" max="13" width="8.86"/>
    <col customWidth="1" min="14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12</v>
      </c>
      <c r="I1" s="1" t="s">
        <v>17</v>
      </c>
      <c r="J1" s="1" t="s">
        <v>18</v>
      </c>
      <c r="K1" s="5" t="s">
        <v>19</v>
      </c>
      <c r="L1" s="2" t="s">
        <v>20</v>
      </c>
      <c r="M1" s="1"/>
      <c r="N1" s="2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ht="14.25" customHeight="1">
      <c r="A2" s="3" t="s">
        <v>168</v>
      </c>
      <c r="B2" s="3" t="s">
        <v>169</v>
      </c>
      <c r="C2" s="3" t="s">
        <v>128</v>
      </c>
      <c r="D2" s="3" t="s">
        <v>29</v>
      </c>
      <c r="E2" s="3">
        <v>21.0</v>
      </c>
      <c r="F2" s="3">
        <v>21.35</v>
      </c>
      <c r="G2" s="3">
        <v>25.05</v>
      </c>
      <c r="H2" s="3" t="s">
        <v>30</v>
      </c>
      <c r="I2" s="3">
        <v>0.1734</v>
      </c>
      <c r="J2" s="3">
        <v>44.27</v>
      </c>
      <c r="K2" s="3">
        <v>75.0</v>
      </c>
      <c r="L2" s="3">
        <f t="shared" ref="L2:L76" si="2">(F2+G2)*0.5</f>
        <v>23.2</v>
      </c>
      <c r="M2" s="3"/>
      <c r="N2" s="3">
        <f t="shared" ref="N2:N76" si="3">( J2*Q2 ) - (E2 * EXP( -0.0007*K2/$T$2) * R2)</f>
        <v>23.27437454</v>
      </c>
      <c r="O2" s="3">
        <f t="shared" ref="O2:O76" si="4">((LN(J2/E2) + (0.0007 + (I2^2)/2) * K2/$T$2)) / (I2 * SQRT(K2/$T$2))</f>
        <v>7.933273451</v>
      </c>
      <c r="P2" s="3">
        <f t="shared" ref="P2:P76" si="5">O2-(I2*SQRT(K2/$T$2))</f>
        <v>7.838675996</v>
      </c>
      <c r="Q2" s="3">
        <f t="shared" ref="Q2:R2" si="1">_xlfn.NORM.S.DIST(O2)</f>
        <v>1</v>
      </c>
      <c r="R2" s="3">
        <f t="shared" si="1"/>
        <v>1</v>
      </c>
      <c r="T2" s="6">
        <v>252.0</v>
      </c>
    </row>
    <row r="3" ht="14.25" customHeight="1">
      <c r="A3" s="3" t="s">
        <v>168</v>
      </c>
      <c r="B3" s="3" t="s">
        <v>169</v>
      </c>
      <c r="C3" s="3" t="s">
        <v>128</v>
      </c>
      <c r="D3" s="3" t="s">
        <v>29</v>
      </c>
      <c r="E3" s="3">
        <v>21.0</v>
      </c>
      <c r="F3" s="3">
        <v>21.3</v>
      </c>
      <c r="G3" s="3">
        <v>24.9</v>
      </c>
      <c r="H3" s="3" t="s">
        <v>31</v>
      </c>
      <c r="I3" s="3">
        <v>0.8565</v>
      </c>
      <c r="J3" s="3">
        <v>44.060001</v>
      </c>
      <c r="K3" s="3">
        <v>74.0</v>
      </c>
      <c r="L3" s="3">
        <f t="shared" si="2"/>
        <v>23.1</v>
      </c>
      <c r="M3" s="3"/>
      <c r="N3" s="3">
        <f t="shared" si="3"/>
        <v>23.38822978</v>
      </c>
      <c r="O3" s="3">
        <f t="shared" si="4"/>
        <v>1.829097394</v>
      </c>
      <c r="P3" s="3">
        <f t="shared" si="5"/>
        <v>1.36496385</v>
      </c>
      <c r="Q3" s="3">
        <f t="shared" ref="Q3:R3" si="6">_xlfn.NORM.S.DIST(O3)</f>
        <v>0.9663074903</v>
      </c>
      <c r="R3" s="3">
        <f t="shared" si="6"/>
        <v>0.9138677938</v>
      </c>
    </row>
    <row r="4" ht="14.25" customHeight="1">
      <c r="A4" s="3" t="s">
        <v>168</v>
      </c>
      <c r="B4" s="3" t="s">
        <v>169</v>
      </c>
      <c r="C4" s="3" t="s">
        <v>128</v>
      </c>
      <c r="D4" s="3" t="s">
        <v>29</v>
      </c>
      <c r="E4" s="3">
        <v>21.0</v>
      </c>
      <c r="F4" s="3">
        <v>21.25</v>
      </c>
      <c r="G4" s="3">
        <v>24.85</v>
      </c>
      <c r="H4" s="3" t="s">
        <v>32</v>
      </c>
      <c r="I4" s="3">
        <v>0.1639</v>
      </c>
      <c r="J4" s="3">
        <v>44.299999</v>
      </c>
      <c r="K4" s="3">
        <v>73.0</v>
      </c>
      <c r="L4" s="3">
        <f t="shared" si="2"/>
        <v>23.05</v>
      </c>
      <c r="M4" s="3"/>
      <c r="N4" s="3">
        <f t="shared" si="3"/>
        <v>23.3042569</v>
      </c>
      <c r="O4" s="3">
        <f t="shared" si="4"/>
        <v>8.508302607</v>
      </c>
      <c r="P4" s="3">
        <f t="shared" si="5"/>
        <v>8.420088079</v>
      </c>
      <c r="Q4" s="3">
        <f t="shared" ref="Q4:R4" si="7">_xlfn.NORM.S.DIST(O4)</f>
        <v>1</v>
      </c>
      <c r="R4" s="3">
        <f t="shared" si="7"/>
        <v>1</v>
      </c>
    </row>
    <row r="5" ht="14.25" customHeight="1">
      <c r="A5" s="3" t="s">
        <v>168</v>
      </c>
      <c r="B5" s="3" t="s">
        <v>169</v>
      </c>
      <c r="C5" s="3" t="s">
        <v>128</v>
      </c>
      <c r="D5" s="3" t="s">
        <v>29</v>
      </c>
      <c r="E5" s="3">
        <v>21.0</v>
      </c>
      <c r="F5" s="3">
        <v>21.65</v>
      </c>
      <c r="G5" s="3">
        <v>25.4</v>
      </c>
      <c r="H5" s="3" t="s">
        <v>33</v>
      </c>
      <c r="I5" s="3">
        <v>0.1288</v>
      </c>
      <c r="J5" s="3">
        <v>44.689999</v>
      </c>
      <c r="K5" s="3">
        <v>72.0</v>
      </c>
      <c r="L5" s="3">
        <f t="shared" si="2"/>
        <v>23.525</v>
      </c>
      <c r="M5" s="3"/>
      <c r="N5" s="3">
        <f t="shared" si="3"/>
        <v>23.69419858</v>
      </c>
      <c r="O5" s="3">
        <f t="shared" si="4"/>
        <v>11.00705581</v>
      </c>
      <c r="P5" s="3">
        <f t="shared" si="5"/>
        <v>10.93820931</v>
      </c>
      <c r="Q5" s="3">
        <f t="shared" ref="Q5:R5" si="8">_xlfn.NORM.S.DIST(O5)</f>
        <v>1</v>
      </c>
      <c r="R5" s="3">
        <f t="shared" si="8"/>
        <v>1</v>
      </c>
    </row>
    <row r="6" ht="14.25" customHeight="1">
      <c r="A6" s="3" t="s">
        <v>168</v>
      </c>
      <c r="B6" s="3" t="s">
        <v>169</v>
      </c>
      <c r="C6" s="3" t="s">
        <v>128</v>
      </c>
      <c r="D6" s="3" t="s">
        <v>29</v>
      </c>
      <c r="E6" s="3">
        <v>21.0</v>
      </c>
      <c r="F6" s="3">
        <v>20.6</v>
      </c>
      <c r="G6" s="3">
        <v>24.45</v>
      </c>
      <c r="H6" s="3" t="s">
        <v>34</v>
      </c>
      <c r="I6" s="3">
        <v>0.4955</v>
      </c>
      <c r="J6" s="3">
        <v>43.099998</v>
      </c>
      <c r="K6" s="3">
        <v>71.0</v>
      </c>
      <c r="L6" s="3">
        <f t="shared" si="2"/>
        <v>22.525</v>
      </c>
      <c r="M6" s="3"/>
      <c r="N6" s="3">
        <f t="shared" si="3"/>
        <v>22.11157345</v>
      </c>
      <c r="O6" s="3">
        <f t="shared" si="4"/>
        <v>2.865991369</v>
      </c>
      <c r="P6" s="3">
        <f t="shared" si="5"/>
        <v>2.602981186</v>
      </c>
      <c r="Q6" s="3">
        <f t="shared" ref="Q6:R6" si="9">_xlfn.NORM.S.DIST(O6)</f>
        <v>0.9979214721</v>
      </c>
      <c r="R6" s="3">
        <f t="shared" si="9"/>
        <v>0.9953791488</v>
      </c>
    </row>
    <row r="7" ht="14.25" customHeight="1">
      <c r="A7" s="3" t="s">
        <v>168</v>
      </c>
      <c r="B7" s="3" t="s">
        <v>169</v>
      </c>
      <c r="C7" s="3" t="s">
        <v>128</v>
      </c>
      <c r="D7" s="3" t="s">
        <v>29</v>
      </c>
      <c r="E7" s="3">
        <v>21.0</v>
      </c>
      <c r="F7" s="3">
        <v>20.35</v>
      </c>
      <c r="G7" s="3">
        <v>23.8</v>
      </c>
      <c r="H7" s="3" t="s">
        <v>35</v>
      </c>
      <c r="I7" s="3">
        <v>0.3865</v>
      </c>
      <c r="J7" s="3">
        <v>43.0</v>
      </c>
      <c r="K7" s="3">
        <v>70.0</v>
      </c>
      <c r="L7" s="3">
        <f t="shared" si="2"/>
        <v>22.075</v>
      </c>
      <c r="M7" s="3"/>
      <c r="N7" s="3">
        <f t="shared" si="3"/>
        <v>22.00441298</v>
      </c>
      <c r="O7" s="3">
        <f t="shared" si="4"/>
        <v>3.621047602</v>
      </c>
      <c r="P7" s="3">
        <f t="shared" si="5"/>
        <v>3.417344216</v>
      </c>
      <c r="Q7" s="3">
        <f t="shared" ref="Q7:R7" si="10">_xlfn.NORM.S.DIST(O7)</f>
        <v>0.9998532937</v>
      </c>
      <c r="R7" s="3">
        <f t="shared" si="10"/>
        <v>0.9996838236</v>
      </c>
    </row>
    <row r="8" ht="14.25" customHeight="1">
      <c r="A8" s="3" t="s">
        <v>168</v>
      </c>
      <c r="B8" s="3" t="s">
        <v>169</v>
      </c>
      <c r="C8" s="3" t="s">
        <v>128</v>
      </c>
      <c r="D8" s="3" t="s">
        <v>29</v>
      </c>
      <c r="E8" s="3">
        <v>21.0</v>
      </c>
      <c r="F8" s="3">
        <v>20.6</v>
      </c>
      <c r="G8" s="3">
        <v>24.0</v>
      </c>
      <c r="H8" s="3" t="s">
        <v>36</v>
      </c>
      <c r="I8" s="3">
        <v>0.1359</v>
      </c>
      <c r="J8" s="3">
        <v>43.59</v>
      </c>
      <c r="K8" s="3">
        <v>69.0</v>
      </c>
      <c r="L8" s="3">
        <f t="shared" si="2"/>
        <v>22.3</v>
      </c>
      <c r="M8" s="3"/>
      <c r="N8" s="3">
        <f t="shared" si="3"/>
        <v>22.59402461</v>
      </c>
      <c r="O8" s="3">
        <f t="shared" si="4"/>
        <v>10.30802182</v>
      </c>
      <c r="P8" s="3">
        <f t="shared" si="5"/>
        <v>10.23690969</v>
      </c>
      <c r="Q8" s="3">
        <f t="shared" ref="Q8:R8" si="11">_xlfn.NORM.S.DIST(O8)</f>
        <v>1</v>
      </c>
      <c r="R8" s="3">
        <f t="shared" si="11"/>
        <v>1</v>
      </c>
    </row>
    <row r="9" ht="14.25" customHeight="1">
      <c r="A9" s="3" t="s">
        <v>168</v>
      </c>
      <c r="B9" s="3" t="s">
        <v>169</v>
      </c>
      <c r="C9" s="3" t="s">
        <v>128</v>
      </c>
      <c r="D9" s="3" t="s">
        <v>29</v>
      </c>
      <c r="E9" s="3">
        <v>21.0</v>
      </c>
      <c r="F9" s="3">
        <v>20.65</v>
      </c>
      <c r="G9" s="3">
        <v>24.25</v>
      </c>
      <c r="H9" s="3" t="s">
        <v>37</v>
      </c>
      <c r="I9" s="3">
        <v>0.4679</v>
      </c>
      <c r="J9" s="3">
        <v>43.299999</v>
      </c>
      <c r="K9" s="3">
        <v>68.0</v>
      </c>
      <c r="L9" s="3">
        <f t="shared" si="2"/>
        <v>22.45</v>
      </c>
      <c r="M9" s="3"/>
      <c r="N9" s="3">
        <f t="shared" si="3"/>
        <v>22.3069725</v>
      </c>
      <c r="O9" s="3">
        <f t="shared" si="4"/>
        <v>3.099515166</v>
      </c>
      <c r="P9" s="3">
        <f t="shared" si="5"/>
        <v>2.856458671</v>
      </c>
      <c r="Q9" s="3">
        <f t="shared" ref="Q9:R9" si="12">_xlfn.NORM.S.DIST(O9)</f>
        <v>0.9990308117</v>
      </c>
      <c r="R9" s="3">
        <f t="shared" si="12"/>
        <v>0.9978580211</v>
      </c>
    </row>
    <row r="10" ht="14.25" customHeight="1">
      <c r="A10" s="3" t="s">
        <v>168</v>
      </c>
      <c r="B10" s="3" t="s">
        <v>169</v>
      </c>
      <c r="C10" s="3" t="s">
        <v>128</v>
      </c>
      <c r="D10" s="3" t="s">
        <v>29</v>
      </c>
      <c r="E10" s="3">
        <v>21.0</v>
      </c>
      <c r="F10" s="3">
        <v>20.05</v>
      </c>
      <c r="G10" s="3">
        <v>23.55</v>
      </c>
      <c r="H10" s="3" t="s">
        <v>38</v>
      </c>
      <c r="I10" s="3">
        <v>0.3412</v>
      </c>
      <c r="J10" s="3">
        <v>42.59</v>
      </c>
      <c r="K10" s="3">
        <v>67.0</v>
      </c>
      <c r="L10" s="3">
        <f t="shared" si="2"/>
        <v>21.8</v>
      </c>
      <c r="M10" s="3"/>
      <c r="N10" s="3">
        <f t="shared" si="3"/>
        <v>21.59394221</v>
      </c>
      <c r="O10" s="3">
        <f t="shared" si="4"/>
        <v>4.108161671</v>
      </c>
      <c r="P10" s="3">
        <f t="shared" si="5"/>
        <v>3.932229139</v>
      </c>
      <c r="Q10" s="3">
        <f t="shared" ref="Q10:R10" si="13">_xlfn.NORM.S.DIST(O10)</f>
        <v>0.999980059</v>
      </c>
      <c r="R10" s="3">
        <f t="shared" si="13"/>
        <v>0.9999579191</v>
      </c>
    </row>
    <row r="11" ht="14.25" customHeight="1">
      <c r="A11" s="3" t="s">
        <v>168</v>
      </c>
      <c r="B11" s="3" t="s">
        <v>169</v>
      </c>
      <c r="C11" s="3" t="s">
        <v>128</v>
      </c>
      <c r="D11" s="3" t="s">
        <v>29</v>
      </c>
      <c r="E11" s="3">
        <v>21.0</v>
      </c>
      <c r="F11" s="3">
        <v>19.3</v>
      </c>
      <c r="G11" s="3">
        <v>23.1</v>
      </c>
      <c r="H11" s="3" t="s">
        <v>39</v>
      </c>
      <c r="I11" s="3">
        <v>0.2303</v>
      </c>
      <c r="J11" s="3">
        <v>41.970001</v>
      </c>
      <c r="K11" s="3">
        <v>66.0</v>
      </c>
      <c r="L11" s="3">
        <f t="shared" si="2"/>
        <v>21.2</v>
      </c>
      <c r="M11" s="3"/>
      <c r="N11" s="3">
        <f t="shared" si="3"/>
        <v>20.97385065</v>
      </c>
      <c r="O11" s="3">
        <f t="shared" si="4"/>
        <v>5.935540063</v>
      </c>
      <c r="P11" s="3">
        <f t="shared" si="5"/>
        <v>5.817680281</v>
      </c>
      <c r="Q11" s="3">
        <f t="shared" ref="Q11:R11" si="14">_xlfn.NORM.S.DIST(O11)</f>
        <v>0.9999999985</v>
      </c>
      <c r="R11" s="3">
        <f t="shared" si="14"/>
        <v>0.999999997</v>
      </c>
    </row>
    <row r="12" ht="14.25" customHeight="1">
      <c r="A12" s="3" t="s">
        <v>168</v>
      </c>
      <c r="B12" s="3" t="s">
        <v>169</v>
      </c>
      <c r="C12" s="3" t="s">
        <v>128</v>
      </c>
      <c r="D12" s="3" t="s">
        <v>29</v>
      </c>
      <c r="E12" s="3">
        <v>21.0</v>
      </c>
      <c r="F12" s="3">
        <v>19.0</v>
      </c>
      <c r="G12" s="3">
        <v>22.35</v>
      </c>
      <c r="H12" s="3" t="s">
        <v>40</v>
      </c>
      <c r="I12" s="3">
        <v>0.2703</v>
      </c>
      <c r="J12" s="3">
        <v>41.509998</v>
      </c>
      <c r="K12" s="3">
        <v>65.0</v>
      </c>
      <c r="L12" s="3">
        <f t="shared" si="2"/>
        <v>20.675</v>
      </c>
      <c r="M12" s="3"/>
      <c r="N12" s="3">
        <f t="shared" si="3"/>
        <v>20.51378959</v>
      </c>
      <c r="O12" s="3">
        <f t="shared" si="4"/>
        <v>5.033674142</v>
      </c>
      <c r="P12" s="3">
        <f t="shared" si="5"/>
        <v>4.896395664</v>
      </c>
      <c r="Q12" s="3">
        <f t="shared" ref="Q12:R12" si="15">_xlfn.NORM.S.DIST(O12)</f>
        <v>0.9999997594</v>
      </c>
      <c r="R12" s="3">
        <f t="shared" si="15"/>
        <v>0.9999995119</v>
      </c>
    </row>
    <row r="13" ht="14.25" customHeight="1">
      <c r="A13" s="3" t="s">
        <v>168</v>
      </c>
      <c r="B13" s="3" t="s">
        <v>169</v>
      </c>
      <c r="C13" s="3" t="s">
        <v>128</v>
      </c>
      <c r="D13" s="3" t="s">
        <v>29</v>
      </c>
      <c r="E13" s="3">
        <v>21.0</v>
      </c>
      <c r="F13" s="3">
        <v>19.1</v>
      </c>
      <c r="G13" s="3">
        <v>23.15</v>
      </c>
      <c r="H13" s="3" t="s">
        <v>41</v>
      </c>
      <c r="I13" s="3">
        <v>0.2222</v>
      </c>
      <c r="J13" s="3">
        <v>42.130001</v>
      </c>
      <c r="K13" s="3">
        <v>64.0</v>
      </c>
      <c r="L13" s="3">
        <f t="shared" si="2"/>
        <v>21.125</v>
      </c>
      <c r="M13" s="3"/>
      <c r="N13" s="3">
        <f t="shared" si="3"/>
        <v>21.133734</v>
      </c>
      <c r="O13" s="3">
        <f t="shared" si="4"/>
        <v>6.27519052</v>
      </c>
      <c r="P13" s="3">
        <f t="shared" si="5"/>
        <v>6.163212245</v>
      </c>
      <c r="Q13" s="3">
        <f t="shared" ref="Q13:R13" si="16">_xlfn.NORM.S.DIST(O13)</f>
        <v>0.9999999998</v>
      </c>
      <c r="R13" s="3">
        <f t="shared" si="16"/>
        <v>0.9999999996</v>
      </c>
    </row>
    <row r="14" ht="14.25" customHeight="1">
      <c r="A14" s="3" t="s">
        <v>168</v>
      </c>
      <c r="B14" s="3" t="s">
        <v>169</v>
      </c>
      <c r="C14" s="3" t="s">
        <v>128</v>
      </c>
      <c r="D14" s="3" t="s">
        <v>29</v>
      </c>
      <c r="E14" s="3">
        <v>21.0</v>
      </c>
      <c r="F14" s="3">
        <v>19.75</v>
      </c>
      <c r="G14" s="3">
        <v>22.85</v>
      </c>
      <c r="H14" s="3" t="s">
        <v>42</v>
      </c>
      <c r="I14" s="3">
        <v>0.1879</v>
      </c>
      <c r="J14" s="3">
        <v>42.540001</v>
      </c>
      <c r="K14" s="3">
        <v>63.0</v>
      </c>
      <c r="L14" s="3">
        <f t="shared" si="2"/>
        <v>21.3</v>
      </c>
      <c r="M14" s="3"/>
      <c r="N14" s="3">
        <f t="shared" si="3"/>
        <v>21.54367568</v>
      </c>
      <c r="O14" s="3">
        <f t="shared" si="4"/>
        <v>7.562647119</v>
      </c>
      <c r="P14" s="3">
        <f t="shared" si="5"/>
        <v>7.468697119</v>
      </c>
      <c r="Q14" s="3">
        <f t="shared" ref="Q14:R14" si="17">_xlfn.NORM.S.DIST(O14)</f>
        <v>1</v>
      </c>
      <c r="R14" s="3">
        <f t="shared" si="17"/>
        <v>1</v>
      </c>
    </row>
    <row r="15" ht="14.25" customHeight="1">
      <c r="A15" s="3" t="s">
        <v>168</v>
      </c>
      <c r="B15" s="3" t="s">
        <v>169</v>
      </c>
      <c r="C15" s="3" t="s">
        <v>128</v>
      </c>
      <c r="D15" s="3" t="s">
        <v>29</v>
      </c>
      <c r="E15" s="3">
        <v>21.0</v>
      </c>
      <c r="F15" s="3">
        <v>20.05</v>
      </c>
      <c r="G15" s="3">
        <v>23.8</v>
      </c>
      <c r="H15" s="3" t="s">
        <v>43</v>
      </c>
      <c r="I15" s="3">
        <v>0.1214</v>
      </c>
      <c r="J15" s="3">
        <v>42.939999</v>
      </c>
      <c r="K15" s="3">
        <v>62.0</v>
      </c>
      <c r="L15" s="3">
        <f t="shared" si="2"/>
        <v>21.925</v>
      </c>
      <c r="M15" s="3"/>
      <c r="N15" s="3">
        <f t="shared" si="3"/>
        <v>21.94361536</v>
      </c>
      <c r="O15" s="3">
        <f t="shared" si="4"/>
        <v>11.91149632</v>
      </c>
      <c r="P15" s="3">
        <f t="shared" si="5"/>
        <v>11.85127999</v>
      </c>
      <c r="Q15" s="3">
        <f t="shared" ref="Q15:R15" si="18">_xlfn.NORM.S.DIST(O15)</f>
        <v>1</v>
      </c>
      <c r="R15" s="3">
        <f t="shared" si="18"/>
        <v>1</v>
      </c>
    </row>
    <row r="16" ht="14.25" customHeight="1">
      <c r="A16" s="3" t="s">
        <v>168</v>
      </c>
      <c r="B16" s="3" t="s">
        <v>169</v>
      </c>
      <c r="C16" s="3" t="s">
        <v>128</v>
      </c>
      <c r="D16" s="3" t="s">
        <v>29</v>
      </c>
      <c r="E16" s="3">
        <v>21.0</v>
      </c>
      <c r="F16" s="3">
        <v>20.1</v>
      </c>
      <c r="G16" s="3">
        <v>23.6</v>
      </c>
      <c r="H16" s="3" t="s">
        <v>44</v>
      </c>
      <c r="I16" s="3">
        <v>0.1727</v>
      </c>
      <c r="J16" s="3">
        <v>42.790001</v>
      </c>
      <c r="K16" s="3">
        <v>61.0</v>
      </c>
      <c r="L16" s="3">
        <f t="shared" si="2"/>
        <v>21.85</v>
      </c>
      <c r="M16" s="3"/>
      <c r="N16" s="3">
        <f t="shared" si="3"/>
        <v>21.79355903</v>
      </c>
      <c r="O16" s="3">
        <f t="shared" si="4"/>
        <v>8.421507504</v>
      </c>
      <c r="P16" s="3">
        <f t="shared" si="5"/>
        <v>8.336539193</v>
      </c>
      <c r="Q16" s="3">
        <f t="shared" ref="Q16:R16" si="19">_xlfn.NORM.S.DIST(O16)</f>
        <v>1</v>
      </c>
      <c r="R16" s="3">
        <f t="shared" si="19"/>
        <v>1</v>
      </c>
    </row>
    <row r="17" ht="14.25" customHeight="1">
      <c r="A17" s="3" t="s">
        <v>168</v>
      </c>
      <c r="B17" s="3" t="s">
        <v>169</v>
      </c>
      <c r="C17" s="3" t="s">
        <v>128</v>
      </c>
      <c r="D17" s="3" t="s">
        <v>29</v>
      </c>
      <c r="E17" s="3">
        <v>21.0</v>
      </c>
      <c r="F17" s="3">
        <v>20.2</v>
      </c>
      <c r="G17" s="3">
        <v>23.5</v>
      </c>
      <c r="H17" s="3" t="s">
        <v>45</v>
      </c>
      <c r="I17" s="3">
        <v>0.136</v>
      </c>
      <c r="J17" s="3">
        <v>42.59</v>
      </c>
      <c r="K17" s="3">
        <v>60.0</v>
      </c>
      <c r="L17" s="3">
        <f t="shared" si="2"/>
        <v>21.85</v>
      </c>
      <c r="M17" s="3"/>
      <c r="N17" s="3">
        <f t="shared" si="3"/>
        <v>21.59349971</v>
      </c>
      <c r="O17" s="3">
        <f t="shared" si="4"/>
        <v>10.69096949</v>
      </c>
      <c r="P17" s="3">
        <f t="shared" si="5"/>
        <v>10.62460829</v>
      </c>
      <c r="Q17" s="3">
        <f t="shared" ref="Q17:R17" si="20">_xlfn.NORM.S.DIST(O17)</f>
        <v>1</v>
      </c>
      <c r="R17" s="3">
        <f t="shared" si="20"/>
        <v>1</v>
      </c>
    </row>
    <row r="18" ht="14.25" customHeight="1">
      <c r="A18" s="3" t="s">
        <v>168</v>
      </c>
      <c r="B18" s="3" t="s">
        <v>169</v>
      </c>
      <c r="C18" s="3" t="s">
        <v>128</v>
      </c>
      <c r="D18" s="3" t="s">
        <v>29</v>
      </c>
      <c r="E18" s="3">
        <v>21.0</v>
      </c>
      <c r="F18" s="3">
        <v>19.9</v>
      </c>
      <c r="G18" s="3">
        <v>23.4</v>
      </c>
      <c r="H18" s="3" t="s">
        <v>46</v>
      </c>
      <c r="I18" s="3">
        <v>0.2505</v>
      </c>
      <c r="J18" s="3">
        <v>42.669998</v>
      </c>
      <c r="K18" s="3">
        <v>59.0</v>
      </c>
      <c r="L18" s="3">
        <f t="shared" si="2"/>
        <v>21.65</v>
      </c>
      <c r="M18" s="3"/>
      <c r="N18" s="3">
        <f t="shared" si="3"/>
        <v>21.67343939</v>
      </c>
      <c r="O18" s="3">
        <f t="shared" si="4"/>
        <v>5.911158238</v>
      </c>
      <c r="P18" s="3">
        <f t="shared" si="5"/>
        <v>5.789949629</v>
      </c>
      <c r="Q18" s="3">
        <f t="shared" ref="Q18:R18" si="21">_xlfn.NORM.S.DIST(O18)</f>
        <v>0.9999999983</v>
      </c>
      <c r="R18" s="3">
        <f t="shared" si="21"/>
        <v>0.9999999965</v>
      </c>
    </row>
    <row r="19" ht="14.25" customHeight="1">
      <c r="A19" s="3" t="s">
        <v>168</v>
      </c>
      <c r="B19" s="3" t="s">
        <v>169</v>
      </c>
      <c r="C19" s="3" t="s">
        <v>128</v>
      </c>
      <c r="D19" s="3" t="s">
        <v>29</v>
      </c>
      <c r="E19" s="3">
        <v>21.0</v>
      </c>
      <c r="F19" s="3">
        <v>20.05</v>
      </c>
      <c r="G19" s="3">
        <v>23.35</v>
      </c>
      <c r="H19" s="3" t="s">
        <v>47</v>
      </c>
      <c r="I19" s="3">
        <v>0.3063</v>
      </c>
      <c r="J19" s="3">
        <v>42.77</v>
      </c>
      <c r="K19" s="3">
        <v>58.0</v>
      </c>
      <c r="L19" s="3">
        <f t="shared" si="2"/>
        <v>21.7</v>
      </c>
      <c r="M19" s="3"/>
      <c r="N19" s="3">
        <f t="shared" si="3"/>
        <v>21.7733836</v>
      </c>
      <c r="O19" s="3">
        <f t="shared" si="4"/>
        <v>4.915189201</v>
      </c>
      <c r="P19" s="3">
        <f t="shared" si="5"/>
        <v>4.768242202</v>
      </c>
      <c r="Q19" s="3">
        <f t="shared" ref="Q19:R19" si="22">_xlfn.NORM.S.DIST(O19)</f>
        <v>0.9999995565</v>
      </c>
      <c r="R19" s="3">
        <f t="shared" si="22"/>
        <v>0.9999990708</v>
      </c>
    </row>
    <row r="20" ht="14.25" customHeight="1">
      <c r="A20" s="3" t="s">
        <v>168</v>
      </c>
      <c r="B20" s="3" t="s">
        <v>169</v>
      </c>
      <c r="C20" s="3" t="s">
        <v>128</v>
      </c>
      <c r="D20" s="3" t="s">
        <v>29</v>
      </c>
      <c r="E20" s="3">
        <v>21.0</v>
      </c>
      <c r="F20" s="3">
        <v>20.25</v>
      </c>
      <c r="G20" s="3">
        <v>24.05</v>
      </c>
      <c r="H20" s="3" t="s">
        <v>48</v>
      </c>
      <c r="I20" s="3">
        <v>0.1219</v>
      </c>
      <c r="J20" s="3">
        <v>43.5</v>
      </c>
      <c r="K20" s="3">
        <v>57.0</v>
      </c>
      <c r="L20" s="3">
        <f t="shared" si="2"/>
        <v>22.15</v>
      </c>
      <c r="M20" s="3"/>
      <c r="N20" s="3">
        <f t="shared" si="3"/>
        <v>22.50332474</v>
      </c>
      <c r="O20" s="3">
        <f t="shared" si="4"/>
        <v>12.59296606</v>
      </c>
      <c r="P20" s="3">
        <f t="shared" si="5"/>
        <v>12.53499104</v>
      </c>
      <c r="Q20" s="3">
        <f t="shared" ref="Q20:R20" si="23">_xlfn.NORM.S.DIST(O20)</f>
        <v>1</v>
      </c>
      <c r="R20" s="3">
        <f t="shared" si="23"/>
        <v>1</v>
      </c>
    </row>
    <row r="21" ht="14.25" customHeight="1">
      <c r="A21" s="3" t="s">
        <v>168</v>
      </c>
      <c r="B21" s="3" t="s">
        <v>169</v>
      </c>
      <c r="C21" s="3" t="s">
        <v>128</v>
      </c>
      <c r="D21" s="3" t="s">
        <v>29</v>
      </c>
      <c r="E21" s="3">
        <v>21.0</v>
      </c>
      <c r="F21" s="3">
        <v>20.45</v>
      </c>
      <c r="G21" s="3">
        <v>24.75</v>
      </c>
      <c r="H21" s="3" t="s">
        <v>49</v>
      </c>
      <c r="I21" s="3">
        <v>0.2546</v>
      </c>
      <c r="J21" s="3">
        <v>43.610001</v>
      </c>
      <c r="K21" s="3">
        <v>56.0</v>
      </c>
      <c r="L21" s="3">
        <f t="shared" si="2"/>
        <v>22.6</v>
      </c>
      <c r="M21" s="3"/>
      <c r="N21" s="3">
        <f t="shared" si="3"/>
        <v>22.61326741</v>
      </c>
      <c r="O21" s="3">
        <f t="shared" si="4"/>
        <v>6.150012407</v>
      </c>
      <c r="P21" s="3">
        <f t="shared" si="5"/>
        <v>6.029992816</v>
      </c>
      <c r="Q21" s="3">
        <f t="shared" ref="Q21:R21" si="24">_xlfn.NORM.S.DIST(O21)</f>
        <v>0.9999999996</v>
      </c>
      <c r="R21" s="3">
        <f t="shared" si="24"/>
        <v>0.9999999992</v>
      </c>
    </row>
    <row r="22" ht="14.25" customHeight="1">
      <c r="A22" s="3" t="s">
        <v>168</v>
      </c>
      <c r="B22" s="3" t="s">
        <v>169</v>
      </c>
      <c r="C22" s="3" t="s">
        <v>128</v>
      </c>
      <c r="D22" s="3" t="s">
        <v>29</v>
      </c>
      <c r="E22" s="3">
        <v>21.0</v>
      </c>
      <c r="F22" s="3">
        <v>20.95</v>
      </c>
      <c r="G22" s="3">
        <v>25.0</v>
      </c>
      <c r="H22" s="3" t="s">
        <v>50</v>
      </c>
      <c r="I22" s="3">
        <v>0.7929</v>
      </c>
      <c r="J22" s="3">
        <v>43.610001</v>
      </c>
      <c r="K22" s="3">
        <v>55.0</v>
      </c>
      <c r="L22" s="3">
        <f t="shared" si="2"/>
        <v>22.975</v>
      </c>
      <c r="M22" s="3"/>
      <c r="N22" s="3">
        <f t="shared" si="3"/>
        <v>22.71407647</v>
      </c>
      <c r="O22" s="3">
        <f t="shared" si="4"/>
        <v>2.158400219</v>
      </c>
      <c r="P22" s="3">
        <f t="shared" si="5"/>
        <v>1.787975899</v>
      </c>
      <c r="Q22" s="3">
        <f t="shared" ref="Q22:R22" si="25">_xlfn.NORM.S.DIST(O22)</f>
        <v>0.9845516356</v>
      </c>
      <c r="R22" s="3">
        <f t="shared" si="25"/>
        <v>0.9631100519</v>
      </c>
    </row>
    <row r="23" ht="14.25" customHeight="1">
      <c r="A23" s="3" t="s">
        <v>168</v>
      </c>
      <c r="B23" s="3" t="s">
        <v>169</v>
      </c>
      <c r="C23" s="3" t="s">
        <v>129</v>
      </c>
      <c r="D23" s="3" t="s">
        <v>29</v>
      </c>
      <c r="E23" s="3">
        <v>21.0</v>
      </c>
      <c r="F23" s="3">
        <v>21.6</v>
      </c>
      <c r="G23" s="3">
        <v>25.3</v>
      </c>
      <c r="H23" s="3" t="s">
        <v>52</v>
      </c>
      <c r="I23" s="3">
        <v>0.2738</v>
      </c>
      <c r="J23" s="3">
        <v>44.560001</v>
      </c>
      <c r="K23" s="3">
        <v>54.0</v>
      </c>
      <c r="L23" s="3">
        <f t="shared" si="2"/>
        <v>23.45</v>
      </c>
      <c r="M23" s="3"/>
      <c r="N23" s="3">
        <f t="shared" si="3"/>
        <v>23.56315076</v>
      </c>
      <c r="O23" s="3">
        <f t="shared" si="4"/>
        <v>6.000218305</v>
      </c>
      <c r="P23" s="3">
        <f t="shared" si="5"/>
        <v>5.873473533</v>
      </c>
      <c r="Q23" s="3">
        <f t="shared" ref="Q23:R23" si="26">_xlfn.NORM.S.DIST(O23)</f>
        <v>0.999999999</v>
      </c>
      <c r="R23" s="3">
        <f t="shared" si="26"/>
        <v>0.9999999979</v>
      </c>
    </row>
    <row r="24" ht="14.25" customHeight="1">
      <c r="A24" s="3" t="s">
        <v>168</v>
      </c>
      <c r="B24" s="3" t="s">
        <v>169</v>
      </c>
      <c r="C24" s="3" t="s">
        <v>129</v>
      </c>
      <c r="D24" s="3" t="s">
        <v>29</v>
      </c>
      <c r="E24" s="3">
        <v>21.0</v>
      </c>
      <c r="F24" s="3">
        <v>21.55</v>
      </c>
      <c r="G24" s="3">
        <v>25.15</v>
      </c>
      <c r="H24" s="3" t="s">
        <v>53</v>
      </c>
      <c r="I24" s="3">
        <v>0.2761</v>
      </c>
      <c r="J24" s="3">
        <v>44.52</v>
      </c>
      <c r="K24" s="3">
        <v>53.0</v>
      </c>
      <c r="L24" s="3">
        <f t="shared" si="2"/>
        <v>23.35</v>
      </c>
      <c r="M24" s="3"/>
      <c r="N24" s="3">
        <f t="shared" si="3"/>
        <v>23.52309144</v>
      </c>
      <c r="O24" s="3">
        <f t="shared" si="4"/>
        <v>5.99886753</v>
      </c>
      <c r="P24" s="3">
        <f t="shared" si="5"/>
        <v>5.872247016</v>
      </c>
      <c r="Q24" s="3">
        <f t="shared" ref="Q24:R24" si="27">_xlfn.NORM.S.DIST(O24)</f>
        <v>0.999999999</v>
      </c>
      <c r="R24" s="3">
        <f t="shared" si="27"/>
        <v>0.9999999979</v>
      </c>
    </row>
    <row r="25" ht="14.25" customHeight="1">
      <c r="A25" s="3" t="s">
        <v>168</v>
      </c>
      <c r="B25" s="3" t="s">
        <v>169</v>
      </c>
      <c r="C25" s="3" t="s">
        <v>129</v>
      </c>
      <c r="D25" s="3" t="s">
        <v>29</v>
      </c>
      <c r="E25" s="3">
        <v>21.0</v>
      </c>
      <c r="F25" s="3">
        <v>22.15</v>
      </c>
      <c r="G25" s="3">
        <v>25.35</v>
      </c>
      <c r="H25" s="3" t="s">
        <v>54</v>
      </c>
      <c r="I25" s="3">
        <v>0.1282</v>
      </c>
      <c r="J25" s="3">
        <v>44.560001</v>
      </c>
      <c r="K25" s="3">
        <v>52.0</v>
      </c>
      <c r="L25" s="3">
        <f t="shared" si="2"/>
        <v>23.75</v>
      </c>
      <c r="M25" s="3"/>
      <c r="N25" s="3">
        <f t="shared" si="3"/>
        <v>23.56303411</v>
      </c>
      <c r="O25" s="3">
        <f t="shared" si="4"/>
        <v>12.95003073</v>
      </c>
      <c r="P25" s="3">
        <f t="shared" si="5"/>
        <v>12.89179501</v>
      </c>
      <c r="Q25" s="3">
        <f t="shared" ref="Q25:R25" si="28">_xlfn.NORM.S.DIST(O25)</f>
        <v>1</v>
      </c>
      <c r="R25" s="3">
        <f t="shared" si="28"/>
        <v>1</v>
      </c>
    </row>
    <row r="26" ht="14.25" customHeight="1">
      <c r="A26" s="3" t="s">
        <v>168</v>
      </c>
      <c r="B26" s="3" t="s">
        <v>169</v>
      </c>
      <c r="C26" s="3" t="s">
        <v>129</v>
      </c>
      <c r="D26" s="3" t="s">
        <v>29</v>
      </c>
      <c r="E26" s="3">
        <v>21.0</v>
      </c>
      <c r="F26" s="3">
        <v>21.7</v>
      </c>
      <c r="G26" s="3">
        <v>25.4</v>
      </c>
      <c r="H26" s="3" t="s">
        <v>55</v>
      </c>
      <c r="I26" s="3">
        <v>0.2575</v>
      </c>
      <c r="J26" s="3">
        <v>44.75</v>
      </c>
      <c r="K26" s="3">
        <v>51.0</v>
      </c>
      <c r="L26" s="3">
        <f t="shared" si="2"/>
        <v>23.55</v>
      </c>
      <c r="M26" s="3"/>
      <c r="N26" s="3">
        <f t="shared" si="3"/>
        <v>23.75297479</v>
      </c>
      <c r="O26" s="3">
        <f t="shared" si="4"/>
        <v>6.590245843</v>
      </c>
      <c r="P26" s="3">
        <f t="shared" si="5"/>
        <v>6.474404909</v>
      </c>
      <c r="Q26" s="3">
        <f t="shared" ref="Q26:R26" si="29">_xlfn.NORM.S.DIST(O26)</f>
        <v>1</v>
      </c>
      <c r="R26" s="3">
        <f t="shared" si="29"/>
        <v>1</v>
      </c>
    </row>
    <row r="27" ht="14.25" customHeight="1">
      <c r="A27" s="3" t="s">
        <v>168</v>
      </c>
      <c r="B27" s="3" t="s">
        <v>169</v>
      </c>
      <c r="C27" s="3" t="s">
        <v>129</v>
      </c>
      <c r="D27" s="3" t="s">
        <v>29</v>
      </c>
      <c r="E27" s="3">
        <v>21.0</v>
      </c>
      <c r="F27" s="3">
        <v>21.75</v>
      </c>
      <c r="G27" s="3">
        <v>25.3</v>
      </c>
      <c r="H27" s="3" t="s">
        <v>56</v>
      </c>
      <c r="I27" s="3">
        <v>0.6266</v>
      </c>
      <c r="J27" s="3">
        <v>44.459999</v>
      </c>
      <c r="K27" s="3">
        <v>50.0</v>
      </c>
      <c r="L27" s="3">
        <f t="shared" si="2"/>
        <v>23.525</v>
      </c>
      <c r="M27" s="3"/>
      <c r="N27" s="3">
        <f t="shared" si="3"/>
        <v>23.47224448</v>
      </c>
      <c r="O27" s="3">
        <f t="shared" si="4"/>
        <v>2.827408487</v>
      </c>
      <c r="P27" s="3">
        <f t="shared" si="5"/>
        <v>2.548298663</v>
      </c>
      <c r="Q27" s="3">
        <f t="shared" ref="Q27:R27" si="30">_xlfn.NORM.S.DIST(O27)</f>
        <v>0.9976536787</v>
      </c>
      <c r="R27" s="3">
        <f t="shared" si="30"/>
        <v>0.9945875124</v>
      </c>
    </row>
    <row r="28" ht="14.25" customHeight="1">
      <c r="A28" s="3" t="s">
        <v>168</v>
      </c>
      <c r="B28" s="3" t="s">
        <v>169</v>
      </c>
      <c r="C28" s="3" t="s">
        <v>129</v>
      </c>
      <c r="D28" s="3" t="s">
        <v>29</v>
      </c>
      <c r="E28" s="3">
        <v>21.0</v>
      </c>
      <c r="F28" s="3">
        <v>21.7</v>
      </c>
      <c r="G28" s="3">
        <v>25.25</v>
      </c>
      <c r="H28" s="3" t="s">
        <v>57</v>
      </c>
      <c r="I28" s="3">
        <v>0.3561</v>
      </c>
      <c r="J28" s="3">
        <v>44.349998</v>
      </c>
      <c r="K28" s="3">
        <v>49.0</v>
      </c>
      <c r="L28" s="3">
        <f t="shared" si="2"/>
        <v>23.475</v>
      </c>
      <c r="M28" s="3"/>
      <c r="N28" s="3">
        <f t="shared" si="3"/>
        <v>23.35285703</v>
      </c>
      <c r="O28" s="3">
        <f t="shared" si="4"/>
        <v>4.840332231</v>
      </c>
      <c r="P28" s="3">
        <f t="shared" si="5"/>
        <v>4.683306891</v>
      </c>
      <c r="Q28" s="3">
        <f t="shared" ref="Q28:R28" si="31">_xlfn.NORM.S.DIST(O28)</f>
        <v>0.9999993519</v>
      </c>
      <c r="R28" s="3">
        <f t="shared" si="31"/>
        <v>0.9999985886</v>
      </c>
    </row>
    <row r="29" ht="14.25" customHeight="1">
      <c r="A29" s="3" t="s">
        <v>168</v>
      </c>
      <c r="B29" s="3" t="s">
        <v>169</v>
      </c>
      <c r="C29" s="3" t="s">
        <v>129</v>
      </c>
      <c r="D29" s="3" t="s">
        <v>29</v>
      </c>
      <c r="E29" s="3">
        <v>21.0</v>
      </c>
      <c r="F29" s="3">
        <v>21.7</v>
      </c>
      <c r="G29" s="3">
        <v>24.75</v>
      </c>
      <c r="H29" s="3" t="s">
        <v>58</v>
      </c>
      <c r="I29" s="3">
        <v>0.2619</v>
      </c>
      <c r="J29" s="3">
        <v>44.32</v>
      </c>
      <c r="K29" s="3">
        <v>48.0</v>
      </c>
      <c r="L29" s="3">
        <f t="shared" si="2"/>
        <v>23.225</v>
      </c>
      <c r="M29" s="3"/>
      <c r="N29" s="3">
        <f t="shared" si="3"/>
        <v>23.32279981</v>
      </c>
      <c r="O29" s="3">
        <f t="shared" si="4"/>
        <v>6.592850275</v>
      </c>
      <c r="P29" s="3">
        <f t="shared" si="5"/>
        <v>6.478547744</v>
      </c>
      <c r="Q29" s="3">
        <f t="shared" ref="Q29:R29" si="32">_xlfn.NORM.S.DIST(O29)</f>
        <v>1</v>
      </c>
      <c r="R29" s="3">
        <f t="shared" si="32"/>
        <v>1</v>
      </c>
    </row>
    <row r="30" ht="14.25" customHeight="1">
      <c r="A30" s="3" t="s">
        <v>168</v>
      </c>
      <c r="B30" s="3" t="s">
        <v>169</v>
      </c>
      <c r="C30" s="3" t="s">
        <v>129</v>
      </c>
      <c r="D30" s="3" t="s">
        <v>29</v>
      </c>
      <c r="E30" s="3">
        <v>21.0</v>
      </c>
      <c r="F30" s="3">
        <v>21.7</v>
      </c>
      <c r="G30" s="3">
        <v>25.0</v>
      </c>
      <c r="H30" s="3" t="s">
        <v>59</v>
      </c>
      <c r="I30" s="3">
        <v>0.1442</v>
      </c>
      <c r="J30" s="3">
        <v>44.439999</v>
      </c>
      <c r="K30" s="3">
        <v>47.0</v>
      </c>
      <c r="L30" s="3">
        <f t="shared" si="2"/>
        <v>23.35</v>
      </c>
      <c r="M30" s="3"/>
      <c r="N30" s="3">
        <f t="shared" si="3"/>
        <v>23.44274049</v>
      </c>
      <c r="O30" s="3">
        <f t="shared" si="4"/>
        <v>12.07044293</v>
      </c>
      <c r="P30" s="3">
        <f t="shared" si="5"/>
        <v>12.0081679</v>
      </c>
      <c r="Q30" s="3">
        <f t="shared" ref="Q30:R30" si="33">_xlfn.NORM.S.DIST(O30)</f>
        <v>1</v>
      </c>
      <c r="R30" s="3">
        <f t="shared" si="33"/>
        <v>1</v>
      </c>
    </row>
    <row r="31" ht="14.25" customHeight="1">
      <c r="A31" s="3" t="s">
        <v>168</v>
      </c>
      <c r="B31" s="3" t="s">
        <v>169</v>
      </c>
      <c r="C31" s="3" t="s">
        <v>129</v>
      </c>
      <c r="D31" s="3" t="s">
        <v>29</v>
      </c>
      <c r="E31" s="3">
        <v>21.0</v>
      </c>
      <c r="F31" s="3">
        <v>23.05</v>
      </c>
      <c r="G31" s="3">
        <v>24.0</v>
      </c>
      <c r="H31" s="3" t="s">
        <v>60</v>
      </c>
      <c r="I31" s="3">
        <v>0.1213</v>
      </c>
      <c r="J31" s="3">
        <v>44.52</v>
      </c>
      <c r="K31" s="3">
        <v>46.0</v>
      </c>
      <c r="L31" s="3">
        <f t="shared" si="2"/>
        <v>23.525</v>
      </c>
      <c r="M31" s="3"/>
      <c r="N31" s="3">
        <f t="shared" si="3"/>
        <v>23.52268316</v>
      </c>
      <c r="O31" s="3">
        <f t="shared" si="4"/>
        <v>14.52747801</v>
      </c>
      <c r="P31" s="3">
        <f t="shared" si="5"/>
        <v>14.47565299</v>
      </c>
      <c r="Q31" s="3">
        <f t="shared" ref="Q31:R31" si="34">_xlfn.NORM.S.DIST(O31)</f>
        <v>1</v>
      </c>
      <c r="R31" s="3">
        <f t="shared" si="34"/>
        <v>1</v>
      </c>
    </row>
    <row r="32" ht="14.25" customHeight="1">
      <c r="A32" s="3" t="s">
        <v>168</v>
      </c>
      <c r="B32" s="3" t="s">
        <v>169</v>
      </c>
      <c r="C32" s="3" t="s">
        <v>129</v>
      </c>
      <c r="D32" s="3" t="s">
        <v>29</v>
      </c>
      <c r="E32" s="3">
        <v>21.0</v>
      </c>
      <c r="F32" s="3">
        <v>21.7</v>
      </c>
      <c r="G32" s="3">
        <v>25.15</v>
      </c>
      <c r="H32" s="3" t="s">
        <v>61</v>
      </c>
      <c r="I32" s="3">
        <v>0.138</v>
      </c>
      <c r="J32" s="3">
        <v>44.330002</v>
      </c>
      <c r="K32" s="3">
        <v>45.0</v>
      </c>
      <c r="L32" s="3">
        <f t="shared" si="2"/>
        <v>23.425</v>
      </c>
      <c r="M32" s="3"/>
      <c r="N32" s="3">
        <f t="shared" si="3"/>
        <v>23.33262684</v>
      </c>
      <c r="O32" s="3">
        <f t="shared" si="4"/>
        <v>12.84328814</v>
      </c>
      <c r="P32" s="3">
        <f t="shared" si="5"/>
        <v>12.78497249</v>
      </c>
      <c r="Q32" s="3">
        <f t="shared" ref="Q32:R32" si="35">_xlfn.NORM.S.DIST(O32)</f>
        <v>1</v>
      </c>
      <c r="R32" s="3">
        <f t="shared" si="35"/>
        <v>1</v>
      </c>
    </row>
    <row r="33" ht="14.25" customHeight="1">
      <c r="A33" s="3" t="s">
        <v>168</v>
      </c>
      <c r="B33" s="3" t="s">
        <v>169</v>
      </c>
      <c r="C33" s="3" t="s">
        <v>129</v>
      </c>
      <c r="D33" s="3" t="s">
        <v>29</v>
      </c>
      <c r="E33" s="3">
        <v>21.0</v>
      </c>
      <c r="F33" s="3">
        <v>21.6</v>
      </c>
      <c r="G33" s="3">
        <v>25.25</v>
      </c>
      <c r="H33" s="3" t="s">
        <v>62</v>
      </c>
      <c r="I33" s="3">
        <v>0.2272</v>
      </c>
      <c r="J33" s="3">
        <v>44.400002</v>
      </c>
      <c r="K33" s="3">
        <v>44.0</v>
      </c>
      <c r="L33" s="3">
        <f t="shared" si="2"/>
        <v>23.425</v>
      </c>
      <c r="M33" s="3"/>
      <c r="N33" s="3">
        <f t="shared" si="3"/>
        <v>23.40256851</v>
      </c>
      <c r="O33" s="3">
        <f t="shared" si="4"/>
        <v>7.935238282</v>
      </c>
      <c r="P33" s="3">
        <f t="shared" si="5"/>
        <v>7.840301524</v>
      </c>
      <c r="Q33" s="3">
        <f t="shared" ref="Q33:R33" si="36">_xlfn.NORM.S.DIST(O33)</f>
        <v>1</v>
      </c>
      <c r="R33" s="3">
        <f t="shared" si="36"/>
        <v>1</v>
      </c>
    </row>
    <row r="34" ht="14.25" customHeight="1">
      <c r="A34" s="3" t="s">
        <v>168</v>
      </c>
      <c r="B34" s="3" t="s">
        <v>169</v>
      </c>
      <c r="C34" s="3" t="s">
        <v>129</v>
      </c>
      <c r="D34" s="3" t="s">
        <v>29</v>
      </c>
      <c r="E34" s="3">
        <v>21.0</v>
      </c>
      <c r="F34" s="3">
        <v>21.8</v>
      </c>
      <c r="G34" s="3">
        <v>25.05</v>
      </c>
      <c r="H34" s="3" t="s">
        <v>63</v>
      </c>
      <c r="I34" s="3">
        <v>0.2041</v>
      </c>
      <c r="J34" s="3">
        <v>44.5</v>
      </c>
      <c r="K34" s="3">
        <v>43.0</v>
      </c>
      <c r="L34" s="3">
        <f t="shared" si="2"/>
        <v>23.425</v>
      </c>
      <c r="M34" s="3"/>
      <c r="N34" s="3">
        <f t="shared" si="3"/>
        <v>23.50250818</v>
      </c>
      <c r="O34" s="3">
        <f t="shared" si="4"/>
        <v>8.950823691</v>
      </c>
      <c r="P34" s="3">
        <f t="shared" si="5"/>
        <v>8.866514104</v>
      </c>
      <c r="Q34" s="3">
        <f t="shared" ref="Q34:R34" si="37">_xlfn.NORM.S.DIST(O34)</f>
        <v>1</v>
      </c>
      <c r="R34" s="3">
        <f t="shared" si="37"/>
        <v>1</v>
      </c>
    </row>
    <row r="35" ht="14.25" customHeight="1">
      <c r="A35" s="3" t="s">
        <v>168</v>
      </c>
      <c r="B35" s="3" t="s">
        <v>169</v>
      </c>
      <c r="C35" s="3" t="s">
        <v>129</v>
      </c>
      <c r="D35" s="3" t="s">
        <v>29</v>
      </c>
      <c r="E35" s="3">
        <v>21.0</v>
      </c>
      <c r="F35" s="3">
        <v>21.95</v>
      </c>
      <c r="G35" s="3">
        <v>25.35</v>
      </c>
      <c r="H35" s="3" t="s">
        <v>64</v>
      </c>
      <c r="I35" s="3">
        <v>0.2738</v>
      </c>
      <c r="J35" s="3">
        <v>44.919998</v>
      </c>
      <c r="K35" s="3">
        <v>42.0</v>
      </c>
      <c r="L35" s="3">
        <f t="shared" si="2"/>
        <v>23.65</v>
      </c>
      <c r="M35" s="3"/>
      <c r="N35" s="3">
        <f t="shared" si="3"/>
        <v>23.92244786</v>
      </c>
      <c r="O35" s="3">
        <f t="shared" si="4"/>
        <v>6.859327398</v>
      </c>
      <c r="P35" s="3">
        <f t="shared" si="5"/>
        <v>6.747549016</v>
      </c>
      <c r="Q35" s="3">
        <f t="shared" ref="Q35:R35" si="38">_xlfn.NORM.S.DIST(O35)</f>
        <v>1</v>
      </c>
      <c r="R35" s="3">
        <f t="shared" si="38"/>
        <v>1</v>
      </c>
    </row>
    <row r="36" ht="14.25" customHeight="1">
      <c r="A36" s="3" t="s">
        <v>168</v>
      </c>
      <c r="B36" s="3" t="s">
        <v>169</v>
      </c>
      <c r="C36" s="3" t="s">
        <v>129</v>
      </c>
      <c r="D36" s="3" t="s">
        <v>29</v>
      </c>
      <c r="E36" s="3">
        <v>21.0</v>
      </c>
      <c r="F36" s="3">
        <v>22.15</v>
      </c>
      <c r="G36" s="3">
        <v>25.8</v>
      </c>
      <c r="H36" s="3" t="s">
        <v>65</v>
      </c>
      <c r="I36" s="3">
        <v>0.2216</v>
      </c>
      <c r="J36" s="3">
        <v>45.119999</v>
      </c>
      <c r="K36" s="3">
        <v>41.0</v>
      </c>
      <c r="L36" s="3">
        <f t="shared" si="2"/>
        <v>23.975</v>
      </c>
      <c r="M36" s="3"/>
      <c r="N36" s="3">
        <f t="shared" si="3"/>
        <v>24.12239053</v>
      </c>
      <c r="O36" s="3">
        <f t="shared" si="4"/>
        <v>8.602310627</v>
      </c>
      <c r="P36" s="3">
        <f t="shared" si="5"/>
        <v>8.512926292</v>
      </c>
      <c r="Q36" s="3">
        <f t="shared" ref="Q36:R36" si="39">_xlfn.NORM.S.DIST(O36)</f>
        <v>1</v>
      </c>
      <c r="R36" s="3">
        <f t="shared" si="39"/>
        <v>1</v>
      </c>
    </row>
    <row r="37" ht="14.25" customHeight="1">
      <c r="A37" s="3" t="s">
        <v>168</v>
      </c>
      <c r="B37" s="3" t="s">
        <v>169</v>
      </c>
      <c r="C37" s="3" t="s">
        <v>129</v>
      </c>
      <c r="D37" s="3" t="s">
        <v>29</v>
      </c>
      <c r="E37" s="3">
        <v>21.0</v>
      </c>
      <c r="F37" s="3">
        <v>22.65</v>
      </c>
      <c r="G37" s="3">
        <v>25.8</v>
      </c>
      <c r="H37" s="3" t="s">
        <v>66</v>
      </c>
      <c r="I37" s="3">
        <v>0.239</v>
      </c>
      <c r="J37" s="3">
        <v>45.400002</v>
      </c>
      <c r="K37" s="3">
        <v>40.0</v>
      </c>
      <c r="L37" s="3">
        <f t="shared" si="2"/>
        <v>24.225</v>
      </c>
      <c r="M37" s="3"/>
      <c r="N37" s="3">
        <f t="shared" si="3"/>
        <v>24.4023352</v>
      </c>
      <c r="O37" s="3">
        <f t="shared" si="4"/>
        <v>8.145717487</v>
      </c>
      <c r="P37" s="3">
        <f t="shared" si="5"/>
        <v>8.050497608</v>
      </c>
      <c r="Q37" s="3">
        <f t="shared" ref="Q37:R37" si="40">_xlfn.NORM.S.DIST(O37)</f>
        <v>1</v>
      </c>
      <c r="R37" s="3">
        <f t="shared" si="40"/>
        <v>1</v>
      </c>
    </row>
    <row r="38" ht="14.25" customHeight="1">
      <c r="A38" s="3" t="s">
        <v>168</v>
      </c>
      <c r="B38" s="3" t="s">
        <v>169</v>
      </c>
      <c r="C38" s="3" t="s">
        <v>129</v>
      </c>
      <c r="D38" s="3" t="s">
        <v>29</v>
      </c>
      <c r="E38" s="3">
        <v>21.0</v>
      </c>
      <c r="F38" s="3">
        <v>22.95</v>
      </c>
      <c r="G38" s="3">
        <v>26.45</v>
      </c>
      <c r="H38" s="3" t="s">
        <v>67</v>
      </c>
      <c r="I38" s="3">
        <v>0.4459</v>
      </c>
      <c r="J38" s="3">
        <v>45.720001</v>
      </c>
      <c r="K38" s="3">
        <v>39.0</v>
      </c>
      <c r="L38" s="3">
        <f t="shared" si="2"/>
        <v>24.7</v>
      </c>
      <c r="M38" s="3"/>
      <c r="N38" s="3">
        <f t="shared" si="3"/>
        <v>24.72228101</v>
      </c>
      <c r="O38" s="3">
        <f t="shared" si="4"/>
        <v>4.523570329</v>
      </c>
      <c r="P38" s="3">
        <f t="shared" si="5"/>
        <v>4.348154207</v>
      </c>
      <c r="Q38" s="3">
        <f t="shared" ref="Q38:R38" si="41">_xlfn.NORM.S.DIST(O38)</f>
        <v>0.9999969597</v>
      </c>
      <c r="R38" s="3">
        <f t="shared" si="41"/>
        <v>0.9999931356</v>
      </c>
    </row>
    <row r="39" ht="14.25" customHeight="1">
      <c r="A39" s="3" t="s">
        <v>168</v>
      </c>
      <c r="B39" s="3" t="s">
        <v>169</v>
      </c>
      <c r="C39" s="3" t="s">
        <v>129</v>
      </c>
      <c r="D39" s="3" t="s">
        <v>29</v>
      </c>
      <c r="E39" s="3">
        <v>21.0</v>
      </c>
      <c r="F39" s="3">
        <v>23.4</v>
      </c>
      <c r="G39" s="3">
        <v>26.8</v>
      </c>
      <c r="H39" s="3" t="s">
        <v>68</v>
      </c>
      <c r="I39" s="3">
        <v>0.1303</v>
      </c>
      <c r="J39" s="3">
        <v>46.119999</v>
      </c>
      <c r="K39" s="3">
        <v>38.0</v>
      </c>
      <c r="L39" s="3">
        <f t="shared" si="2"/>
        <v>25.1</v>
      </c>
      <c r="M39" s="3"/>
      <c r="N39" s="3">
        <f t="shared" si="3"/>
        <v>25.12221555</v>
      </c>
      <c r="O39" s="3">
        <f t="shared" si="4"/>
        <v>15.57581684</v>
      </c>
      <c r="P39" s="3">
        <f t="shared" si="5"/>
        <v>15.52521853</v>
      </c>
      <c r="Q39" s="3">
        <f t="shared" ref="Q39:R39" si="42">_xlfn.NORM.S.DIST(O39)</f>
        <v>1</v>
      </c>
      <c r="R39" s="3">
        <f t="shared" si="42"/>
        <v>1</v>
      </c>
    </row>
    <row r="40" ht="14.25" customHeight="1">
      <c r="A40" s="3" t="s">
        <v>168</v>
      </c>
      <c r="B40" s="3" t="s">
        <v>169</v>
      </c>
      <c r="C40" s="3" t="s">
        <v>129</v>
      </c>
      <c r="D40" s="3" t="s">
        <v>29</v>
      </c>
      <c r="E40" s="3">
        <v>21.0</v>
      </c>
      <c r="F40" s="3">
        <v>23.65</v>
      </c>
      <c r="G40" s="3">
        <v>26.85</v>
      </c>
      <c r="H40" s="3" t="s">
        <v>69</v>
      </c>
      <c r="I40" s="3">
        <v>0.3318</v>
      </c>
      <c r="J40" s="3">
        <v>46.349998</v>
      </c>
      <c r="K40" s="3">
        <v>37.0</v>
      </c>
      <c r="L40" s="3">
        <f t="shared" si="2"/>
        <v>25.25</v>
      </c>
      <c r="M40" s="3"/>
      <c r="N40" s="3">
        <f t="shared" si="3"/>
        <v>25.35215622</v>
      </c>
      <c r="O40" s="3">
        <f t="shared" si="4"/>
        <v>6.291437184</v>
      </c>
      <c r="P40" s="3">
        <f t="shared" si="5"/>
        <v>6.164298716</v>
      </c>
      <c r="Q40" s="3">
        <f t="shared" ref="Q40:R40" si="43">_xlfn.NORM.S.DIST(O40)</f>
        <v>0.9999999998</v>
      </c>
      <c r="R40" s="3">
        <f t="shared" si="43"/>
        <v>0.9999999996</v>
      </c>
    </row>
    <row r="41" ht="14.25" customHeight="1">
      <c r="A41" s="3" t="s">
        <v>168</v>
      </c>
      <c r="B41" s="3" t="s">
        <v>169</v>
      </c>
      <c r="C41" s="3" t="s">
        <v>129</v>
      </c>
      <c r="D41" s="3" t="s">
        <v>29</v>
      </c>
      <c r="E41" s="3">
        <v>21.0</v>
      </c>
      <c r="F41" s="3">
        <v>23.8</v>
      </c>
      <c r="G41" s="3">
        <v>27.4</v>
      </c>
      <c r="H41" s="3" t="s">
        <v>70</v>
      </c>
      <c r="I41" s="3">
        <v>0.127</v>
      </c>
      <c r="J41" s="3">
        <v>46.529999</v>
      </c>
      <c r="K41" s="3">
        <v>36.0</v>
      </c>
      <c r="L41" s="3">
        <f t="shared" si="2"/>
        <v>25.6</v>
      </c>
      <c r="M41" s="3"/>
      <c r="N41" s="3">
        <f t="shared" si="3"/>
        <v>25.5320989</v>
      </c>
      <c r="O41" s="3">
        <f t="shared" si="4"/>
        <v>16.60004533</v>
      </c>
      <c r="P41" s="3">
        <f t="shared" si="5"/>
        <v>16.55204385</v>
      </c>
      <c r="Q41" s="3">
        <f t="shared" ref="Q41:R41" si="44">_xlfn.NORM.S.DIST(O41)</f>
        <v>1</v>
      </c>
      <c r="R41" s="3">
        <f t="shared" si="44"/>
        <v>1</v>
      </c>
    </row>
    <row r="42" ht="14.25" customHeight="1">
      <c r="A42" s="3" t="s">
        <v>168</v>
      </c>
      <c r="B42" s="3" t="s">
        <v>169</v>
      </c>
      <c r="C42" s="3" t="s">
        <v>129</v>
      </c>
      <c r="D42" s="3" t="s">
        <v>29</v>
      </c>
      <c r="E42" s="3">
        <v>21.0</v>
      </c>
      <c r="F42" s="3">
        <v>23.65</v>
      </c>
      <c r="G42" s="3">
        <v>27.4</v>
      </c>
      <c r="H42" s="3" t="s">
        <v>71</v>
      </c>
      <c r="I42" s="3">
        <v>0.1274</v>
      </c>
      <c r="J42" s="3">
        <v>46.720001</v>
      </c>
      <c r="K42" s="3">
        <v>35.0</v>
      </c>
      <c r="L42" s="3">
        <f t="shared" si="2"/>
        <v>25.525</v>
      </c>
      <c r="M42" s="3"/>
      <c r="N42" s="3">
        <f t="shared" si="3"/>
        <v>25.72204257</v>
      </c>
      <c r="O42" s="3">
        <f t="shared" si="4"/>
        <v>16.8679058</v>
      </c>
      <c r="P42" s="3">
        <f t="shared" si="5"/>
        <v>16.82042663</v>
      </c>
      <c r="Q42" s="3">
        <f t="shared" ref="Q42:R42" si="45">_xlfn.NORM.S.DIST(O42)</f>
        <v>1</v>
      </c>
      <c r="R42" s="3">
        <f t="shared" si="45"/>
        <v>1</v>
      </c>
    </row>
    <row r="43" ht="14.25" customHeight="1">
      <c r="A43" s="3" t="s">
        <v>168</v>
      </c>
      <c r="B43" s="3" t="s">
        <v>169</v>
      </c>
      <c r="C43" s="3" t="s">
        <v>129</v>
      </c>
      <c r="D43" s="3" t="s">
        <v>29</v>
      </c>
      <c r="E43" s="3">
        <v>21.0</v>
      </c>
      <c r="F43" s="3">
        <v>24.15</v>
      </c>
      <c r="G43" s="3">
        <v>26.2</v>
      </c>
      <c r="H43" s="3" t="s">
        <v>72</v>
      </c>
      <c r="I43" s="3">
        <v>0.1219</v>
      </c>
      <c r="J43" s="3">
        <v>47.110001</v>
      </c>
      <c r="K43" s="3">
        <v>34.0</v>
      </c>
      <c r="L43" s="3">
        <f t="shared" si="2"/>
        <v>25.175</v>
      </c>
      <c r="M43" s="3"/>
      <c r="N43" s="3">
        <f t="shared" si="3"/>
        <v>26.11198424</v>
      </c>
      <c r="O43" s="3">
        <f t="shared" si="4"/>
        <v>18.06914923</v>
      </c>
      <c r="P43" s="3">
        <f t="shared" si="5"/>
        <v>18.02437348</v>
      </c>
      <c r="Q43" s="3">
        <f t="shared" ref="Q43:R43" si="46">_xlfn.NORM.S.DIST(O43)</f>
        <v>1</v>
      </c>
      <c r="R43" s="3">
        <f t="shared" si="46"/>
        <v>1</v>
      </c>
    </row>
    <row r="44" ht="14.25" customHeight="1">
      <c r="A44" s="3" t="s">
        <v>168</v>
      </c>
      <c r="B44" s="3" t="s">
        <v>169</v>
      </c>
      <c r="C44" s="3" t="s">
        <v>129</v>
      </c>
      <c r="D44" s="3" t="s">
        <v>29</v>
      </c>
      <c r="E44" s="3">
        <v>21.0</v>
      </c>
      <c r="F44" s="3">
        <v>24.85</v>
      </c>
      <c r="G44" s="3">
        <v>28.35</v>
      </c>
      <c r="H44" s="3" t="s">
        <v>73</v>
      </c>
      <c r="I44" s="3">
        <v>0.3614</v>
      </c>
      <c r="J44" s="3">
        <v>47.689999</v>
      </c>
      <c r="K44" s="3">
        <v>33.0</v>
      </c>
      <c r="L44" s="3">
        <f t="shared" si="2"/>
        <v>26.6</v>
      </c>
      <c r="M44" s="3"/>
      <c r="N44" s="3">
        <f t="shared" si="3"/>
        <v>26.69192391</v>
      </c>
      <c r="O44" s="3">
        <f t="shared" si="4"/>
        <v>6.337636298</v>
      </c>
      <c r="P44" s="3">
        <f t="shared" si="5"/>
        <v>6.20685524</v>
      </c>
      <c r="Q44" s="3">
        <f t="shared" ref="Q44:R44" si="47">_xlfn.NORM.S.DIST(O44)</f>
        <v>0.9999999999</v>
      </c>
      <c r="R44" s="3">
        <f t="shared" si="47"/>
        <v>0.9999999997</v>
      </c>
    </row>
    <row r="45" ht="14.25" customHeight="1">
      <c r="A45" s="3" t="s">
        <v>168</v>
      </c>
      <c r="B45" s="3" t="s">
        <v>169</v>
      </c>
      <c r="C45" s="3" t="s">
        <v>129</v>
      </c>
      <c r="D45" s="3" t="s">
        <v>29</v>
      </c>
      <c r="E45" s="3">
        <v>21.0</v>
      </c>
      <c r="F45" s="3">
        <v>24.85</v>
      </c>
      <c r="G45" s="3">
        <v>28.45</v>
      </c>
      <c r="H45" s="3" t="s">
        <v>74</v>
      </c>
      <c r="I45" s="3">
        <v>0.5668</v>
      </c>
      <c r="J45" s="3">
        <v>47.279999</v>
      </c>
      <c r="K45" s="3">
        <v>32.0</v>
      </c>
      <c r="L45" s="3">
        <f t="shared" si="2"/>
        <v>26.65</v>
      </c>
      <c r="M45" s="3"/>
      <c r="N45" s="3">
        <f t="shared" si="3"/>
        <v>26.28190727</v>
      </c>
      <c r="O45" s="3">
        <f t="shared" si="4"/>
        <v>4.11951035</v>
      </c>
      <c r="P45" s="3">
        <f t="shared" si="5"/>
        <v>3.91753212</v>
      </c>
      <c r="Q45" s="3">
        <f t="shared" ref="Q45:R45" si="48">_xlfn.NORM.S.DIST(O45)</f>
        <v>0.9999810161</v>
      </c>
      <c r="R45" s="3">
        <f t="shared" si="48"/>
        <v>0.9999552699</v>
      </c>
    </row>
    <row r="46" ht="14.25" customHeight="1">
      <c r="A46" s="3" t="s">
        <v>168</v>
      </c>
      <c r="B46" s="3" t="s">
        <v>169</v>
      </c>
      <c r="C46" s="3" t="s">
        <v>129</v>
      </c>
      <c r="D46" s="3" t="s">
        <v>29</v>
      </c>
      <c r="E46" s="3">
        <v>21.0</v>
      </c>
      <c r="F46" s="3">
        <v>24.7</v>
      </c>
      <c r="G46" s="3">
        <v>28.05</v>
      </c>
      <c r="H46" s="3" t="s">
        <v>75</v>
      </c>
      <c r="I46" s="3">
        <v>0.3629</v>
      </c>
      <c r="J46" s="3">
        <v>47.48</v>
      </c>
      <c r="K46" s="3">
        <v>31.0</v>
      </c>
      <c r="L46" s="3">
        <f t="shared" si="2"/>
        <v>26.375</v>
      </c>
      <c r="M46" s="3"/>
      <c r="N46" s="3">
        <f t="shared" si="3"/>
        <v>26.48180826</v>
      </c>
      <c r="O46" s="3">
        <f t="shared" si="4"/>
        <v>6.473590662</v>
      </c>
      <c r="P46" s="3">
        <f t="shared" si="5"/>
        <v>6.3463085</v>
      </c>
      <c r="Q46" s="3">
        <f t="shared" ref="Q46:R46" si="49">_xlfn.NORM.S.DIST(O46)</f>
        <v>1</v>
      </c>
      <c r="R46" s="3">
        <f t="shared" si="49"/>
        <v>0.9999999999</v>
      </c>
    </row>
    <row r="47" ht="14.25" customHeight="1">
      <c r="A47" s="3" t="s">
        <v>168</v>
      </c>
      <c r="B47" s="3" t="s">
        <v>169</v>
      </c>
      <c r="C47" s="3" t="s">
        <v>129</v>
      </c>
      <c r="D47" s="3" t="s">
        <v>29</v>
      </c>
      <c r="E47" s="3">
        <v>21.0</v>
      </c>
      <c r="F47" s="3">
        <v>25.4</v>
      </c>
      <c r="G47" s="3">
        <v>28.4</v>
      </c>
      <c r="H47" s="3" t="s">
        <v>76</v>
      </c>
      <c r="I47" s="3">
        <v>0.1203</v>
      </c>
      <c r="J47" s="3">
        <v>47.959999</v>
      </c>
      <c r="K47" s="3">
        <v>30.0</v>
      </c>
      <c r="L47" s="3">
        <f t="shared" si="2"/>
        <v>26.9</v>
      </c>
      <c r="M47" s="3"/>
      <c r="N47" s="3">
        <f t="shared" si="3"/>
        <v>26.96174893</v>
      </c>
      <c r="O47" s="3">
        <f t="shared" si="4"/>
        <v>19.91906924</v>
      </c>
      <c r="P47" s="3">
        <f t="shared" si="5"/>
        <v>19.87756179</v>
      </c>
      <c r="Q47" s="3">
        <f t="shared" ref="Q47:R47" si="50">_xlfn.NORM.S.DIST(O47)</f>
        <v>1</v>
      </c>
      <c r="R47" s="3">
        <f t="shared" si="50"/>
        <v>1</v>
      </c>
    </row>
    <row r="48" ht="14.25" customHeight="1">
      <c r="A48" s="3" t="s">
        <v>168</v>
      </c>
      <c r="B48" s="3" t="s">
        <v>169</v>
      </c>
      <c r="C48" s="3" t="s">
        <v>129</v>
      </c>
      <c r="D48" s="3" t="s">
        <v>29</v>
      </c>
      <c r="E48" s="3">
        <v>21.0</v>
      </c>
      <c r="F48" s="3">
        <v>25.25</v>
      </c>
      <c r="G48" s="3">
        <v>28.15</v>
      </c>
      <c r="H48" s="3" t="s">
        <v>77</v>
      </c>
      <c r="I48" s="3">
        <v>0.1185</v>
      </c>
      <c r="J48" s="3">
        <v>47.810001</v>
      </c>
      <c r="K48" s="3">
        <v>29.0</v>
      </c>
      <c r="L48" s="3">
        <f t="shared" si="2"/>
        <v>26.7</v>
      </c>
      <c r="M48" s="3"/>
      <c r="N48" s="3">
        <f t="shared" si="3"/>
        <v>26.8116926</v>
      </c>
      <c r="O48" s="3">
        <f t="shared" si="4"/>
        <v>20.48800913</v>
      </c>
      <c r="P48" s="3">
        <f t="shared" si="5"/>
        <v>20.44780996</v>
      </c>
      <c r="Q48" s="3">
        <f t="shared" ref="Q48:R48" si="51">_xlfn.NORM.S.DIST(O48)</f>
        <v>1</v>
      </c>
      <c r="R48" s="3">
        <f t="shared" si="51"/>
        <v>1</v>
      </c>
    </row>
    <row r="49" ht="14.25" customHeight="1">
      <c r="A49" s="3" t="s">
        <v>168</v>
      </c>
      <c r="B49" s="3" t="s">
        <v>169</v>
      </c>
      <c r="C49" s="3" t="s">
        <v>129</v>
      </c>
      <c r="D49" s="3" t="s">
        <v>29</v>
      </c>
      <c r="E49" s="3">
        <v>21.0</v>
      </c>
      <c r="F49" s="3">
        <v>25.65</v>
      </c>
      <c r="G49" s="3">
        <v>28.4</v>
      </c>
      <c r="H49" s="3" t="s">
        <v>78</v>
      </c>
      <c r="I49" s="3">
        <v>0.1217</v>
      </c>
      <c r="J49" s="3">
        <v>48.360001</v>
      </c>
      <c r="K49" s="3">
        <v>28.0</v>
      </c>
      <c r="L49" s="3">
        <f t="shared" si="2"/>
        <v>27.025</v>
      </c>
      <c r="M49" s="3"/>
      <c r="N49" s="3">
        <f t="shared" si="3"/>
        <v>27.36163427</v>
      </c>
      <c r="O49" s="3">
        <f t="shared" si="4"/>
        <v>20.58466427</v>
      </c>
      <c r="P49" s="3">
        <f t="shared" si="5"/>
        <v>20.5440976</v>
      </c>
      <c r="Q49" s="3">
        <f t="shared" ref="Q49:R49" si="52">_xlfn.NORM.S.DIST(O49)</f>
        <v>1</v>
      </c>
      <c r="R49" s="3">
        <f t="shared" si="52"/>
        <v>1</v>
      </c>
    </row>
    <row r="50" ht="14.25" customHeight="1">
      <c r="A50" s="3" t="s">
        <v>168</v>
      </c>
      <c r="B50" s="3" t="s">
        <v>169</v>
      </c>
      <c r="C50" s="3" t="s">
        <v>129</v>
      </c>
      <c r="D50" s="3" t="s">
        <v>29</v>
      </c>
      <c r="E50" s="3">
        <v>21.0</v>
      </c>
      <c r="F50" s="3">
        <v>25.45</v>
      </c>
      <c r="G50" s="3">
        <v>28.5</v>
      </c>
      <c r="H50" s="3" t="s">
        <v>79</v>
      </c>
      <c r="I50" s="3">
        <v>1.0265</v>
      </c>
      <c r="J50" s="3">
        <v>47.939999</v>
      </c>
      <c r="K50" s="3">
        <v>27.0</v>
      </c>
      <c r="L50" s="3">
        <f t="shared" si="2"/>
        <v>26.975</v>
      </c>
      <c r="M50" s="3"/>
      <c r="N50" s="3">
        <f t="shared" si="3"/>
        <v>26.96569279</v>
      </c>
      <c r="O50" s="3">
        <f t="shared" si="4"/>
        <v>2.624846695</v>
      </c>
      <c r="P50" s="3">
        <f t="shared" si="5"/>
        <v>2.288845699</v>
      </c>
      <c r="Q50" s="3">
        <f t="shared" ref="Q50:R50" si="53">_xlfn.NORM.S.DIST(O50)</f>
        <v>0.9956656006</v>
      </c>
      <c r="R50" s="3">
        <f t="shared" si="53"/>
        <v>0.9889558404</v>
      </c>
    </row>
    <row r="51" ht="14.25" customHeight="1">
      <c r="A51" s="3" t="s">
        <v>168</v>
      </c>
      <c r="B51" s="3" t="s">
        <v>169</v>
      </c>
      <c r="C51" s="3" t="s">
        <v>129</v>
      </c>
      <c r="D51" s="3" t="s">
        <v>29</v>
      </c>
      <c r="E51" s="3">
        <v>21.0</v>
      </c>
      <c r="F51" s="3">
        <v>25.9</v>
      </c>
      <c r="G51" s="3">
        <v>28.85</v>
      </c>
      <c r="H51" s="3" t="s">
        <v>80</v>
      </c>
      <c r="I51" s="3">
        <v>0.3841</v>
      </c>
      <c r="J51" s="3">
        <v>48.48</v>
      </c>
      <c r="K51" s="3">
        <v>26.0</v>
      </c>
      <c r="L51" s="3">
        <f t="shared" si="2"/>
        <v>27.375</v>
      </c>
      <c r="M51" s="3"/>
      <c r="N51" s="3">
        <f t="shared" si="3"/>
        <v>27.48151661</v>
      </c>
      <c r="O51" s="3">
        <f t="shared" si="4"/>
        <v>6.843404692</v>
      </c>
      <c r="P51" s="3">
        <f t="shared" si="5"/>
        <v>6.720028685</v>
      </c>
      <c r="Q51" s="3">
        <f t="shared" ref="Q51:R51" si="54">_xlfn.NORM.S.DIST(O51)</f>
        <v>1</v>
      </c>
      <c r="R51" s="3">
        <f t="shared" si="54"/>
        <v>1</v>
      </c>
    </row>
    <row r="52" ht="14.25" customHeight="1">
      <c r="A52" s="3" t="s">
        <v>168</v>
      </c>
      <c r="B52" s="3" t="s">
        <v>169</v>
      </c>
      <c r="C52" s="3" t="s">
        <v>129</v>
      </c>
      <c r="D52" s="3" t="s">
        <v>29</v>
      </c>
      <c r="E52" s="3">
        <v>21.0</v>
      </c>
      <c r="F52" s="3">
        <v>25.5</v>
      </c>
      <c r="G52" s="3">
        <v>28.45</v>
      </c>
      <c r="H52" s="3" t="s">
        <v>81</v>
      </c>
      <c r="I52" s="3">
        <v>0.3937</v>
      </c>
      <c r="J52" s="3">
        <v>48.02</v>
      </c>
      <c r="K52" s="3">
        <v>25.0</v>
      </c>
      <c r="L52" s="3">
        <f t="shared" si="2"/>
        <v>26.975</v>
      </c>
      <c r="M52" s="3"/>
      <c r="N52" s="3">
        <f t="shared" si="3"/>
        <v>27.02145828</v>
      </c>
      <c r="O52" s="3">
        <f t="shared" si="4"/>
        <v>6.732477365</v>
      </c>
      <c r="P52" s="3">
        <f t="shared" si="5"/>
        <v>6.608473521</v>
      </c>
      <c r="Q52" s="3">
        <f t="shared" ref="Q52:R52" si="55">_xlfn.NORM.S.DIST(O52)</f>
        <v>1</v>
      </c>
      <c r="R52" s="3">
        <f t="shared" si="55"/>
        <v>1</v>
      </c>
    </row>
    <row r="53" ht="14.25" customHeight="1">
      <c r="A53" s="3" t="s">
        <v>168</v>
      </c>
      <c r="B53" s="3" t="s">
        <v>169</v>
      </c>
      <c r="C53" s="3" t="s">
        <v>129</v>
      </c>
      <c r="D53" s="3" t="s">
        <v>29</v>
      </c>
      <c r="E53" s="3">
        <v>21.0</v>
      </c>
      <c r="F53" s="3">
        <v>26.3</v>
      </c>
      <c r="G53" s="3">
        <v>28.8</v>
      </c>
      <c r="H53" s="3" t="s">
        <v>82</v>
      </c>
      <c r="I53" s="3">
        <v>0.1319</v>
      </c>
      <c r="J53" s="3">
        <v>48.75</v>
      </c>
      <c r="K53" s="3">
        <v>24.0</v>
      </c>
      <c r="L53" s="3">
        <f t="shared" si="2"/>
        <v>27.55</v>
      </c>
      <c r="M53" s="3"/>
      <c r="N53" s="3">
        <f t="shared" si="3"/>
        <v>27.75139995</v>
      </c>
      <c r="O53" s="3">
        <f t="shared" si="4"/>
        <v>20.71178603</v>
      </c>
      <c r="P53" s="3">
        <f t="shared" si="5"/>
        <v>20.67108081</v>
      </c>
      <c r="Q53" s="3">
        <f t="shared" ref="Q53:R53" si="56">_xlfn.NORM.S.DIST(O53)</f>
        <v>1</v>
      </c>
      <c r="R53" s="3">
        <f t="shared" si="56"/>
        <v>1</v>
      </c>
    </row>
    <row r="54" ht="14.25" customHeight="1">
      <c r="A54" s="3" t="s">
        <v>168</v>
      </c>
      <c r="B54" s="3" t="s">
        <v>169</v>
      </c>
      <c r="C54" s="3" t="s">
        <v>129</v>
      </c>
      <c r="D54" s="3" t="s">
        <v>29</v>
      </c>
      <c r="E54" s="3">
        <v>21.0</v>
      </c>
      <c r="F54" s="3">
        <v>26.4</v>
      </c>
      <c r="G54" s="3">
        <v>29.4</v>
      </c>
      <c r="H54" s="3" t="s">
        <v>83</v>
      </c>
      <c r="I54" s="3">
        <v>0.4368</v>
      </c>
      <c r="J54" s="3">
        <v>48.950001</v>
      </c>
      <c r="K54" s="3">
        <v>23.0</v>
      </c>
      <c r="L54" s="3">
        <f t="shared" si="2"/>
        <v>27.9</v>
      </c>
      <c r="M54" s="3"/>
      <c r="N54" s="3">
        <f t="shared" si="3"/>
        <v>27.95134262</v>
      </c>
      <c r="O54" s="3">
        <f t="shared" si="4"/>
        <v>6.479538523</v>
      </c>
      <c r="P54" s="3">
        <f t="shared" si="5"/>
        <v>6.347577317</v>
      </c>
      <c r="Q54" s="3">
        <f t="shared" ref="Q54:R54" si="57">_xlfn.NORM.S.DIST(O54)</f>
        <v>1</v>
      </c>
      <c r="R54" s="3">
        <f t="shared" si="57"/>
        <v>0.9999999999</v>
      </c>
    </row>
    <row r="55" ht="14.25" customHeight="1">
      <c r="A55" s="3" t="s">
        <v>168</v>
      </c>
      <c r="B55" s="3" t="s">
        <v>169</v>
      </c>
      <c r="C55" s="3" t="s">
        <v>129</v>
      </c>
      <c r="D55" s="3" t="s">
        <v>29</v>
      </c>
      <c r="E55" s="3">
        <v>21.0</v>
      </c>
      <c r="F55" s="3">
        <v>26.0</v>
      </c>
      <c r="G55" s="3">
        <v>29.1</v>
      </c>
      <c r="H55" s="3" t="s">
        <v>84</v>
      </c>
      <c r="I55" s="3">
        <v>0.1426</v>
      </c>
      <c r="J55" s="3">
        <v>48.599998</v>
      </c>
      <c r="K55" s="3">
        <v>22.0</v>
      </c>
      <c r="L55" s="3">
        <f t="shared" si="2"/>
        <v>27.55</v>
      </c>
      <c r="M55" s="3"/>
      <c r="N55" s="3">
        <f t="shared" si="3"/>
        <v>27.60128129</v>
      </c>
      <c r="O55" s="3">
        <f t="shared" si="4"/>
        <v>19.93767135</v>
      </c>
      <c r="P55" s="3">
        <f t="shared" si="5"/>
        <v>19.89553755</v>
      </c>
      <c r="Q55" s="3">
        <f t="shared" ref="Q55:R55" si="58">_xlfn.NORM.S.DIST(O55)</f>
        <v>1</v>
      </c>
      <c r="R55" s="3">
        <f t="shared" si="58"/>
        <v>1</v>
      </c>
    </row>
    <row r="56" ht="14.25" customHeight="1">
      <c r="A56" s="3" t="s">
        <v>168</v>
      </c>
      <c r="B56" s="3" t="s">
        <v>169</v>
      </c>
      <c r="C56" s="3" t="s">
        <v>129</v>
      </c>
      <c r="D56" s="3" t="s">
        <v>29</v>
      </c>
      <c r="E56" s="3">
        <v>21.0</v>
      </c>
      <c r="F56" s="3">
        <v>26.3</v>
      </c>
      <c r="G56" s="3">
        <v>29.2</v>
      </c>
      <c r="H56" s="3" t="s">
        <v>85</v>
      </c>
      <c r="I56" s="3">
        <v>0.4465</v>
      </c>
      <c r="J56" s="3">
        <v>48.799999</v>
      </c>
      <c r="K56" s="3">
        <v>21.0</v>
      </c>
      <c r="L56" s="3">
        <f t="shared" si="2"/>
        <v>27.75</v>
      </c>
      <c r="M56" s="3"/>
      <c r="N56" s="3">
        <f t="shared" si="3"/>
        <v>27.80122396</v>
      </c>
      <c r="O56" s="3">
        <f t="shared" si="4"/>
        <v>6.606797818</v>
      </c>
      <c r="P56" s="3">
        <f t="shared" si="5"/>
        <v>6.477904371</v>
      </c>
      <c r="Q56" s="3">
        <f t="shared" ref="Q56:R56" si="59">_xlfn.NORM.S.DIST(O56)</f>
        <v>1</v>
      </c>
      <c r="R56" s="3">
        <f t="shared" si="59"/>
        <v>1</v>
      </c>
    </row>
    <row r="57" ht="14.25" customHeight="1">
      <c r="A57" s="3" t="s">
        <v>168</v>
      </c>
      <c r="B57" s="3" t="s">
        <v>169</v>
      </c>
      <c r="C57" s="3" t="s">
        <v>129</v>
      </c>
      <c r="D57" s="3" t="s">
        <v>29</v>
      </c>
      <c r="E57" s="3">
        <v>21.0</v>
      </c>
      <c r="F57" s="3">
        <v>26.5</v>
      </c>
      <c r="G57" s="3">
        <v>29.5</v>
      </c>
      <c r="H57" s="3" t="s">
        <v>86</v>
      </c>
      <c r="I57" s="3">
        <v>0.4449</v>
      </c>
      <c r="J57" s="3">
        <v>49.02</v>
      </c>
      <c r="K57" s="3">
        <v>20.0</v>
      </c>
      <c r="L57" s="3">
        <f t="shared" si="2"/>
        <v>28</v>
      </c>
      <c r="M57" s="3"/>
      <c r="N57" s="3">
        <f t="shared" si="3"/>
        <v>28.02116663</v>
      </c>
      <c r="O57" s="3">
        <f t="shared" si="4"/>
        <v>6.826558474</v>
      </c>
      <c r="P57" s="3">
        <f t="shared" si="5"/>
        <v>6.701222098</v>
      </c>
      <c r="Q57" s="3">
        <f t="shared" ref="Q57:R57" si="60">_xlfn.NORM.S.DIST(O57)</f>
        <v>1</v>
      </c>
      <c r="R57" s="3">
        <f t="shared" si="60"/>
        <v>1</v>
      </c>
    </row>
    <row r="58" ht="14.25" customHeight="1">
      <c r="A58" s="3" t="s">
        <v>168</v>
      </c>
      <c r="B58" s="3" t="s">
        <v>169</v>
      </c>
      <c r="C58" s="3" t="s">
        <v>129</v>
      </c>
      <c r="D58" s="3" t="s">
        <v>29</v>
      </c>
      <c r="E58" s="3">
        <v>21.0</v>
      </c>
      <c r="F58" s="3">
        <v>26.65</v>
      </c>
      <c r="G58" s="3">
        <v>29.7</v>
      </c>
      <c r="H58" s="3" t="s">
        <v>87</v>
      </c>
      <c r="I58" s="3">
        <v>0.4259</v>
      </c>
      <c r="J58" s="3">
        <v>49.16</v>
      </c>
      <c r="K58" s="3">
        <v>19.0</v>
      </c>
      <c r="L58" s="3">
        <f t="shared" si="2"/>
        <v>28.175</v>
      </c>
      <c r="M58" s="3"/>
      <c r="N58" s="3">
        <f t="shared" si="3"/>
        <v>28.1611083</v>
      </c>
      <c r="O58" s="3">
        <f t="shared" si="4"/>
        <v>7.33202626</v>
      </c>
      <c r="P58" s="3">
        <f t="shared" si="5"/>
        <v>7.215080583</v>
      </c>
      <c r="Q58" s="3">
        <f t="shared" ref="Q58:R58" si="61">_xlfn.NORM.S.DIST(O58)</f>
        <v>1</v>
      </c>
      <c r="R58" s="3">
        <f t="shared" si="61"/>
        <v>1</v>
      </c>
    </row>
    <row r="59" ht="14.25" customHeight="1">
      <c r="A59" s="3" t="s">
        <v>168</v>
      </c>
      <c r="B59" s="3" t="s">
        <v>169</v>
      </c>
      <c r="C59" s="3" t="s">
        <v>129</v>
      </c>
      <c r="D59" s="3" t="s">
        <v>29</v>
      </c>
      <c r="E59" s="3">
        <v>21.0</v>
      </c>
      <c r="F59" s="3">
        <v>27.0</v>
      </c>
      <c r="G59" s="3">
        <v>29.95</v>
      </c>
      <c r="H59" s="3" t="s">
        <v>88</v>
      </c>
      <c r="I59" s="3">
        <v>0.3996</v>
      </c>
      <c r="J59" s="3">
        <v>49.48</v>
      </c>
      <c r="K59" s="3">
        <v>18.0</v>
      </c>
      <c r="L59" s="3">
        <f t="shared" si="2"/>
        <v>28.475</v>
      </c>
      <c r="M59" s="3"/>
      <c r="N59" s="3">
        <f t="shared" si="3"/>
        <v>28.48104997</v>
      </c>
      <c r="O59" s="3">
        <f t="shared" si="4"/>
        <v>8.078824198</v>
      </c>
      <c r="P59" s="3">
        <f t="shared" si="5"/>
        <v>7.972026605</v>
      </c>
      <c r="Q59" s="3">
        <f t="shared" ref="Q59:R59" si="62">_xlfn.NORM.S.DIST(O59)</f>
        <v>1</v>
      </c>
      <c r="R59" s="3">
        <f t="shared" si="62"/>
        <v>1</v>
      </c>
    </row>
    <row r="60" ht="14.25" customHeight="1">
      <c r="A60" s="3" t="s">
        <v>168</v>
      </c>
      <c r="B60" s="3" t="s">
        <v>169</v>
      </c>
      <c r="C60" s="3" t="s">
        <v>129</v>
      </c>
      <c r="D60" s="3" t="s">
        <v>29</v>
      </c>
      <c r="E60" s="3">
        <v>21.0</v>
      </c>
      <c r="F60" s="3">
        <v>26.4</v>
      </c>
      <c r="G60" s="3">
        <v>29.35</v>
      </c>
      <c r="H60" s="3" t="s">
        <v>89</v>
      </c>
      <c r="I60" s="3">
        <v>0.1256</v>
      </c>
      <c r="J60" s="3">
        <v>48.939999</v>
      </c>
      <c r="K60" s="3">
        <v>17.0</v>
      </c>
      <c r="L60" s="3">
        <f t="shared" si="2"/>
        <v>27.875</v>
      </c>
      <c r="M60" s="3"/>
      <c r="N60" s="3">
        <f t="shared" si="3"/>
        <v>27.94099064</v>
      </c>
      <c r="O60" s="3">
        <f t="shared" si="4"/>
        <v>25.95320946</v>
      </c>
      <c r="P60" s="3">
        <f t="shared" si="5"/>
        <v>25.92058721</v>
      </c>
      <c r="Q60" s="3">
        <f t="shared" ref="Q60:R60" si="63">_xlfn.NORM.S.DIST(O60)</f>
        <v>1</v>
      </c>
      <c r="R60" s="3">
        <f t="shared" si="63"/>
        <v>1</v>
      </c>
    </row>
    <row r="61" ht="14.25" customHeight="1">
      <c r="A61" s="3" t="s">
        <v>168</v>
      </c>
      <c r="B61" s="3" t="s">
        <v>169</v>
      </c>
      <c r="C61" s="3" t="s">
        <v>129</v>
      </c>
      <c r="D61" s="3" t="s">
        <v>29</v>
      </c>
      <c r="E61" s="3">
        <v>21.0</v>
      </c>
      <c r="F61" s="3">
        <v>26.6</v>
      </c>
      <c r="G61" s="3">
        <v>29.5</v>
      </c>
      <c r="H61" s="3" t="s">
        <v>90</v>
      </c>
      <c r="I61" s="3">
        <v>0.4077</v>
      </c>
      <c r="J61" s="3">
        <v>49.150002</v>
      </c>
      <c r="K61" s="3">
        <v>16.0</v>
      </c>
      <c r="L61" s="3">
        <f t="shared" si="2"/>
        <v>28.05</v>
      </c>
      <c r="M61" s="3"/>
      <c r="N61" s="3">
        <f t="shared" si="3"/>
        <v>28.15093531</v>
      </c>
      <c r="O61" s="3">
        <f t="shared" si="4"/>
        <v>8.329304992</v>
      </c>
      <c r="P61" s="3">
        <f t="shared" si="5"/>
        <v>8.226574248</v>
      </c>
      <c r="Q61" s="3">
        <f t="shared" ref="Q61:R61" si="64">_xlfn.NORM.S.DIST(O61)</f>
        <v>1</v>
      </c>
      <c r="R61" s="3">
        <f t="shared" si="64"/>
        <v>1</v>
      </c>
    </row>
    <row r="62" ht="14.25" customHeight="1">
      <c r="A62" s="3" t="s">
        <v>168</v>
      </c>
      <c r="B62" s="3" t="s">
        <v>169</v>
      </c>
      <c r="C62" s="3" t="s">
        <v>129</v>
      </c>
      <c r="D62" s="3" t="s">
        <v>29</v>
      </c>
      <c r="E62" s="3">
        <v>21.0</v>
      </c>
      <c r="F62" s="3">
        <v>26.7</v>
      </c>
      <c r="G62" s="3">
        <v>29.7</v>
      </c>
      <c r="H62" s="3" t="s">
        <v>91</v>
      </c>
      <c r="I62" s="3">
        <v>0.4628</v>
      </c>
      <c r="J62" s="3">
        <v>49.220001</v>
      </c>
      <c r="K62" s="3">
        <v>15.0</v>
      </c>
      <c r="L62" s="3">
        <f t="shared" si="2"/>
        <v>28.2</v>
      </c>
      <c r="M62" s="3"/>
      <c r="N62" s="3">
        <f t="shared" si="3"/>
        <v>28.22087598</v>
      </c>
      <c r="O62" s="3">
        <f t="shared" si="4"/>
        <v>7.60057887</v>
      </c>
      <c r="P62" s="3">
        <f t="shared" si="5"/>
        <v>7.487667231</v>
      </c>
      <c r="Q62" s="3">
        <f t="shared" ref="Q62:R62" si="65">_xlfn.NORM.S.DIST(O62)</f>
        <v>1</v>
      </c>
      <c r="R62" s="3">
        <f t="shared" si="65"/>
        <v>1</v>
      </c>
    </row>
    <row r="63" ht="14.25" customHeight="1">
      <c r="A63" s="3" t="s">
        <v>168</v>
      </c>
      <c r="B63" s="3" t="s">
        <v>169</v>
      </c>
      <c r="C63" s="3" t="s">
        <v>129</v>
      </c>
      <c r="D63" s="3" t="s">
        <v>29</v>
      </c>
      <c r="E63" s="3">
        <v>21.0</v>
      </c>
      <c r="F63" s="3">
        <v>26.85</v>
      </c>
      <c r="G63" s="3">
        <v>29.9</v>
      </c>
      <c r="H63" s="3" t="s">
        <v>92</v>
      </c>
      <c r="I63" s="3">
        <v>0.385</v>
      </c>
      <c r="J63" s="3">
        <v>49.5</v>
      </c>
      <c r="K63" s="3">
        <v>14.0</v>
      </c>
      <c r="L63" s="3">
        <f t="shared" si="2"/>
        <v>28.375</v>
      </c>
      <c r="M63" s="3"/>
      <c r="N63" s="3">
        <f t="shared" si="3"/>
        <v>28.50081665</v>
      </c>
      <c r="O63" s="3">
        <f t="shared" si="4"/>
        <v>9.494770691</v>
      </c>
      <c r="P63" s="3">
        <f t="shared" si="5"/>
        <v>9.404025321</v>
      </c>
      <c r="Q63" s="3">
        <f t="shared" ref="Q63:R63" si="66">_xlfn.NORM.S.DIST(O63)</f>
        <v>1</v>
      </c>
      <c r="R63" s="3">
        <f t="shared" si="66"/>
        <v>1</v>
      </c>
    </row>
    <row r="64" ht="14.25" customHeight="1">
      <c r="A64" s="3" t="s">
        <v>168</v>
      </c>
      <c r="B64" s="3" t="s">
        <v>169</v>
      </c>
      <c r="C64" s="3" t="s">
        <v>129</v>
      </c>
      <c r="D64" s="3" t="s">
        <v>29</v>
      </c>
      <c r="E64" s="3">
        <v>21.0</v>
      </c>
      <c r="F64" s="3">
        <v>26.4</v>
      </c>
      <c r="G64" s="3">
        <v>29.5</v>
      </c>
      <c r="H64" s="3" t="s">
        <v>93</v>
      </c>
      <c r="I64" s="3">
        <v>0.3786</v>
      </c>
      <c r="J64" s="3">
        <v>48.990002</v>
      </c>
      <c r="K64" s="3">
        <v>13.0</v>
      </c>
      <c r="L64" s="3">
        <f t="shared" si="2"/>
        <v>27.95</v>
      </c>
      <c r="M64" s="3"/>
      <c r="N64" s="3">
        <f t="shared" si="3"/>
        <v>27.99076032</v>
      </c>
      <c r="O64" s="3">
        <f t="shared" si="4"/>
        <v>9.894396472</v>
      </c>
      <c r="P64" s="3">
        <f t="shared" si="5"/>
        <v>9.808405667</v>
      </c>
      <c r="Q64" s="3">
        <f t="shared" ref="Q64:R64" si="67">_xlfn.NORM.S.DIST(O64)</f>
        <v>1</v>
      </c>
      <c r="R64" s="3">
        <f t="shared" si="67"/>
        <v>1</v>
      </c>
    </row>
    <row r="65" ht="14.25" customHeight="1">
      <c r="A65" s="3" t="s">
        <v>168</v>
      </c>
      <c r="B65" s="3" t="s">
        <v>169</v>
      </c>
      <c r="C65" s="3" t="s">
        <v>129</v>
      </c>
      <c r="D65" s="3" t="s">
        <v>29</v>
      </c>
      <c r="E65" s="3">
        <v>21.0</v>
      </c>
      <c r="F65" s="3">
        <v>26.5</v>
      </c>
      <c r="G65" s="3">
        <v>29.75</v>
      </c>
      <c r="H65" s="3" t="s">
        <v>94</v>
      </c>
      <c r="I65" s="3">
        <v>0.3873</v>
      </c>
      <c r="J65" s="3">
        <v>49.299999</v>
      </c>
      <c r="K65" s="3">
        <v>12.0</v>
      </c>
      <c r="L65" s="3">
        <f t="shared" si="2"/>
        <v>28.125</v>
      </c>
      <c r="M65" s="3"/>
      <c r="N65" s="3">
        <f t="shared" si="3"/>
        <v>28.30069899</v>
      </c>
      <c r="O65" s="3">
        <f t="shared" si="4"/>
        <v>10.14019306</v>
      </c>
      <c r="P65" s="3">
        <f t="shared" si="5"/>
        <v>10.05567727</v>
      </c>
      <c r="Q65" s="3">
        <f t="shared" ref="Q65:R65" si="68">_xlfn.NORM.S.DIST(O65)</f>
        <v>1</v>
      </c>
      <c r="R65" s="3">
        <f t="shared" si="68"/>
        <v>1</v>
      </c>
    </row>
    <row r="66" ht="14.25" customHeight="1">
      <c r="A66" s="3" t="s">
        <v>168</v>
      </c>
      <c r="B66" s="3" t="s">
        <v>169</v>
      </c>
      <c r="C66" s="3" t="s">
        <v>129</v>
      </c>
      <c r="D66" s="3" t="s">
        <v>29</v>
      </c>
      <c r="E66" s="3">
        <v>21.0</v>
      </c>
      <c r="F66" s="3">
        <v>26.4</v>
      </c>
      <c r="G66" s="3">
        <v>30.0</v>
      </c>
      <c r="H66" s="3" t="s">
        <v>95</v>
      </c>
      <c r="I66" s="3">
        <v>0.1283</v>
      </c>
      <c r="J66" s="3">
        <v>49.560001</v>
      </c>
      <c r="K66" s="3">
        <v>11.0</v>
      </c>
      <c r="L66" s="3">
        <f t="shared" si="2"/>
        <v>28.2</v>
      </c>
      <c r="M66" s="3"/>
      <c r="N66" s="3">
        <f t="shared" si="3"/>
        <v>28.56064266</v>
      </c>
      <c r="O66" s="3">
        <f t="shared" si="4"/>
        <v>32.0476694</v>
      </c>
      <c r="P66" s="3">
        <f t="shared" si="5"/>
        <v>32.02086397</v>
      </c>
      <c r="Q66" s="3">
        <f t="shared" ref="Q66:R66" si="69">_xlfn.NORM.S.DIST(O66)</f>
        <v>1</v>
      </c>
      <c r="R66" s="3">
        <f t="shared" si="69"/>
        <v>1</v>
      </c>
    </row>
    <row r="67" ht="14.25" customHeight="1">
      <c r="A67" s="3" t="s">
        <v>168</v>
      </c>
      <c r="B67" s="3" t="s">
        <v>169</v>
      </c>
      <c r="C67" s="3" t="s">
        <v>129</v>
      </c>
      <c r="D67" s="3" t="s">
        <v>29</v>
      </c>
      <c r="E67" s="3">
        <v>21.0</v>
      </c>
      <c r="F67" s="3">
        <v>26.85</v>
      </c>
      <c r="G67" s="3">
        <v>29.9</v>
      </c>
      <c r="H67" s="3" t="s">
        <v>96</v>
      </c>
      <c r="I67" s="3">
        <v>0.5203</v>
      </c>
      <c r="J67" s="3">
        <v>49.43</v>
      </c>
      <c r="K67" s="3">
        <v>10.0</v>
      </c>
      <c r="L67" s="3">
        <f t="shared" si="2"/>
        <v>28.375</v>
      </c>
      <c r="M67" s="3"/>
      <c r="N67" s="3">
        <f t="shared" si="3"/>
        <v>28.43058333</v>
      </c>
      <c r="O67" s="3">
        <f t="shared" si="4"/>
        <v>8.311291673</v>
      </c>
      <c r="P67" s="3">
        <f t="shared" si="5"/>
        <v>8.207645432</v>
      </c>
      <c r="Q67" s="3">
        <f t="shared" ref="Q67:R67" si="70">_xlfn.NORM.S.DIST(O67)</f>
        <v>1</v>
      </c>
      <c r="R67" s="3">
        <f t="shared" si="70"/>
        <v>1</v>
      </c>
    </row>
    <row r="68" ht="14.25" customHeight="1">
      <c r="A68" s="3" t="s">
        <v>168</v>
      </c>
      <c r="B68" s="3" t="s">
        <v>169</v>
      </c>
      <c r="C68" s="3" t="s">
        <v>129</v>
      </c>
      <c r="D68" s="3" t="s">
        <v>29</v>
      </c>
      <c r="E68" s="3">
        <v>21.0</v>
      </c>
      <c r="F68" s="3">
        <v>26.85</v>
      </c>
      <c r="G68" s="3">
        <v>29.95</v>
      </c>
      <c r="H68" s="3" t="s">
        <v>97</v>
      </c>
      <c r="I68" s="3">
        <v>0.539</v>
      </c>
      <c r="J68" s="3">
        <v>49.360001</v>
      </c>
      <c r="K68" s="3">
        <v>9.0</v>
      </c>
      <c r="L68" s="3">
        <f t="shared" si="2"/>
        <v>28.4</v>
      </c>
      <c r="M68" s="3"/>
      <c r="N68" s="3">
        <f t="shared" si="3"/>
        <v>28.36052599</v>
      </c>
      <c r="O68" s="3">
        <f t="shared" si="4"/>
        <v>8.441182058</v>
      </c>
      <c r="P68" s="3">
        <f t="shared" si="5"/>
        <v>8.339320633</v>
      </c>
      <c r="Q68" s="3">
        <f t="shared" ref="Q68:R68" si="71">_xlfn.NORM.S.DIST(O68)</f>
        <v>1</v>
      </c>
      <c r="R68" s="3">
        <f t="shared" si="71"/>
        <v>1</v>
      </c>
    </row>
    <row r="69" ht="14.25" customHeight="1">
      <c r="A69" s="3" t="s">
        <v>168</v>
      </c>
      <c r="B69" s="3" t="s">
        <v>169</v>
      </c>
      <c r="C69" s="3" t="s">
        <v>129</v>
      </c>
      <c r="D69" s="3" t="s">
        <v>29</v>
      </c>
      <c r="E69" s="3">
        <v>21.0</v>
      </c>
      <c r="F69" s="3">
        <v>27.3</v>
      </c>
      <c r="G69" s="3">
        <v>30.4</v>
      </c>
      <c r="H69" s="3" t="s">
        <v>98</v>
      </c>
      <c r="I69" s="3">
        <v>0.5184</v>
      </c>
      <c r="J69" s="3">
        <v>49.860001</v>
      </c>
      <c r="K69" s="3">
        <v>8.0</v>
      </c>
      <c r="L69" s="3">
        <f t="shared" si="2"/>
        <v>28.85</v>
      </c>
      <c r="M69" s="3"/>
      <c r="N69" s="3">
        <f t="shared" si="3"/>
        <v>28.86046766</v>
      </c>
      <c r="O69" s="3">
        <f t="shared" si="4"/>
        <v>9.408109232</v>
      </c>
      <c r="P69" s="3">
        <f t="shared" si="5"/>
        <v>9.315743747</v>
      </c>
      <c r="Q69" s="3">
        <f t="shared" ref="Q69:R69" si="72">_xlfn.NORM.S.DIST(O69)</f>
        <v>1</v>
      </c>
      <c r="R69" s="3">
        <f t="shared" si="72"/>
        <v>1</v>
      </c>
    </row>
    <row r="70" ht="14.25" customHeight="1">
      <c r="A70" s="3" t="s">
        <v>168</v>
      </c>
      <c r="B70" s="3" t="s">
        <v>169</v>
      </c>
      <c r="C70" s="3" t="s">
        <v>129</v>
      </c>
      <c r="D70" s="3" t="s">
        <v>29</v>
      </c>
      <c r="E70" s="3">
        <v>21.0</v>
      </c>
      <c r="F70" s="3">
        <v>28.0</v>
      </c>
      <c r="G70" s="3">
        <v>31.05</v>
      </c>
      <c r="H70" s="3" t="s">
        <v>99</v>
      </c>
      <c r="I70" s="3">
        <v>0.2879</v>
      </c>
      <c r="J70" s="3">
        <v>50.509998</v>
      </c>
      <c r="K70" s="3">
        <v>7.0</v>
      </c>
      <c r="L70" s="3">
        <f t="shared" si="2"/>
        <v>29.525</v>
      </c>
      <c r="M70" s="3"/>
      <c r="N70" s="3">
        <f t="shared" si="3"/>
        <v>29.51040633</v>
      </c>
      <c r="O70" s="3">
        <f t="shared" si="4"/>
        <v>18.31509907</v>
      </c>
      <c r="P70" s="3">
        <f t="shared" si="5"/>
        <v>18.26711574</v>
      </c>
      <c r="Q70" s="3">
        <f t="shared" ref="Q70:R70" si="73">_xlfn.NORM.S.DIST(O70)</f>
        <v>1</v>
      </c>
      <c r="R70" s="3">
        <f t="shared" si="73"/>
        <v>1</v>
      </c>
    </row>
    <row r="71" ht="14.25" customHeight="1">
      <c r="A71" s="3" t="s">
        <v>168</v>
      </c>
      <c r="B71" s="3" t="s">
        <v>169</v>
      </c>
      <c r="C71" s="3" t="s">
        <v>129</v>
      </c>
      <c r="D71" s="3" t="s">
        <v>29</v>
      </c>
      <c r="E71" s="3">
        <v>21.0</v>
      </c>
      <c r="F71" s="3">
        <v>28.25</v>
      </c>
      <c r="G71" s="3">
        <v>31.3</v>
      </c>
      <c r="H71" s="3" t="s">
        <v>100</v>
      </c>
      <c r="I71" s="3">
        <v>0.237</v>
      </c>
      <c r="J71" s="3">
        <v>50.860001</v>
      </c>
      <c r="K71" s="3">
        <v>6.0</v>
      </c>
      <c r="L71" s="3">
        <f t="shared" si="2"/>
        <v>29.775</v>
      </c>
      <c r="M71" s="3"/>
      <c r="N71" s="3">
        <f t="shared" si="3"/>
        <v>29.860351</v>
      </c>
      <c r="O71" s="3">
        <f t="shared" si="4"/>
        <v>24.20678847</v>
      </c>
      <c r="P71" s="3">
        <f t="shared" si="5"/>
        <v>24.17021858</v>
      </c>
      <c r="Q71" s="3">
        <f t="shared" ref="Q71:R71" si="74">_xlfn.NORM.S.DIST(O71)</f>
        <v>1</v>
      </c>
      <c r="R71" s="3">
        <f t="shared" si="74"/>
        <v>1</v>
      </c>
    </row>
    <row r="72" ht="14.25" customHeight="1">
      <c r="A72" s="3" t="s">
        <v>168</v>
      </c>
      <c r="B72" s="3" t="s">
        <v>169</v>
      </c>
      <c r="C72" s="3" t="s">
        <v>129</v>
      </c>
      <c r="D72" s="3" t="s">
        <v>29</v>
      </c>
      <c r="E72" s="3">
        <v>21.0</v>
      </c>
      <c r="F72" s="3">
        <v>28.05</v>
      </c>
      <c r="G72" s="3">
        <v>31.35</v>
      </c>
      <c r="H72" s="3" t="s">
        <v>101</v>
      </c>
      <c r="I72" s="3">
        <v>0.295</v>
      </c>
      <c r="J72" s="3">
        <v>50.639999</v>
      </c>
      <c r="K72" s="3">
        <v>5.0</v>
      </c>
      <c r="L72" s="3">
        <f t="shared" si="2"/>
        <v>29.7</v>
      </c>
      <c r="M72" s="3"/>
      <c r="N72" s="3">
        <f t="shared" si="3"/>
        <v>29.64029066</v>
      </c>
      <c r="O72" s="3">
        <f t="shared" si="4"/>
        <v>21.20394916</v>
      </c>
      <c r="P72" s="3">
        <f t="shared" si="5"/>
        <v>21.16239574</v>
      </c>
      <c r="Q72" s="3">
        <f t="shared" ref="Q72:R72" si="75">_xlfn.NORM.S.DIST(O72)</f>
        <v>1</v>
      </c>
      <c r="R72" s="3">
        <f t="shared" si="75"/>
        <v>1</v>
      </c>
    </row>
    <row r="73" ht="14.25" customHeight="1">
      <c r="A73" s="3" t="s">
        <v>168</v>
      </c>
      <c r="B73" s="3" t="s">
        <v>169</v>
      </c>
      <c r="C73" s="3" t="s">
        <v>129</v>
      </c>
      <c r="D73" s="3" t="s">
        <v>29</v>
      </c>
      <c r="E73" s="3">
        <v>21.0</v>
      </c>
      <c r="F73" s="3">
        <v>27.95</v>
      </c>
      <c r="G73" s="3">
        <v>30.95</v>
      </c>
      <c r="H73" s="3" t="s">
        <v>102</v>
      </c>
      <c r="I73" s="3">
        <v>0.3195</v>
      </c>
      <c r="J73" s="3">
        <v>50.459999</v>
      </c>
      <c r="K73" s="3">
        <v>4.0</v>
      </c>
      <c r="L73" s="3">
        <f t="shared" si="2"/>
        <v>29.45</v>
      </c>
      <c r="M73" s="3"/>
      <c r="N73" s="3">
        <f t="shared" si="3"/>
        <v>29.46023233</v>
      </c>
      <c r="O73" s="3">
        <f t="shared" si="4"/>
        <v>21.79899736</v>
      </c>
      <c r="P73" s="3">
        <f t="shared" si="5"/>
        <v>21.75874414</v>
      </c>
      <c r="Q73" s="3">
        <f t="shared" ref="Q73:R73" si="76">_xlfn.NORM.S.DIST(O73)</f>
        <v>1</v>
      </c>
      <c r="R73" s="3">
        <f t="shared" si="76"/>
        <v>1</v>
      </c>
    </row>
    <row r="74" ht="14.25" customHeight="1">
      <c r="A74" s="3" t="s">
        <v>168</v>
      </c>
      <c r="B74" s="3" t="s">
        <v>169</v>
      </c>
      <c r="C74" s="3" t="s">
        <v>129</v>
      </c>
      <c r="D74" s="3" t="s">
        <v>29</v>
      </c>
      <c r="E74" s="3">
        <v>21.0</v>
      </c>
      <c r="F74" s="3">
        <v>27.15</v>
      </c>
      <c r="G74" s="3">
        <v>30.3</v>
      </c>
      <c r="H74" s="3" t="s">
        <v>103</v>
      </c>
      <c r="I74" s="3">
        <v>0.5387</v>
      </c>
      <c r="J74" s="3">
        <v>49.540001</v>
      </c>
      <c r="K74" s="3">
        <v>3.0</v>
      </c>
      <c r="L74" s="3">
        <f t="shared" si="2"/>
        <v>28.725</v>
      </c>
      <c r="M74" s="3"/>
      <c r="N74" s="3">
        <f t="shared" si="3"/>
        <v>28.540176</v>
      </c>
      <c r="O74" s="3">
        <f t="shared" si="4"/>
        <v>14.63146931</v>
      </c>
      <c r="P74" s="3">
        <f t="shared" si="5"/>
        <v>14.57269233</v>
      </c>
      <c r="Q74" s="3">
        <f t="shared" ref="Q74:R74" si="77">_xlfn.NORM.S.DIST(O74)</f>
        <v>1</v>
      </c>
      <c r="R74" s="3">
        <f t="shared" si="77"/>
        <v>1</v>
      </c>
    </row>
    <row r="75" ht="14.25" customHeight="1">
      <c r="A75" s="3" t="s">
        <v>168</v>
      </c>
      <c r="B75" s="3" t="s">
        <v>169</v>
      </c>
      <c r="C75" s="3" t="s">
        <v>129</v>
      </c>
      <c r="D75" s="3" t="s">
        <v>29</v>
      </c>
      <c r="E75" s="3">
        <v>21.0</v>
      </c>
      <c r="F75" s="3">
        <v>28.5</v>
      </c>
      <c r="G75" s="3">
        <v>31.7</v>
      </c>
      <c r="H75" s="3" t="s">
        <v>104</v>
      </c>
      <c r="I75" s="3">
        <v>0.2803</v>
      </c>
      <c r="J75" s="3">
        <v>50.91</v>
      </c>
      <c r="K75" s="3">
        <v>2.0</v>
      </c>
      <c r="L75" s="3">
        <f t="shared" si="2"/>
        <v>30.1</v>
      </c>
      <c r="M75" s="3"/>
      <c r="N75" s="3">
        <f t="shared" si="3"/>
        <v>29.91011667</v>
      </c>
      <c r="O75" s="3">
        <f t="shared" si="4"/>
        <v>35.4751675</v>
      </c>
      <c r="P75" s="3">
        <f t="shared" si="5"/>
        <v>35.45019639</v>
      </c>
      <c r="Q75" s="3">
        <f t="shared" ref="Q75:R75" si="78">_xlfn.NORM.S.DIST(O75)</f>
        <v>1</v>
      </c>
      <c r="R75" s="3">
        <f t="shared" si="78"/>
        <v>1</v>
      </c>
    </row>
    <row r="76" ht="14.25" customHeight="1">
      <c r="A76" s="3" t="s">
        <v>168</v>
      </c>
      <c r="B76" s="3" t="s">
        <v>169</v>
      </c>
      <c r="C76" s="3" t="s">
        <v>129</v>
      </c>
      <c r="D76" s="3" t="s">
        <v>29</v>
      </c>
      <c r="E76" s="3">
        <v>21.0</v>
      </c>
      <c r="F76" s="3">
        <v>28.85</v>
      </c>
      <c r="G76" s="3">
        <v>32.75</v>
      </c>
      <c r="H76" s="3" t="s">
        <v>105</v>
      </c>
      <c r="I76" s="3">
        <v>0.9274</v>
      </c>
      <c r="J76" s="3">
        <v>52.25</v>
      </c>
      <c r="K76" s="3">
        <v>1.0</v>
      </c>
      <c r="L76" s="3">
        <f t="shared" si="2"/>
        <v>30.8</v>
      </c>
      <c r="M76" s="3"/>
      <c r="N76" s="3">
        <f t="shared" si="3"/>
        <v>31.25005833</v>
      </c>
      <c r="O76" s="3">
        <f t="shared" si="4"/>
        <v>15.63190075</v>
      </c>
      <c r="P76" s="3">
        <f t="shared" si="5"/>
        <v>15.57348004</v>
      </c>
      <c r="Q76" s="3">
        <f t="shared" ref="Q76:R76" si="79">_xlfn.NORM.S.DIST(O76)</f>
        <v>1</v>
      </c>
      <c r="R76" s="3">
        <f t="shared" si="79"/>
        <v>1</v>
      </c>
    </row>
    <row r="77" ht="14.25" customHeight="1">
      <c r="M77" s="3"/>
    </row>
    <row r="78" ht="14.25" customHeight="1">
      <c r="M78" s="3"/>
    </row>
    <row r="79" ht="14.25" customHeight="1">
      <c r="M79" s="3"/>
    </row>
    <row r="80" ht="14.25" customHeight="1">
      <c r="M80" s="3"/>
    </row>
    <row r="81" ht="14.25" customHeight="1">
      <c r="M81" s="3"/>
    </row>
    <row r="82" ht="14.25" customHeight="1">
      <c r="M82" s="3"/>
    </row>
    <row r="83" ht="14.25" customHeight="1">
      <c r="M83" s="3"/>
    </row>
    <row r="84" ht="14.25" customHeight="1">
      <c r="M84" s="3"/>
    </row>
    <row r="85" ht="14.25" customHeight="1">
      <c r="M85" s="3"/>
    </row>
    <row r="86" ht="14.25" customHeight="1">
      <c r="M86" s="3"/>
    </row>
    <row r="87" ht="14.25" customHeight="1">
      <c r="M87" s="3"/>
    </row>
    <row r="88" ht="14.25" customHeight="1">
      <c r="M88" s="3"/>
    </row>
    <row r="89" ht="14.25" customHeight="1">
      <c r="M89" s="3"/>
    </row>
    <row r="90" ht="14.25" customHeight="1">
      <c r="M90" s="3"/>
    </row>
    <row r="91" ht="14.25" customHeight="1">
      <c r="M91" s="3"/>
    </row>
    <row r="92" ht="14.25" customHeight="1">
      <c r="M92" s="3"/>
    </row>
    <row r="93" ht="14.25" customHeight="1">
      <c r="M93" s="3"/>
    </row>
    <row r="94" ht="14.25" customHeight="1">
      <c r="M94" s="3"/>
    </row>
    <row r="95" ht="14.25" customHeight="1">
      <c r="M95" s="3"/>
    </row>
    <row r="96" ht="14.25" customHeight="1">
      <c r="M96" s="3"/>
    </row>
    <row r="97" ht="14.25" customHeight="1">
      <c r="M97" s="3"/>
    </row>
    <row r="98" ht="14.25" customHeight="1">
      <c r="M98" s="3"/>
    </row>
    <row r="99" ht="14.25" customHeight="1">
      <c r="M99" s="3"/>
    </row>
    <row r="100" ht="14.25" customHeight="1">
      <c r="M100" s="3"/>
    </row>
    <row r="101" ht="14.25" customHeight="1">
      <c r="M101" s="3"/>
    </row>
    <row r="102" ht="14.25" customHeight="1">
      <c r="M102" s="3"/>
    </row>
    <row r="103" ht="14.25" customHeight="1">
      <c r="M103" s="3"/>
    </row>
    <row r="104" ht="14.25" customHeight="1">
      <c r="M104" s="3"/>
    </row>
    <row r="105" ht="14.25" customHeight="1">
      <c r="M105" s="3"/>
    </row>
    <row r="106" ht="14.25" customHeight="1">
      <c r="M106" s="3"/>
    </row>
    <row r="107" ht="14.25" customHeight="1">
      <c r="M107" s="3"/>
    </row>
    <row r="108" ht="14.25" customHeight="1">
      <c r="M108" s="3"/>
    </row>
    <row r="109" ht="14.25" customHeight="1">
      <c r="M109" s="3"/>
    </row>
    <row r="110" ht="14.25" customHeight="1">
      <c r="M110" s="3"/>
    </row>
    <row r="111" ht="14.25" customHeight="1">
      <c r="M111" s="3"/>
    </row>
    <row r="112" ht="14.25" customHeight="1">
      <c r="M112" s="3"/>
    </row>
    <row r="113" ht="14.25" customHeight="1">
      <c r="M113" s="3"/>
    </row>
    <row r="114" ht="14.25" customHeight="1">
      <c r="M114" s="3"/>
    </row>
    <row r="115" ht="14.25" customHeight="1">
      <c r="M115" s="3"/>
    </row>
    <row r="116" ht="14.25" customHeight="1">
      <c r="M116" s="3"/>
    </row>
    <row r="117" ht="14.25" customHeight="1">
      <c r="M117" s="3"/>
    </row>
    <row r="118" ht="14.25" customHeight="1">
      <c r="M118" s="3"/>
    </row>
    <row r="119" ht="14.25" customHeight="1">
      <c r="M119" s="3"/>
    </row>
    <row r="120" ht="14.25" customHeight="1">
      <c r="M120" s="3"/>
    </row>
    <row r="121" ht="14.25" customHeight="1">
      <c r="M121" s="3"/>
    </row>
    <row r="122" ht="14.25" customHeight="1">
      <c r="M122" s="3"/>
    </row>
    <row r="123" ht="14.25" customHeight="1">
      <c r="M123" s="3"/>
    </row>
    <row r="124" ht="14.25" customHeight="1">
      <c r="M124" s="3"/>
    </row>
    <row r="125" ht="14.25" customHeight="1">
      <c r="M125" s="3"/>
    </row>
    <row r="126" ht="14.25" customHeight="1">
      <c r="M126" s="3"/>
    </row>
    <row r="127" ht="14.25" customHeight="1">
      <c r="M127" s="3"/>
    </row>
    <row r="128" ht="14.25" customHeight="1">
      <c r="M128" s="3"/>
    </row>
    <row r="129" ht="14.25" customHeight="1">
      <c r="M129" s="3"/>
    </row>
    <row r="130" ht="14.25" customHeight="1">
      <c r="M130" s="3"/>
    </row>
    <row r="131" ht="14.25" customHeight="1">
      <c r="M131" s="3"/>
    </row>
    <row r="132" ht="14.25" customHeight="1">
      <c r="M132" s="3"/>
    </row>
    <row r="133" ht="14.25" customHeight="1">
      <c r="M133" s="3"/>
    </row>
    <row r="134" ht="14.25" customHeight="1">
      <c r="M134" s="3"/>
    </row>
    <row r="135" ht="14.25" customHeight="1">
      <c r="M135" s="3"/>
    </row>
    <row r="136" ht="14.25" customHeight="1">
      <c r="M136" s="3"/>
    </row>
    <row r="137" ht="14.25" customHeight="1">
      <c r="M137" s="3"/>
    </row>
    <row r="138" ht="14.25" customHeight="1">
      <c r="M138" s="3"/>
    </row>
    <row r="139" ht="14.25" customHeight="1">
      <c r="M139" s="3"/>
    </row>
    <row r="140" ht="14.25" customHeight="1">
      <c r="M140" s="3"/>
    </row>
    <row r="141" ht="14.25" customHeight="1">
      <c r="M141" s="3"/>
    </row>
    <row r="142" ht="14.25" customHeight="1">
      <c r="M142" s="3"/>
    </row>
    <row r="143" ht="14.25" customHeight="1">
      <c r="M143" s="3"/>
    </row>
    <row r="144" ht="14.25" customHeight="1">
      <c r="M144" s="3"/>
    </row>
    <row r="145" ht="14.25" customHeight="1">
      <c r="M145" s="3"/>
    </row>
    <row r="146" ht="14.25" customHeight="1">
      <c r="M146" s="3"/>
    </row>
    <row r="147" ht="14.25" customHeight="1">
      <c r="M147" s="3"/>
    </row>
    <row r="148" ht="14.25" customHeight="1">
      <c r="M148" s="3"/>
    </row>
    <row r="149" ht="14.25" customHeight="1">
      <c r="M149" s="3"/>
    </row>
    <row r="150" ht="14.25" customHeight="1">
      <c r="M150" s="3"/>
    </row>
    <row r="151" ht="14.25" customHeight="1">
      <c r="M151" s="3"/>
    </row>
    <row r="152" ht="14.25" customHeight="1">
      <c r="M152" s="3"/>
    </row>
    <row r="153" ht="14.25" customHeight="1">
      <c r="M153" s="3"/>
    </row>
    <row r="154" ht="14.25" customHeight="1">
      <c r="M154" s="3"/>
    </row>
    <row r="155" ht="14.25" customHeight="1">
      <c r="M155" s="3"/>
    </row>
    <row r="156" ht="14.25" customHeight="1">
      <c r="M156" s="3"/>
    </row>
    <row r="157" ht="14.25" customHeight="1">
      <c r="M157" s="3"/>
    </row>
    <row r="158" ht="14.25" customHeight="1">
      <c r="M158" s="3"/>
    </row>
    <row r="159" ht="14.25" customHeight="1">
      <c r="M159" s="3"/>
    </row>
    <row r="160" ht="14.25" customHeight="1">
      <c r="M160" s="3"/>
    </row>
    <row r="161" ht="14.25" customHeight="1">
      <c r="M161" s="3"/>
    </row>
    <row r="162" ht="14.25" customHeight="1">
      <c r="M162" s="3"/>
    </row>
    <row r="163" ht="14.25" customHeight="1">
      <c r="M163" s="3"/>
    </row>
    <row r="164" ht="14.25" customHeight="1">
      <c r="M164" s="3"/>
    </row>
    <row r="165" ht="14.25" customHeight="1">
      <c r="M165" s="3"/>
    </row>
    <row r="166" ht="14.25" customHeight="1">
      <c r="M166" s="3"/>
    </row>
    <row r="167" ht="14.25" customHeight="1">
      <c r="M167" s="3"/>
    </row>
    <row r="168" ht="14.25" customHeight="1">
      <c r="M168" s="3"/>
    </row>
    <row r="169" ht="14.25" customHeight="1">
      <c r="M169" s="3"/>
    </row>
    <row r="170" ht="14.25" customHeight="1">
      <c r="M170" s="3"/>
    </row>
    <row r="171" ht="14.25" customHeight="1">
      <c r="M171" s="3"/>
    </row>
    <row r="172" ht="14.25" customHeight="1">
      <c r="M172" s="3"/>
    </row>
    <row r="173" ht="14.25" customHeight="1">
      <c r="M173" s="3"/>
    </row>
    <row r="174" ht="14.25" customHeight="1">
      <c r="M174" s="3"/>
    </row>
    <row r="175" ht="14.25" customHeight="1">
      <c r="M175" s="3"/>
    </row>
    <row r="176" ht="14.25" customHeight="1">
      <c r="M176" s="3"/>
    </row>
    <row r="177" ht="14.25" customHeight="1">
      <c r="M177" s="3"/>
    </row>
    <row r="178" ht="14.25" customHeight="1">
      <c r="M178" s="3"/>
    </row>
    <row r="179" ht="14.25" customHeight="1">
      <c r="M179" s="3"/>
    </row>
    <row r="180" ht="14.25" customHeight="1">
      <c r="M180" s="3"/>
    </row>
    <row r="181" ht="14.25" customHeight="1">
      <c r="M181" s="3"/>
    </row>
    <row r="182" ht="14.25" customHeight="1">
      <c r="M182" s="3"/>
    </row>
    <row r="183" ht="14.25" customHeight="1">
      <c r="M183" s="3"/>
    </row>
    <row r="184" ht="14.25" customHeight="1">
      <c r="M184" s="3"/>
    </row>
    <row r="185" ht="14.25" customHeight="1">
      <c r="M185" s="3"/>
    </row>
    <row r="186" ht="14.25" customHeight="1">
      <c r="M186" s="3"/>
    </row>
    <row r="187" ht="14.25" customHeight="1">
      <c r="M187" s="3"/>
    </row>
    <row r="188" ht="14.25" customHeight="1">
      <c r="M188" s="3"/>
    </row>
    <row r="189" ht="14.25" customHeight="1">
      <c r="M189" s="3"/>
    </row>
    <row r="190" ht="14.25" customHeight="1">
      <c r="M190" s="3"/>
    </row>
    <row r="191" ht="14.25" customHeight="1">
      <c r="M191" s="3"/>
    </row>
    <row r="192" ht="14.25" customHeight="1">
      <c r="M192" s="3"/>
    </row>
    <row r="193" ht="14.25" customHeight="1">
      <c r="M193" s="3"/>
    </row>
    <row r="194" ht="14.25" customHeight="1">
      <c r="M194" s="3"/>
    </row>
    <row r="195" ht="14.25" customHeight="1">
      <c r="M195" s="3"/>
    </row>
    <row r="196" ht="14.25" customHeight="1">
      <c r="M196" s="3"/>
    </row>
    <row r="197" ht="14.25" customHeight="1">
      <c r="M197" s="3"/>
    </row>
    <row r="198" ht="14.25" customHeight="1">
      <c r="M198" s="3"/>
    </row>
    <row r="199" ht="14.25" customHeight="1">
      <c r="M199" s="3"/>
    </row>
    <row r="200" ht="14.25" customHeight="1">
      <c r="M200" s="3"/>
    </row>
    <row r="201" ht="14.25" customHeight="1">
      <c r="M201" s="3"/>
    </row>
    <row r="202" ht="14.25" customHeight="1">
      <c r="M202" s="3"/>
    </row>
    <row r="203" ht="14.25" customHeight="1">
      <c r="M203" s="3"/>
    </row>
    <row r="204" ht="14.25" customHeight="1">
      <c r="M204" s="3"/>
    </row>
    <row r="205" ht="14.25" customHeight="1">
      <c r="M205" s="3"/>
    </row>
    <row r="206" ht="14.25" customHeight="1">
      <c r="M206" s="3"/>
    </row>
    <row r="207" ht="14.25" customHeight="1">
      <c r="M207" s="3"/>
    </row>
    <row r="208" ht="14.25" customHeight="1">
      <c r="M208" s="3"/>
    </row>
    <row r="209" ht="14.25" customHeight="1">
      <c r="M209" s="3"/>
    </row>
    <row r="210" ht="14.25" customHeight="1">
      <c r="M210" s="3"/>
    </row>
    <row r="211" ht="14.25" customHeight="1">
      <c r="M211" s="3"/>
    </row>
    <row r="212" ht="14.25" customHeight="1">
      <c r="M212" s="3"/>
    </row>
    <row r="213" ht="14.25" customHeight="1">
      <c r="M213" s="3"/>
    </row>
    <row r="214" ht="14.25" customHeight="1">
      <c r="M214" s="3"/>
    </row>
    <row r="215" ht="14.25" customHeight="1">
      <c r="M215" s="3"/>
    </row>
    <row r="216" ht="14.25" customHeight="1">
      <c r="M216" s="3"/>
    </row>
    <row r="217" ht="14.25" customHeight="1">
      <c r="M217" s="3"/>
    </row>
    <row r="218" ht="14.25" customHeight="1">
      <c r="M218" s="3"/>
    </row>
    <row r="219" ht="14.25" customHeight="1">
      <c r="M219" s="3"/>
    </row>
    <row r="220" ht="14.25" customHeight="1">
      <c r="M220" s="3"/>
    </row>
    <row r="221" ht="14.25" customHeight="1">
      <c r="M221" s="3"/>
    </row>
    <row r="222" ht="14.25" customHeight="1">
      <c r="M222" s="3"/>
    </row>
    <row r="223" ht="14.25" customHeight="1">
      <c r="M223" s="3"/>
    </row>
    <row r="224" ht="14.25" customHeight="1">
      <c r="M224" s="3"/>
    </row>
    <row r="225" ht="14.25" customHeight="1">
      <c r="M225" s="3"/>
    </row>
    <row r="226" ht="14.25" customHeight="1">
      <c r="M226" s="3"/>
    </row>
    <row r="227" ht="14.25" customHeight="1">
      <c r="M227" s="3"/>
    </row>
    <row r="228" ht="14.25" customHeight="1">
      <c r="M228" s="3"/>
    </row>
    <row r="229" ht="14.25" customHeight="1">
      <c r="M229" s="3"/>
    </row>
    <row r="230" ht="14.25" customHeight="1">
      <c r="M230" s="3"/>
    </row>
    <row r="231" ht="14.25" customHeight="1">
      <c r="M231" s="3"/>
    </row>
    <row r="232" ht="14.25" customHeight="1">
      <c r="M232" s="3"/>
    </row>
    <row r="233" ht="14.25" customHeight="1">
      <c r="M233" s="3"/>
    </row>
    <row r="234" ht="14.25" customHeight="1">
      <c r="M234" s="3"/>
    </row>
    <row r="235" ht="14.25" customHeight="1">
      <c r="M235" s="3"/>
    </row>
    <row r="236" ht="14.25" customHeight="1">
      <c r="M236" s="3"/>
    </row>
    <row r="237" ht="14.25" customHeight="1">
      <c r="M237" s="3"/>
    </row>
    <row r="238" ht="14.25" customHeight="1">
      <c r="M238" s="3"/>
    </row>
    <row r="239" ht="14.25" customHeight="1">
      <c r="M239" s="3"/>
    </row>
    <row r="240" ht="14.25" customHeight="1">
      <c r="M240" s="3"/>
    </row>
    <row r="241" ht="14.25" customHeight="1">
      <c r="M241" s="3"/>
    </row>
    <row r="242" ht="14.25" customHeight="1">
      <c r="M242" s="3"/>
    </row>
    <row r="243" ht="14.25" customHeight="1">
      <c r="M243" s="3"/>
    </row>
    <row r="244" ht="14.25" customHeight="1">
      <c r="M244" s="3"/>
    </row>
    <row r="245" ht="14.25" customHeight="1">
      <c r="M245" s="3"/>
    </row>
    <row r="246" ht="14.25" customHeight="1">
      <c r="M246" s="3"/>
    </row>
    <row r="247" ht="14.25" customHeight="1">
      <c r="M247" s="3"/>
    </row>
    <row r="248" ht="14.25" customHeight="1">
      <c r="M248" s="3"/>
    </row>
    <row r="249" ht="14.25" customHeight="1">
      <c r="M249" s="3"/>
    </row>
    <row r="250" ht="14.25" customHeight="1">
      <c r="M250" s="3"/>
    </row>
    <row r="251" ht="14.25" customHeight="1">
      <c r="M251" s="3"/>
    </row>
    <row r="252" ht="14.25" customHeight="1">
      <c r="M252" s="3"/>
    </row>
    <row r="253" ht="14.25" customHeight="1">
      <c r="M253" s="3"/>
    </row>
    <row r="254" ht="14.25" customHeight="1">
      <c r="M254" s="3"/>
    </row>
    <row r="255" ht="14.25" customHeight="1">
      <c r="M255" s="3"/>
    </row>
    <row r="256" ht="14.25" customHeight="1">
      <c r="M256" s="3"/>
    </row>
    <row r="257" ht="14.25" customHeight="1">
      <c r="M257" s="3"/>
    </row>
    <row r="258" ht="14.25" customHeight="1">
      <c r="M258" s="3"/>
    </row>
    <row r="259" ht="14.25" customHeight="1">
      <c r="M259" s="3"/>
    </row>
    <row r="260" ht="14.25" customHeight="1">
      <c r="M260" s="3"/>
    </row>
    <row r="261" ht="14.25" customHeight="1">
      <c r="M261" s="3"/>
    </row>
    <row r="262" ht="14.25" customHeight="1">
      <c r="M262" s="3"/>
    </row>
    <row r="263" ht="14.25" customHeight="1">
      <c r="M263" s="3"/>
    </row>
    <row r="264" ht="14.25" customHeight="1">
      <c r="M264" s="3"/>
    </row>
    <row r="265" ht="14.25" customHeight="1">
      <c r="M265" s="3"/>
    </row>
    <row r="266" ht="14.25" customHeight="1">
      <c r="M266" s="3"/>
    </row>
    <row r="267" ht="14.25" customHeight="1">
      <c r="M267" s="3"/>
    </row>
    <row r="268" ht="14.25" customHeight="1">
      <c r="M268" s="3"/>
    </row>
    <row r="269" ht="14.25" customHeight="1">
      <c r="M269" s="3"/>
    </row>
    <row r="270" ht="14.25" customHeight="1">
      <c r="M270" s="3"/>
    </row>
    <row r="271" ht="14.25" customHeight="1">
      <c r="M271" s="3"/>
    </row>
    <row r="272" ht="14.25" customHeight="1">
      <c r="M272" s="3"/>
    </row>
    <row r="273" ht="14.25" customHeight="1">
      <c r="M273" s="3"/>
    </row>
    <row r="274" ht="14.25" customHeight="1">
      <c r="M274" s="3"/>
    </row>
    <row r="275" ht="14.25" customHeight="1">
      <c r="M275" s="3"/>
    </row>
    <row r="276" ht="14.25" customHeight="1">
      <c r="M276" s="3"/>
    </row>
    <row r="277" ht="14.25" customHeight="1">
      <c r="M277" s="3"/>
    </row>
    <row r="278" ht="14.25" customHeight="1">
      <c r="M278" s="3"/>
    </row>
    <row r="279" ht="14.25" customHeight="1">
      <c r="M279" s="3"/>
    </row>
    <row r="280" ht="14.25" customHeight="1">
      <c r="M280" s="3"/>
    </row>
    <row r="281" ht="14.25" customHeight="1">
      <c r="M281" s="3"/>
    </row>
    <row r="282" ht="14.25" customHeight="1">
      <c r="M282" s="3"/>
    </row>
    <row r="283" ht="14.25" customHeight="1">
      <c r="M283" s="3"/>
    </row>
    <row r="284" ht="14.25" customHeight="1">
      <c r="M284" s="3"/>
    </row>
    <row r="285" ht="14.25" customHeight="1">
      <c r="M285" s="3"/>
    </row>
    <row r="286" ht="14.25" customHeight="1">
      <c r="M286" s="3"/>
    </row>
    <row r="287" ht="14.25" customHeight="1">
      <c r="M287" s="3"/>
    </row>
    <row r="288" ht="14.25" customHeight="1">
      <c r="M288" s="3"/>
    </row>
    <row r="289" ht="14.25" customHeight="1">
      <c r="M289" s="3"/>
    </row>
    <row r="290" ht="14.25" customHeight="1">
      <c r="M290" s="3"/>
    </row>
    <row r="291" ht="14.25" customHeight="1">
      <c r="M291" s="3"/>
    </row>
    <row r="292" ht="14.25" customHeight="1">
      <c r="M292" s="3"/>
    </row>
    <row r="293" ht="14.25" customHeight="1">
      <c r="M293" s="3"/>
    </row>
    <row r="294" ht="14.25" customHeight="1">
      <c r="M294" s="3"/>
    </row>
    <row r="295" ht="14.25" customHeight="1">
      <c r="M295" s="3"/>
    </row>
    <row r="296" ht="14.25" customHeight="1">
      <c r="M296" s="3"/>
    </row>
    <row r="297" ht="14.25" customHeight="1">
      <c r="M297" s="3"/>
    </row>
    <row r="298" ht="14.25" customHeight="1">
      <c r="M298" s="3"/>
    </row>
    <row r="299" ht="14.25" customHeight="1">
      <c r="M299" s="3"/>
    </row>
    <row r="300" ht="14.25" customHeight="1">
      <c r="M300" s="3"/>
    </row>
    <row r="301" ht="14.25" customHeight="1">
      <c r="M301" s="3"/>
    </row>
    <row r="302" ht="14.25" customHeight="1">
      <c r="M302" s="3"/>
    </row>
    <row r="303" ht="14.25" customHeight="1">
      <c r="M303" s="3"/>
    </row>
    <row r="304" ht="14.25" customHeight="1">
      <c r="M304" s="3"/>
    </row>
    <row r="305" ht="14.25" customHeight="1">
      <c r="M305" s="3"/>
    </row>
    <row r="306" ht="14.25" customHeight="1">
      <c r="M306" s="3"/>
    </row>
    <row r="307" ht="14.25" customHeight="1">
      <c r="M307" s="3"/>
    </row>
    <row r="308" ht="14.25" customHeight="1">
      <c r="M308" s="3"/>
    </row>
    <row r="309" ht="14.25" customHeight="1">
      <c r="M309" s="3"/>
    </row>
    <row r="310" ht="14.25" customHeight="1">
      <c r="M310" s="3"/>
    </row>
    <row r="311" ht="14.25" customHeight="1">
      <c r="M311" s="3"/>
    </row>
    <row r="312" ht="14.25" customHeight="1">
      <c r="M312" s="3"/>
    </row>
    <row r="313" ht="14.25" customHeight="1">
      <c r="M313" s="3"/>
    </row>
    <row r="314" ht="14.25" customHeight="1">
      <c r="M314" s="3"/>
    </row>
    <row r="315" ht="14.25" customHeight="1">
      <c r="M315" s="3"/>
    </row>
    <row r="316" ht="14.25" customHeight="1">
      <c r="M316" s="3"/>
    </row>
    <row r="317" ht="14.25" customHeight="1">
      <c r="M317" s="3"/>
    </row>
    <row r="318" ht="14.25" customHeight="1">
      <c r="M318" s="3"/>
    </row>
    <row r="319" ht="14.25" customHeight="1">
      <c r="M319" s="3"/>
    </row>
    <row r="320" ht="14.25" customHeight="1">
      <c r="M320" s="3"/>
    </row>
    <row r="321" ht="14.25" customHeight="1">
      <c r="M321" s="3"/>
    </row>
    <row r="322" ht="14.25" customHeight="1">
      <c r="M322" s="3"/>
    </row>
    <row r="323" ht="14.25" customHeight="1">
      <c r="M323" s="3"/>
    </row>
    <row r="324" ht="14.25" customHeight="1">
      <c r="M324" s="3"/>
    </row>
    <row r="325" ht="14.25" customHeight="1">
      <c r="M325" s="3"/>
    </row>
    <row r="326" ht="14.25" customHeight="1">
      <c r="M326" s="3"/>
    </row>
    <row r="327" ht="14.25" customHeight="1">
      <c r="M327" s="3"/>
    </row>
    <row r="328" ht="14.25" customHeight="1">
      <c r="M328" s="3"/>
    </row>
    <row r="329" ht="14.25" customHeight="1">
      <c r="M329" s="3"/>
    </row>
    <row r="330" ht="14.25" customHeight="1">
      <c r="M330" s="3"/>
    </row>
    <row r="331" ht="14.25" customHeight="1">
      <c r="M331" s="3"/>
    </row>
    <row r="332" ht="14.25" customHeight="1">
      <c r="M332" s="3"/>
    </row>
    <row r="333" ht="14.25" customHeight="1">
      <c r="M333" s="3"/>
    </row>
    <row r="334" ht="14.25" customHeight="1">
      <c r="M334" s="3"/>
    </row>
    <row r="335" ht="14.25" customHeight="1">
      <c r="M335" s="3"/>
    </row>
    <row r="336" ht="14.25" customHeight="1">
      <c r="M336" s="3"/>
    </row>
    <row r="337" ht="14.25" customHeight="1">
      <c r="M337" s="3"/>
    </row>
    <row r="338" ht="14.25" customHeight="1">
      <c r="M338" s="3"/>
    </row>
    <row r="339" ht="14.25" customHeight="1">
      <c r="M339" s="3"/>
    </row>
    <row r="340" ht="14.25" customHeight="1">
      <c r="M340" s="3"/>
    </row>
    <row r="341" ht="14.25" customHeight="1">
      <c r="M341" s="3"/>
    </row>
    <row r="342" ht="14.25" customHeight="1">
      <c r="M342" s="3"/>
    </row>
    <row r="343" ht="14.25" customHeight="1">
      <c r="M343" s="3"/>
    </row>
    <row r="344" ht="14.25" customHeight="1">
      <c r="M344" s="3"/>
    </row>
    <row r="345" ht="14.25" customHeight="1">
      <c r="M345" s="3"/>
    </row>
    <row r="346" ht="14.25" customHeight="1">
      <c r="M346" s="3"/>
    </row>
    <row r="347" ht="14.25" customHeight="1">
      <c r="M347" s="3"/>
    </row>
    <row r="348" ht="14.25" customHeight="1">
      <c r="M348" s="3"/>
    </row>
    <row r="349" ht="14.25" customHeight="1">
      <c r="M349" s="3"/>
    </row>
    <row r="350" ht="14.25" customHeight="1">
      <c r="M350" s="3"/>
    </row>
    <row r="351" ht="14.25" customHeight="1">
      <c r="M351" s="3"/>
    </row>
    <row r="352" ht="14.25" customHeight="1">
      <c r="M352" s="3"/>
    </row>
    <row r="353" ht="14.25" customHeight="1">
      <c r="M353" s="3"/>
    </row>
    <row r="354" ht="14.25" customHeight="1">
      <c r="M354" s="3"/>
    </row>
    <row r="355" ht="14.25" customHeight="1">
      <c r="M355" s="3"/>
    </row>
    <row r="356" ht="14.25" customHeight="1">
      <c r="M356" s="3"/>
    </row>
    <row r="357" ht="14.25" customHeight="1">
      <c r="M357" s="3"/>
    </row>
    <row r="358" ht="14.25" customHeight="1">
      <c r="M358" s="3"/>
    </row>
    <row r="359" ht="14.25" customHeight="1">
      <c r="M359" s="3"/>
    </row>
    <row r="360" ht="14.25" customHeight="1">
      <c r="M360" s="3"/>
    </row>
    <row r="361" ht="14.25" customHeight="1">
      <c r="M361" s="3"/>
    </row>
    <row r="362" ht="14.25" customHeight="1">
      <c r="M362" s="3"/>
    </row>
    <row r="363" ht="14.25" customHeight="1">
      <c r="M363" s="3"/>
    </row>
    <row r="364" ht="14.25" customHeight="1">
      <c r="M364" s="3"/>
    </row>
    <row r="365" ht="14.25" customHeight="1">
      <c r="M365" s="3"/>
    </row>
    <row r="366" ht="14.25" customHeight="1">
      <c r="M366" s="3"/>
    </row>
    <row r="367" ht="14.25" customHeight="1">
      <c r="M367" s="3"/>
    </row>
    <row r="368" ht="14.25" customHeight="1">
      <c r="M368" s="3"/>
    </row>
    <row r="369" ht="14.25" customHeight="1">
      <c r="M369" s="3"/>
    </row>
    <row r="370" ht="14.25" customHeight="1">
      <c r="M370" s="3"/>
    </row>
    <row r="371" ht="14.25" customHeight="1">
      <c r="M371" s="3"/>
    </row>
    <row r="372" ht="14.25" customHeight="1">
      <c r="M372" s="3"/>
    </row>
    <row r="373" ht="14.25" customHeight="1">
      <c r="M373" s="3"/>
    </row>
    <row r="374" ht="14.25" customHeight="1">
      <c r="M374" s="3"/>
    </row>
    <row r="375" ht="14.25" customHeight="1">
      <c r="M375" s="3"/>
    </row>
    <row r="376" ht="14.25" customHeight="1">
      <c r="M376" s="3"/>
    </row>
    <row r="377" ht="14.25" customHeight="1">
      <c r="M377" s="3"/>
    </row>
    <row r="378" ht="14.25" customHeight="1">
      <c r="M378" s="3"/>
    </row>
    <row r="379" ht="14.25" customHeight="1">
      <c r="M379" s="3"/>
    </row>
    <row r="380" ht="14.25" customHeight="1">
      <c r="M380" s="3"/>
    </row>
    <row r="381" ht="14.25" customHeight="1">
      <c r="M381" s="3"/>
    </row>
    <row r="382" ht="14.25" customHeight="1">
      <c r="M382" s="3"/>
    </row>
    <row r="383" ht="14.25" customHeight="1">
      <c r="M383" s="3"/>
    </row>
    <row r="384" ht="14.25" customHeight="1">
      <c r="M384" s="3"/>
    </row>
    <row r="385" ht="14.25" customHeight="1">
      <c r="M385" s="3"/>
    </row>
    <row r="386" ht="14.25" customHeight="1">
      <c r="M386" s="3"/>
    </row>
    <row r="387" ht="14.25" customHeight="1">
      <c r="M387" s="3"/>
    </row>
    <row r="388" ht="14.25" customHeight="1">
      <c r="M388" s="3"/>
    </row>
    <row r="389" ht="14.25" customHeight="1">
      <c r="M389" s="3"/>
    </row>
    <row r="390" ht="14.25" customHeight="1">
      <c r="M390" s="3"/>
    </row>
    <row r="391" ht="14.25" customHeight="1">
      <c r="M391" s="3"/>
    </row>
    <row r="392" ht="14.25" customHeight="1">
      <c r="M392" s="3"/>
    </row>
    <row r="393" ht="14.25" customHeight="1">
      <c r="M393" s="3"/>
    </row>
    <row r="394" ht="14.25" customHeight="1">
      <c r="M394" s="3"/>
    </row>
    <row r="395" ht="14.25" customHeight="1">
      <c r="M395" s="3"/>
    </row>
    <row r="396" ht="14.25" customHeight="1">
      <c r="M396" s="3"/>
    </row>
    <row r="397" ht="14.25" customHeight="1">
      <c r="M397" s="3"/>
    </row>
    <row r="398" ht="14.25" customHeight="1">
      <c r="M398" s="3"/>
    </row>
    <row r="399" ht="14.25" customHeight="1">
      <c r="M399" s="3"/>
    </row>
    <row r="400" ht="14.25" customHeight="1">
      <c r="M400" s="3"/>
    </row>
    <row r="401" ht="14.25" customHeight="1">
      <c r="M401" s="3"/>
    </row>
    <row r="402" ht="14.25" customHeight="1">
      <c r="M402" s="3"/>
    </row>
    <row r="403" ht="14.25" customHeight="1">
      <c r="M403" s="3"/>
    </row>
    <row r="404" ht="14.25" customHeight="1">
      <c r="M404" s="3"/>
    </row>
    <row r="405" ht="14.25" customHeight="1">
      <c r="M405" s="3"/>
    </row>
    <row r="406" ht="14.25" customHeight="1">
      <c r="M406" s="3"/>
    </row>
    <row r="407" ht="14.25" customHeight="1">
      <c r="M407" s="3"/>
    </row>
    <row r="408" ht="14.25" customHeight="1">
      <c r="M408" s="3"/>
    </row>
    <row r="409" ht="14.25" customHeight="1">
      <c r="M409" s="3"/>
    </row>
    <row r="410" ht="14.25" customHeight="1">
      <c r="M410" s="3"/>
    </row>
    <row r="411" ht="14.25" customHeight="1">
      <c r="M411" s="3"/>
    </row>
    <row r="412" ht="14.25" customHeight="1">
      <c r="M412" s="3"/>
    </row>
    <row r="413" ht="14.25" customHeight="1">
      <c r="M413" s="3"/>
    </row>
    <row r="414" ht="14.25" customHeight="1">
      <c r="M414" s="3"/>
    </row>
    <row r="415" ht="14.25" customHeight="1">
      <c r="M415" s="3"/>
    </row>
    <row r="416" ht="14.25" customHeight="1">
      <c r="M416" s="3"/>
    </row>
    <row r="417" ht="14.25" customHeight="1">
      <c r="M417" s="3"/>
    </row>
    <row r="418" ht="14.25" customHeight="1">
      <c r="M418" s="3"/>
    </row>
    <row r="419" ht="14.25" customHeight="1">
      <c r="M419" s="3"/>
    </row>
    <row r="420" ht="14.25" customHeight="1">
      <c r="M420" s="3"/>
    </row>
    <row r="421" ht="14.25" customHeight="1">
      <c r="M421" s="3"/>
    </row>
    <row r="422" ht="14.25" customHeight="1">
      <c r="M422" s="3"/>
    </row>
    <row r="423" ht="14.25" customHeight="1">
      <c r="M423" s="3"/>
    </row>
    <row r="424" ht="14.25" customHeight="1">
      <c r="M424" s="3"/>
    </row>
    <row r="425" ht="14.25" customHeight="1">
      <c r="M425" s="3"/>
    </row>
    <row r="426" ht="14.25" customHeight="1">
      <c r="M426" s="3"/>
    </row>
    <row r="427" ht="14.25" customHeight="1">
      <c r="M427" s="3"/>
    </row>
    <row r="428" ht="14.25" customHeight="1">
      <c r="M428" s="3"/>
    </row>
    <row r="429" ht="14.25" customHeight="1">
      <c r="M429" s="3"/>
    </row>
    <row r="430" ht="14.25" customHeight="1">
      <c r="M430" s="3"/>
    </row>
    <row r="431" ht="14.25" customHeight="1">
      <c r="M431" s="3"/>
    </row>
    <row r="432" ht="14.25" customHeight="1">
      <c r="M432" s="3"/>
    </row>
    <row r="433" ht="14.25" customHeight="1">
      <c r="M433" s="3"/>
    </row>
    <row r="434" ht="14.25" customHeight="1">
      <c r="M434" s="3"/>
    </row>
    <row r="435" ht="14.25" customHeight="1">
      <c r="M435" s="3"/>
    </row>
    <row r="436" ht="14.25" customHeight="1">
      <c r="M436" s="3"/>
    </row>
    <row r="437" ht="14.25" customHeight="1">
      <c r="M437" s="3"/>
    </row>
    <row r="438" ht="14.25" customHeight="1">
      <c r="M438" s="3"/>
    </row>
    <row r="439" ht="14.25" customHeight="1">
      <c r="M439" s="3"/>
    </row>
    <row r="440" ht="14.25" customHeight="1">
      <c r="M440" s="3"/>
    </row>
    <row r="441" ht="14.25" customHeight="1">
      <c r="M441" s="3"/>
    </row>
    <row r="442" ht="14.25" customHeight="1">
      <c r="M442" s="3"/>
    </row>
    <row r="443" ht="14.25" customHeight="1">
      <c r="M443" s="3"/>
    </row>
    <row r="444" ht="14.25" customHeight="1">
      <c r="M444" s="3"/>
    </row>
    <row r="445" ht="14.25" customHeight="1">
      <c r="M445" s="3"/>
    </row>
    <row r="446" ht="14.25" customHeight="1">
      <c r="M446" s="3"/>
    </row>
    <row r="447" ht="14.25" customHeight="1">
      <c r="M447" s="3"/>
    </row>
    <row r="448" ht="14.25" customHeight="1">
      <c r="M448" s="3"/>
    </row>
    <row r="449" ht="14.25" customHeight="1">
      <c r="M449" s="3"/>
    </row>
    <row r="450" ht="14.25" customHeight="1">
      <c r="M450" s="3"/>
    </row>
    <row r="451" ht="14.25" customHeight="1">
      <c r="M451" s="3"/>
    </row>
    <row r="452" ht="14.25" customHeight="1">
      <c r="M452" s="3"/>
    </row>
    <row r="453" ht="14.25" customHeight="1">
      <c r="M453" s="3"/>
    </row>
    <row r="454" ht="14.25" customHeight="1">
      <c r="M454" s="3"/>
    </row>
    <row r="455" ht="14.25" customHeight="1">
      <c r="M455" s="3"/>
    </row>
    <row r="456" ht="14.25" customHeight="1">
      <c r="M456" s="3"/>
    </row>
    <row r="457" ht="14.25" customHeight="1">
      <c r="M457" s="3"/>
    </row>
    <row r="458" ht="14.25" customHeight="1">
      <c r="M458" s="3"/>
    </row>
    <row r="459" ht="14.25" customHeight="1">
      <c r="M459" s="3"/>
    </row>
    <row r="460" ht="14.25" customHeight="1">
      <c r="M460" s="3"/>
    </row>
    <row r="461" ht="14.25" customHeight="1">
      <c r="M461" s="3"/>
    </row>
    <row r="462" ht="14.25" customHeight="1">
      <c r="M462" s="3"/>
    </row>
    <row r="463" ht="14.25" customHeight="1">
      <c r="M463" s="3"/>
    </row>
    <row r="464" ht="14.25" customHeight="1">
      <c r="M464" s="3"/>
    </row>
    <row r="465" ht="14.25" customHeight="1">
      <c r="M465" s="3"/>
    </row>
    <row r="466" ht="14.25" customHeight="1">
      <c r="M466" s="3"/>
    </row>
    <row r="467" ht="14.25" customHeight="1">
      <c r="M467" s="3"/>
    </row>
    <row r="468" ht="14.25" customHeight="1">
      <c r="M468" s="3"/>
    </row>
    <row r="469" ht="14.25" customHeight="1">
      <c r="M469" s="3"/>
    </row>
    <row r="470" ht="14.25" customHeight="1">
      <c r="M470" s="3"/>
    </row>
    <row r="471" ht="14.25" customHeight="1">
      <c r="M471" s="3"/>
    </row>
    <row r="472" ht="14.25" customHeight="1">
      <c r="M472" s="3"/>
    </row>
    <row r="473" ht="14.25" customHeight="1">
      <c r="M473" s="3"/>
    </row>
    <row r="474" ht="14.25" customHeight="1">
      <c r="M474" s="3"/>
    </row>
    <row r="475" ht="14.25" customHeight="1">
      <c r="M475" s="3"/>
    </row>
    <row r="476" ht="14.25" customHeight="1">
      <c r="M476" s="3"/>
    </row>
    <row r="477" ht="14.25" customHeight="1">
      <c r="M477" s="3"/>
    </row>
    <row r="478" ht="14.25" customHeight="1">
      <c r="M478" s="3"/>
    </row>
    <row r="479" ht="14.25" customHeight="1">
      <c r="M479" s="3"/>
    </row>
    <row r="480" ht="14.25" customHeight="1">
      <c r="M480" s="3"/>
    </row>
    <row r="481" ht="14.25" customHeight="1">
      <c r="M481" s="3"/>
    </row>
    <row r="482" ht="14.25" customHeight="1">
      <c r="M482" s="3"/>
    </row>
    <row r="483" ht="14.25" customHeight="1">
      <c r="M483" s="3"/>
    </row>
    <row r="484" ht="14.25" customHeight="1">
      <c r="M484" s="3"/>
    </row>
    <row r="485" ht="14.25" customHeight="1">
      <c r="M485" s="3"/>
    </row>
    <row r="486" ht="14.25" customHeight="1">
      <c r="M486" s="3"/>
    </row>
    <row r="487" ht="14.25" customHeight="1">
      <c r="M487" s="3"/>
    </row>
    <row r="488" ht="14.25" customHeight="1">
      <c r="M488" s="3"/>
    </row>
    <row r="489" ht="14.25" customHeight="1">
      <c r="M489" s="3"/>
    </row>
    <row r="490" ht="14.25" customHeight="1">
      <c r="M490" s="3"/>
    </row>
    <row r="491" ht="14.25" customHeight="1">
      <c r="M491" s="3"/>
    </row>
    <row r="492" ht="14.25" customHeight="1">
      <c r="M492" s="3"/>
    </row>
    <row r="493" ht="14.25" customHeight="1">
      <c r="M493" s="3"/>
    </row>
    <row r="494" ht="14.25" customHeight="1">
      <c r="M494" s="3"/>
    </row>
    <row r="495" ht="14.25" customHeight="1">
      <c r="M495" s="3"/>
    </row>
    <row r="496" ht="14.25" customHeight="1">
      <c r="M496" s="3"/>
    </row>
    <row r="497" ht="14.25" customHeight="1">
      <c r="M497" s="3"/>
    </row>
    <row r="498" ht="14.25" customHeight="1">
      <c r="M498" s="3"/>
    </row>
    <row r="499" ht="14.25" customHeight="1">
      <c r="M499" s="3"/>
    </row>
    <row r="500" ht="14.25" customHeight="1">
      <c r="M500" s="3"/>
    </row>
    <row r="501" ht="14.25" customHeight="1">
      <c r="M501" s="3"/>
    </row>
    <row r="502" ht="14.25" customHeight="1">
      <c r="M502" s="3"/>
    </row>
    <row r="503" ht="14.25" customHeight="1">
      <c r="M503" s="3"/>
    </row>
    <row r="504" ht="14.25" customHeight="1">
      <c r="M504" s="3"/>
    </row>
    <row r="505" ht="14.25" customHeight="1">
      <c r="M505" s="3"/>
    </row>
    <row r="506" ht="14.25" customHeight="1">
      <c r="M506" s="3"/>
    </row>
    <row r="507" ht="14.25" customHeight="1">
      <c r="M507" s="3"/>
    </row>
    <row r="508" ht="14.25" customHeight="1">
      <c r="M508" s="3"/>
    </row>
    <row r="509" ht="14.25" customHeight="1">
      <c r="M509" s="3"/>
    </row>
    <row r="510" ht="14.25" customHeight="1">
      <c r="M510" s="3"/>
    </row>
    <row r="511" ht="14.25" customHeight="1">
      <c r="M511" s="3"/>
    </row>
    <row r="512" ht="14.25" customHeight="1">
      <c r="M512" s="3"/>
    </row>
    <row r="513" ht="14.25" customHeight="1">
      <c r="M513" s="3"/>
    </row>
    <row r="514" ht="14.25" customHeight="1">
      <c r="M514" s="3"/>
    </row>
    <row r="515" ht="14.25" customHeight="1">
      <c r="M515" s="3"/>
    </row>
    <row r="516" ht="14.25" customHeight="1">
      <c r="M516" s="3"/>
    </row>
    <row r="517" ht="14.25" customHeight="1">
      <c r="M517" s="3"/>
    </row>
    <row r="518" ht="14.25" customHeight="1">
      <c r="M518" s="3"/>
    </row>
    <row r="519" ht="14.25" customHeight="1">
      <c r="M519" s="3"/>
    </row>
    <row r="520" ht="14.25" customHeight="1">
      <c r="M520" s="3"/>
    </row>
    <row r="521" ht="14.25" customHeight="1">
      <c r="M521" s="3"/>
    </row>
    <row r="522" ht="14.25" customHeight="1">
      <c r="M522" s="3"/>
    </row>
    <row r="523" ht="14.25" customHeight="1">
      <c r="M523" s="3"/>
    </row>
    <row r="524" ht="14.25" customHeight="1">
      <c r="M524" s="3"/>
    </row>
    <row r="525" ht="14.25" customHeight="1">
      <c r="M525" s="3"/>
    </row>
    <row r="526" ht="14.25" customHeight="1">
      <c r="M526" s="3"/>
    </row>
    <row r="527" ht="14.25" customHeight="1">
      <c r="M527" s="3"/>
    </row>
    <row r="528" ht="14.25" customHeight="1">
      <c r="M528" s="3"/>
    </row>
    <row r="529" ht="14.25" customHeight="1">
      <c r="M529" s="3"/>
    </row>
    <row r="530" ht="14.25" customHeight="1">
      <c r="M530" s="3"/>
    </row>
    <row r="531" ht="14.25" customHeight="1">
      <c r="M531" s="3"/>
    </row>
    <row r="532" ht="14.25" customHeight="1">
      <c r="M532" s="3"/>
    </row>
    <row r="533" ht="14.25" customHeight="1">
      <c r="M533" s="3"/>
    </row>
    <row r="534" ht="14.25" customHeight="1">
      <c r="M534" s="3"/>
    </row>
    <row r="535" ht="14.25" customHeight="1">
      <c r="M535" s="3"/>
    </row>
    <row r="536" ht="14.25" customHeight="1">
      <c r="M536" s="3"/>
    </row>
    <row r="537" ht="14.25" customHeight="1">
      <c r="M537" s="3"/>
    </row>
    <row r="538" ht="14.25" customHeight="1">
      <c r="M538" s="3"/>
    </row>
    <row r="539" ht="14.25" customHeight="1">
      <c r="M539" s="3"/>
    </row>
    <row r="540" ht="14.25" customHeight="1">
      <c r="M540" s="3"/>
    </row>
    <row r="541" ht="14.25" customHeight="1">
      <c r="M541" s="3"/>
    </row>
    <row r="542" ht="14.25" customHeight="1">
      <c r="M542" s="3"/>
    </row>
    <row r="543" ht="14.25" customHeight="1">
      <c r="M543" s="3"/>
    </row>
    <row r="544" ht="14.25" customHeight="1">
      <c r="M544" s="3"/>
    </row>
    <row r="545" ht="14.25" customHeight="1">
      <c r="M545" s="3"/>
    </row>
    <row r="546" ht="14.25" customHeight="1">
      <c r="M546" s="3"/>
    </row>
    <row r="547" ht="14.25" customHeight="1">
      <c r="M547" s="3"/>
    </row>
    <row r="548" ht="14.25" customHeight="1">
      <c r="M548" s="3"/>
    </row>
    <row r="549" ht="14.25" customHeight="1">
      <c r="M549" s="3"/>
    </row>
    <row r="550" ht="14.25" customHeight="1">
      <c r="M550" s="3"/>
    </row>
    <row r="551" ht="14.25" customHeight="1">
      <c r="M551" s="3"/>
    </row>
    <row r="552" ht="14.25" customHeight="1">
      <c r="M552" s="3"/>
    </row>
    <row r="553" ht="14.25" customHeight="1">
      <c r="M553" s="3"/>
    </row>
    <row r="554" ht="14.25" customHeight="1">
      <c r="M554" s="3"/>
    </row>
    <row r="555" ht="14.25" customHeight="1">
      <c r="M555" s="3"/>
    </row>
    <row r="556" ht="14.25" customHeight="1">
      <c r="M556" s="3"/>
    </row>
    <row r="557" ht="14.25" customHeight="1">
      <c r="M557" s="3"/>
    </row>
    <row r="558" ht="14.25" customHeight="1">
      <c r="M558" s="3"/>
    </row>
    <row r="559" ht="14.25" customHeight="1">
      <c r="M559" s="3"/>
    </row>
    <row r="560" ht="14.25" customHeight="1">
      <c r="M560" s="3"/>
    </row>
    <row r="561" ht="14.25" customHeight="1">
      <c r="M561" s="3"/>
    </row>
    <row r="562" ht="14.25" customHeight="1">
      <c r="M562" s="3"/>
    </row>
    <row r="563" ht="14.25" customHeight="1">
      <c r="M563" s="3"/>
    </row>
    <row r="564" ht="14.25" customHeight="1">
      <c r="M564" s="3"/>
    </row>
    <row r="565" ht="14.25" customHeight="1">
      <c r="M565" s="3"/>
    </row>
    <row r="566" ht="14.25" customHeight="1">
      <c r="M566" s="3"/>
    </row>
    <row r="567" ht="14.25" customHeight="1">
      <c r="M567" s="3"/>
    </row>
    <row r="568" ht="14.25" customHeight="1">
      <c r="M568" s="3"/>
    </row>
    <row r="569" ht="14.25" customHeight="1">
      <c r="M569" s="3"/>
    </row>
    <row r="570" ht="14.25" customHeight="1">
      <c r="M570" s="3"/>
    </row>
    <row r="571" ht="14.25" customHeight="1">
      <c r="M571" s="3"/>
    </row>
    <row r="572" ht="14.25" customHeight="1">
      <c r="M572" s="3"/>
    </row>
    <row r="573" ht="14.25" customHeight="1">
      <c r="M573" s="3"/>
    </row>
    <row r="574" ht="14.25" customHeight="1">
      <c r="M574" s="3"/>
    </row>
    <row r="575" ht="14.25" customHeight="1">
      <c r="M575" s="3"/>
    </row>
    <row r="576" ht="14.25" customHeight="1">
      <c r="M576" s="3"/>
    </row>
    <row r="577" ht="14.25" customHeight="1">
      <c r="M577" s="3"/>
    </row>
    <row r="578" ht="14.25" customHeight="1">
      <c r="M578" s="3"/>
    </row>
    <row r="579" ht="14.25" customHeight="1">
      <c r="M579" s="3"/>
    </row>
    <row r="580" ht="14.25" customHeight="1">
      <c r="M580" s="3"/>
    </row>
    <row r="581" ht="14.25" customHeight="1">
      <c r="M581" s="3"/>
    </row>
    <row r="582" ht="14.25" customHeight="1">
      <c r="M582" s="3"/>
    </row>
    <row r="583" ht="14.25" customHeight="1">
      <c r="M583" s="3"/>
    </row>
    <row r="584" ht="14.25" customHeight="1">
      <c r="M584" s="3"/>
    </row>
    <row r="585" ht="14.25" customHeight="1">
      <c r="M585" s="3"/>
    </row>
    <row r="586" ht="14.25" customHeight="1">
      <c r="M586" s="3"/>
    </row>
    <row r="587" ht="14.25" customHeight="1">
      <c r="M587" s="3"/>
    </row>
    <row r="588" ht="14.25" customHeight="1">
      <c r="M588" s="3"/>
    </row>
    <row r="589" ht="14.25" customHeight="1">
      <c r="M589" s="3"/>
    </row>
    <row r="590" ht="14.25" customHeight="1">
      <c r="M590" s="3"/>
    </row>
    <row r="591" ht="14.25" customHeight="1">
      <c r="M591" s="3"/>
    </row>
    <row r="592" ht="14.25" customHeight="1">
      <c r="M592" s="3"/>
    </row>
    <row r="593" ht="14.25" customHeight="1">
      <c r="M593" s="3"/>
    </row>
    <row r="594" ht="14.25" customHeight="1">
      <c r="M594" s="3"/>
    </row>
    <row r="595" ht="14.25" customHeight="1">
      <c r="M595" s="3"/>
    </row>
    <row r="596" ht="14.25" customHeight="1">
      <c r="M596" s="3"/>
    </row>
    <row r="597" ht="14.25" customHeight="1">
      <c r="M597" s="3"/>
    </row>
    <row r="598" ht="14.25" customHeight="1">
      <c r="M598" s="3"/>
    </row>
    <row r="599" ht="14.25" customHeight="1">
      <c r="M599" s="3"/>
    </row>
    <row r="600" ht="14.25" customHeight="1">
      <c r="M600" s="3"/>
    </row>
    <row r="601" ht="14.25" customHeight="1">
      <c r="M601" s="3"/>
    </row>
    <row r="602" ht="14.25" customHeight="1">
      <c r="M602" s="3"/>
    </row>
    <row r="603" ht="14.25" customHeight="1">
      <c r="M603" s="3"/>
    </row>
    <row r="604" ht="14.25" customHeight="1">
      <c r="M604" s="3"/>
    </row>
    <row r="605" ht="14.25" customHeight="1">
      <c r="M605" s="3"/>
    </row>
    <row r="606" ht="14.25" customHeight="1">
      <c r="M606" s="3"/>
    </row>
    <row r="607" ht="14.25" customHeight="1">
      <c r="M607" s="3"/>
    </row>
    <row r="608" ht="14.25" customHeight="1">
      <c r="M608" s="3"/>
    </row>
    <row r="609" ht="14.25" customHeight="1">
      <c r="M609" s="3"/>
    </row>
    <row r="610" ht="14.25" customHeight="1">
      <c r="M610" s="3"/>
    </row>
    <row r="611" ht="14.25" customHeight="1">
      <c r="M611" s="3"/>
    </row>
    <row r="612" ht="14.25" customHeight="1">
      <c r="M612" s="3"/>
    </row>
    <row r="613" ht="14.25" customHeight="1">
      <c r="M613" s="3"/>
    </row>
    <row r="614" ht="14.25" customHeight="1">
      <c r="M614" s="3"/>
    </row>
    <row r="615" ht="14.25" customHeight="1">
      <c r="M615" s="3"/>
    </row>
    <row r="616" ht="14.25" customHeight="1">
      <c r="M616" s="3"/>
    </row>
    <row r="617" ht="14.25" customHeight="1">
      <c r="M617" s="3"/>
    </row>
    <row r="618" ht="14.25" customHeight="1">
      <c r="M618" s="3"/>
    </row>
    <row r="619" ht="14.25" customHeight="1">
      <c r="M619" s="3"/>
    </row>
    <row r="620" ht="14.25" customHeight="1">
      <c r="M620" s="3"/>
    </row>
    <row r="621" ht="14.25" customHeight="1">
      <c r="M621" s="3"/>
    </row>
    <row r="622" ht="14.25" customHeight="1">
      <c r="M622" s="3"/>
    </row>
    <row r="623" ht="14.25" customHeight="1">
      <c r="M623" s="3"/>
    </row>
    <row r="624" ht="14.25" customHeight="1">
      <c r="M624" s="3"/>
    </row>
    <row r="625" ht="14.25" customHeight="1">
      <c r="M625" s="3"/>
    </row>
    <row r="626" ht="14.25" customHeight="1">
      <c r="M626" s="3"/>
    </row>
    <row r="627" ht="14.25" customHeight="1">
      <c r="M627" s="3"/>
    </row>
    <row r="628" ht="14.25" customHeight="1">
      <c r="M628" s="3"/>
    </row>
    <row r="629" ht="14.25" customHeight="1">
      <c r="M629" s="3"/>
    </row>
    <row r="630" ht="14.25" customHeight="1">
      <c r="M630" s="3"/>
    </row>
    <row r="631" ht="14.25" customHeight="1">
      <c r="M631" s="3"/>
    </row>
    <row r="632" ht="14.25" customHeight="1">
      <c r="M632" s="3"/>
    </row>
    <row r="633" ht="14.25" customHeight="1">
      <c r="M633" s="3"/>
    </row>
    <row r="634" ht="14.25" customHeight="1">
      <c r="M634" s="3"/>
    </row>
    <row r="635" ht="14.25" customHeight="1">
      <c r="M635" s="3"/>
    </row>
    <row r="636" ht="14.25" customHeight="1">
      <c r="M636" s="3"/>
    </row>
    <row r="637" ht="14.25" customHeight="1">
      <c r="M637" s="3"/>
    </row>
    <row r="638" ht="14.25" customHeight="1">
      <c r="M638" s="3"/>
    </row>
    <row r="639" ht="14.25" customHeight="1">
      <c r="M639" s="3"/>
    </row>
    <row r="640" ht="14.25" customHeight="1">
      <c r="M640" s="3"/>
    </row>
    <row r="641" ht="14.25" customHeight="1">
      <c r="M641" s="3"/>
    </row>
    <row r="642" ht="14.25" customHeight="1">
      <c r="M642" s="3"/>
    </row>
    <row r="643" ht="14.25" customHeight="1">
      <c r="M643" s="3"/>
    </row>
    <row r="644" ht="14.25" customHeight="1">
      <c r="M644" s="3"/>
    </row>
    <row r="645" ht="14.25" customHeight="1">
      <c r="M645" s="3"/>
    </row>
    <row r="646" ht="14.25" customHeight="1">
      <c r="M646" s="3"/>
    </row>
    <row r="647" ht="14.25" customHeight="1">
      <c r="M647" s="3"/>
    </row>
    <row r="648" ht="14.25" customHeight="1">
      <c r="M648" s="3"/>
    </row>
    <row r="649" ht="14.25" customHeight="1">
      <c r="M649" s="3"/>
    </row>
    <row r="650" ht="14.25" customHeight="1">
      <c r="M650" s="3"/>
    </row>
    <row r="651" ht="14.25" customHeight="1">
      <c r="M651" s="3"/>
    </row>
    <row r="652" ht="14.25" customHeight="1">
      <c r="M652" s="3"/>
    </row>
    <row r="653" ht="14.25" customHeight="1">
      <c r="M653" s="3"/>
    </row>
    <row r="654" ht="14.25" customHeight="1">
      <c r="M654" s="3"/>
    </row>
    <row r="655" ht="14.25" customHeight="1">
      <c r="M655" s="3"/>
    </row>
    <row r="656" ht="14.25" customHeight="1">
      <c r="M656" s="3"/>
    </row>
    <row r="657" ht="14.25" customHeight="1">
      <c r="M657" s="3"/>
    </row>
    <row r="658" ht="14.25" customHeight="1">
      <c r="M658" s="3"/>
    </row>
    <row r="659" ht="14.25" customHeight="1">
      <c r="M659" s="3"/>
    </row>
    <row r="660" ht="14.25" customHeight="1">
      <c r="M660" s="3"/>
    </row>
    <row r="661" ht="14.25" customHeight="1">
      <c r="M661" s="3"/>
    </row>
    <row r="662" ht="14.25" customHeight="1">
      <c r="M662" s="3"/>
    </row>
    <row r="663" ht="14.25" customHeight="1">
      <c r="M663" s="3"/>
    </row>
    <row r="664" ht="14.25" customHeight="1">
      <c r="M664" s="3"/>
    </row>
    <row r="665" ht="14.25" customHeight="1">
      <c r="M665" s="3"/>
    </row>
    <row r="666" ht="14.25" customHeight="1">
      <c r="M666" s="3"/>
    </row>
    <row r="667" ht="14.25" customHeight="1">
      <c r="M667" s="3"/>
    </row>
    <row r="668" ht="14.25" customHeight="1">
      <c r="M668" s="3"/>
    </row>
    <row r="669" ht="14.25" customHeight="1">
      <c r="M669" s="3"/>
    </row>
    <row r="670" ht="14.25" customHeight="1">
      <c r="M670" s="3"/>
    </row>
    <row r="671" ht="14.25" customHeight="1">
      <c r="M671" s="3"/>
    </row>
    <row r="672" ht="14.25" customHeight="1">
      <c r="M672" s="3"/>
    </row>
    <row r="673" ht="14.25" customHeight="1">
      <c r="M673" s="3"/>
    </row>
    <row r="674" ht="14.25" customHeight="1">
      <c r="M674" s="3"/>
    </row>
    <row r="675" ht="14.25" customHeight="1">
      <c r="M675" s="3"/>
    </row>
    <row r="676" ht="14.25" customHeight="1">
      <c r="M676" s="3"/>
    </row>
    <row r="677" ht="14.25" customHeight="1">
      <c r="M677" s="3"/>
    </row>
    <row r="678" ht="14.25" customHeight="1">
      <c r="M678" s="3"/>
    </row>
    <row r="679" ht="14.25" customHeight="1">
      <c r="M679" s="3"/>
    </row>
    <row r="680" ht="14.25" customHeight="1">
      <c r="M680" s="3"/>
    </row>
    <row r="681" ht="14.25" customHeight="1">
      <c r="M681" s="3"/>
    </row>
    <row r="682" ht="14.25" customHeight="1">
      <c r="M682" s="3"/>
    </row>
    <row r="683" ht="14.25" customHeight="1">
      <c r="M683" s="3"/>
    </row>
    <row r="684" ht="14.25" customHeight="1">
      <c r="M684" s="3"/>
    </row>
    <row r="685" ht="14.25" customHeight="1">
      <c r="M685" s="3"/>
    </row>
    <row r="686" ht="14.25" customHeight="1">
      <c r="M686" s="3"/>
    </row>
    <row r="687" ht="14.25" customHeight="1">
      <c r="M687" s="3"/>
    </row>
    <row r="688" ht="14.25" customHeight="1">
      <c r="M688" s="3"/>
    </row>
    <row r="689" ht="14.25" customHeight="1">
      <c r="M689" s="3"/>
    </row>
    <row r="690" ht="14.25" customHeight="1">
      <c r="M690" s="3"/>
    </row>
    <row r="691" ht="14.25" customHeight="1">
      <c r="M691" s="3"/>
    </row>
    <row r="692" ht="14.25" customHeight="1">
      <c r="M692" s="3"/>
    </row>
    <row r="693" ht="14.25" customHeight="1">
      <c r="M693" s="3"/>
    </row>
    <row r="694" ht="14.25" customHeight="1">
      <c r="M694" s="3"/>
    </row>
    <row r="695" ht="14.25" customHeight="1">
      <c r="M695" s="3"/>
    </row>
    <row r="696" ht="14.25" customHeight="1">
      <c r="M696" s="3"/>
    </row>
    <row r="697" ht="14.25" customHeight="1">
      <c r="M697" s="3"/>
    </row>
    <row r="698" ht="14.25" customHeight="1">
      <c r="M698" s="3"/>
    </row>
    <row r="699" ht="14.25" customHeight="1">
      <c r="M699" s="3"/>
    </row>
    <row r="700" ht="14.25" customHeight="1">
      <c r="M700" s="3"/>
    </row>
    <row r="701" ht="14.25" customHeight="1">
      <c r="M701" s="3"/>
    </row>
    <row r="702" ht="14.25" customHeight="1">
      <c r="M702" s="3"/>
    </row>
    <row r="703" ht="14.25" customHeight="1">
      <c r="M703" s="3"/>
    </row>
    <row r="704" ht="14.25" customHeight="1">
      <c r="M704" s="3"/>
    </row>
    <row r="705" ht="14.25" customHeight="1">
      <c r="M705" s="3"/>
    </row>
    <row r="706" ht="14.25" customHeight="1">
      <c r="M706" s="3"/>
    </row>
    <row r="707" ht="14.25" customHeight="1">
      <c r="M707" s="3"/>
    </row>
    <row r="708" ht="14.25" customHeight="1">
      <c r="M708" s="3"/>
    </row>
    <row r="709" ht="14.25" customHeight="1">
      <c r="M709" s="3"/>
    </row>
    <row r="710" ht="14.25" customHeight="1">
      <c r="M710" s="3"/>
    </row>
    <row r="711" ht="14.25" customHeight="1">
      <c r="M711" s="3"/>
    </row>
    <row r="712" ht="14.25" customHeight="1">
      <c r="M712" s="3"/>
    </row>
    <row r="713" ht="14.25" customHeight="1">
      <c r="M713" s="3"/>
    </row>
    <row r="714" ht="14.25" customHeight="1">
      <c r="M714" s="3"/>
    </row>
    <row r="715" ht="14.25" customHeight="1">
      <c r="M715" s="3"/>
    </row>
    <row r="716" ht="14.25" customHeight="1">
      <c r="M716" s="3"/>
    </row>
    <row r="717" ht="14.25" customHeight="1">
      <c r="M717" s="3"/>
    </row>
    <row r="718" ht="14.25" customHeight="1">
      <c r="M718" s="3"/>
    </row>
    <row r="719" ht="14.25" customHeight="1">
      <c r="M719" s="3"/>
    </row>
    <row r="720" ht="14.25" customHeight="1">
      <c r="M720" s="3"/>
    </row>
    <row r="721" ht="14.25" customHeight="1">
      <c r="M721" s="3"/>
    </row>
    <row r="722" ht="14.25" customHeight="1">
      <c r="M722" s="3"/>
    </row>
    <row r="723" ht="14.25" customHeight="1">
      <c r="M723" s="3"/>
    </row>
    <row r="724" ht="14.25" customHeight="1">
      <c r="M724" s="3"/>
    </row>
    <row r="725" ht="14.25" customHeight="1">
      <c r="M725" s="3"/>
    </row>
    <row r="726" ht="14.25" customHeight="1">
      <c r="M726" s="3"/>
    </row>
    <row r="727" ht="14.25" customHeight="1">
      <c r="M727" s="3"/>
    </row>
    <row r="728" ht="14.25" customHeight="1">
      <c r="M728" s="3"/>
    </row>
    <row r="729" ht="14.25" customHeight="1">
      <c r="M729" s="3"/>
    </row>
    <row r="730" ht="14.25" customHeight="1">
      <c r="M730" s="3"/>
    </row>
    <row r="731" ht="14.25" customHeight="1">
      <c r="M731" s="3"/>
    </row>
    <row r="732" ht="14.25" customHeight="1">
      <c r="M732" s="3"/>
    </row>
    <row r="733" ht="14.25" customHeight="1">
      <c r="M733" s="3"/>
    </row>
    <row r="734" ht="14.25" customHeight="1">
      <c r="M734" s="3"/>
    </row>
    <row r="735" ht="14.25" customHeight="1">
      <c r="M735" s="3"/>
    </row>
    <row r="736" ht="14.25" customHeight="1">
      <c r="M736" s="3"/>
    </row>
    <row r="737" ht="14.25" customHeight="1">
      <c r="M737" s="3"/>
    </row>
    <row r="738" ht="14.25" customHeight="1">
      <c r="M738" s="3"/>
    </row>
    <row r="739" ht="14.25" customHeight="1">
      <c r="M739" s="3"/>
    </row>
    <row r="740" ht="14.25" customHeight="1">
      <c r="M740" s="3"/>
    </row>
    <row r="741" ht="14.25" customHeight="1">
      <c r="M741" s="3"/>
    </row>
    <row r="742" ht="14.25" customHeight="1">
      <c r="M742" s="3"/>
    </row>
    <row r="743" ht="14.25" customHeight="1">
      <c r="M743" s="3"/>
    </row>
    <row r="744" ht="14.25" customHeight="1">
      <c r="M744" s="3"/>
    </row>
    <row r="745" ht="14.25" customHeight="1">
      <c r="M745" s="3"/>
    </row>
    <row r="746" ht="14.25" customHeight="1">
      <c r="M746" s="3"/>
    </row>
    <row r="747" ht="14.25" customHeight="1">
      <c r="M747" s="3"/>
    </row>
    <row r="748" ht="14.25" customHeight="1">
      <c r="M748" s="3"/>
    </row>
    <row r="749" ht="14.25" customHeight="1">
      <c r="M749" s="3"/>
    </row>
    <row r="750" ht="14.25" customHeight="1">
      <c r="M750" s="3"/>
    </row>
    <row r="751" ht="14.25" customHeight="1">
      <c r="M751" s="3"/>
    </row>
    <row r="752" ht="14.25" customHeight="1">
      <c r="M752" s="3"/>
    </row>
    <row r="753" ht="14.25" customHeight="1">
      <c r="M753" s="3"/>
    </row>
    <row r="754" ht="14.25" customHeight="1">
      <c r="M754" s="3"/>
    </row>
    <row r="755" ht="14.25" customHeight="1">
      <c r="M755" s="3"/>
    </row>
    <row r="756" ht="14.25" customHeight="1">
      <c r="M756" s="3"/>
    </row>
    <row r="757" ht="14.25" customHeight="1">
      <c r="M757" s="3"/>
    </row>
    <row r="758" ht="14.25" customHeight="1">
      <c r="M758" s="3"/>
    </row>
    <row r="759" ht="14.25" customHeight="1">
      <c r="M759" s="3"/>
    </row>
    <row r="760" ht="14.25" customHeight="1">
      <c r="M760" s="3"/>
    </row>
    <row r="761" ht="14.25" customHeight="1">
      <c r="M761" s="3"/>
    </row>
    <row r="762" ht="14.25" customHeight="1">
      <c r="M762" s="3"/>
    </row>
    <row r="763" ht="14.25" customHeight="1">
      <c r="M763" s="3"/>
    </row>
    <row r="764" ht="14.25" customHeight="1">
      <c r="M764" s="3"/>
    </row>
    <row r="765" ht="14.25" customHeight="1">
      <c r="M765" s="3"/>
    </row>
    <row r="766" ht="14.25" customHeight="1">
      <c r="M766" s="3"/>
    </row>
    <row r="767" ht="14.25" customHeight="1">
      <c r="M767" s="3"/>
    </row>
    <row r="768" ht="14.25" customHeight="1">
      <c r="M768" s="3"/>
    </row>
    <row r="769" ht="14.25" customHeight="1">
      <c r="M769" s="3"/>
    </row>
    <row r="770" ht="14.25" customHeight="1">
      <c r="M770" s="3"/>
    </row>
    <row r="771" ht="14.25" customHeight="1">
      <c r="M771" s="3"/>
    </row>
    <row r="772" ht="14.25" customHeight="1">
      <c r="M772" s="3"/>
    </row>
    <row r="773" ht="14.25" customHeight="1">
      <c r="M773" s="3"/>
    </row>
    <row r="774" ht="14.25" customHeight="1">
      <c r="M774" s="3"/>
    </row>
    <row r="775" ht="14.25" customHeight="1">
      <c r="M775" s="3"/>
    </row>
    <row r="776" ht="14.25" customHeight="1">
      <c r="M776" s="3"/>
    </row>
    <row r="777" ht="14.25" customHeight="1">
      <c r="M777" s="3"/>
    </row>
    <row r="778" ht="14.25" customHeight="1">
      <c r="M778" s="3"/>
    </row>
    <row r="779" ht="14.25" customHeight="1">
      <c r="M779" s="3"/>
    </row>
    <row r="780" ht="14.25" customHeight="1">
      <c r="M780" s="3"/>
    </row>
    <row r="781" ht="14.25" customHeight="1">
      <c r="M781" s="3"/>
    </row>
    <row r="782" ht="14.25" customHeight="1">
      <c r="M782" s="3"/>
    </row>
    <row r="783" ht="14.25" customHeight="1">
      <c r="M783" s="3"/>
    </row>
    <row r="784" ht="14.25" customHeight="1">
      <c r="M784" s="3"/>
    </row>
    <row r="785" ht="14.25" customHeight="1">
      <c r="M785" s="3"/>
    </row>
    <row r="786" ht="14.25" customHeight="1">
      <c r="M786" s="3"/>
    </row>
    <row r="787" ht="14.25" customHeight="1">
      <c r="M787" s="3"/>
    </row>
    <row r="788" ht="14.25" customHeight="1">
      <c r="M788" s="3"/>
    </row>
    <row r="789" ht="14.25" customHeight="1">
      <c r="M789" s="3"/>
    </row>
    <row r="790" ht="14.25" customHeight="1">
      <c r="M790" s="3"/>
    </row>
    <row r="791" ht="14.25" customHeight="1">
      <c r="M791" s="3"/>
    </row>
    <row r="792" ht="14.25" customHeight="1">
      <c r="M792" s="3"/>
    </row>
    <row r="793" ht="14.25" customHeight="1">
      <c r="M793" s="3"/>
    </row>
    <row r="794" ht="14.25" customHeight="1">
      <c r="M794" s="3"/>
    </row>
    <row r="795" ht="14.25" customHeight="1">
      <c r="M795" s="3"/>
    </row>
    <row r="796" ht="14.25" customHeight="1">
      <c r="M796" s="3"/>
    </row>
    <row r="797" ht="14.25" customHeight="1">
      <c r="M797" s="3"/>
    </row>
    <row r="798" ht="14.25" customHeight="1">
      <c r="M798" s="3"/>
    </row>
    <row r="799" ht="14.25" customHeight="1">
      <c r="M799" s="3"/>
    </row>
    <row r="800" ht="14.25" customHeight="1">
      <c r="M800" s="3"/>
    </row>
    <row r="801" ht="14.25" customHeight="1">
      <c r="M801" s="3"/>
    </row>
    <row r="802" ht="14.25" customHeight="1">
      <c r="M802" s="3"/>
    </row>
    <row r="803" ht="14.25" customHeight="1">
      <c r="M803" s="3"/>
    </row>
    <row r="804" ht="14.25" customHeight="1">
      <c r="M804" s="3"/>
    </row>
    <row r="805" ht="14.25" customHeight="1">
      <c r="M805" s="3"/>
    </row>
    <row r="806" ht="14.25" customHeight="1">
      <c r="M806" s="3"/>
    </row>
    <row r="807" ht="14.25" customHeight="1">
      <c r="M807" s="3"/>
    </row>
    <row r="808" ht="14.25" customHeight="1">
      <c r="M808" s="3"/>
    </row>
    <row r="809" ht="14.25" customHeight="1">
      <c r="M809" s="3"/>
    </row>
    <row r="810" ht="14.25" customHeight="1">
      <c r="M810" s="3"/>
    </row>
    <row r="811" ht="14.25" customHeight="1">
      <c r="M811" s="3"/>
    </row>
    <row r="812" ht="14.25" customHeight="1">
      <c r="M812" s="3"/>
    </row>
    <row r="813" ht="14.25" customHeight="1">
      <c r="M813" s="3"/>
    </row>
    <row r="814" ht="14.25" customHeight="1">
      <c r="M814" s="3"/>
    </row>
    <row r="815" ht="14.25" customHeight="1">
      <c r="M815" s="3"/>
    </row>
    <row r="816" ht="14.25" customHeight="1">
      <c r="M816" s="3"/>
    </row>
    <row r="817" ht="14.25" customHeight="1">
      <c r="M817" s="3"/>
    </row>
    <row r="818" ht="14.25" customHeight="1">
      <c r="M818" s="3"/>
    </row>
    <row r="819" ht="14.25" customHeight="1">
      <c r="M819" s="3"/>
    </row>
    <row r="820" ht="14.25" customHeight="1">
      <c r="M820" s="3"/>
    </row>
    <row r="821" ht="14.25" customHeight="1">
      <c r="M821" s="3"/>
    </row>
    <row r="822" ht="14.25" customHeight="1">
      <c r="M822" s="3"/>
    </row>
    <row r="823" ht="14.25" customHeight="1">
      <c r="M823" s="3"/>
    </row>
    <row r="824" ht="14.25" customHeight="1">
      <c r="M824" s="3"/>
    </row>
    <row r="825" ht="14.25" customHeight="1">
      <c r="M825" s="3"/>
    </row>
    <row r="826" ht="14.25" customHeight="1">
      <c r="M826" s="3"/>
    </row>
    <row r="827" ht="14.25" customHeight="1">
      <c r="M827" s="3"/>
    </row>
    <row r="828" ht="14.25" customHeight="1">
      <c r="M828" s="3"/>
    </row>
    <row r="829" ht="14.25" customHeight="1">
      <c r="M829" s="3"/>
    </row>
    <row r="830" ht="14.25" customHeight="1">
      <c r="M830" s="3"/>
    </row>
    <row r="831" ht="14.25" customHeight="1">
      <c r="M831" s="3"/>
    </row>
    <row r="832" ht="14.25" customHeight="1">
      <c r="M832" s="3"/>
    </row>
    <row r="833" ht="14.25" customHeight="1">
      <c r="M833" s="3"/>
    </row>
    <row r="834" ht="14.25" customHeight="1">
      <c r="M834" s="3"/>
    </row>
    <row r="835" ht="14.25" customHeight="1">
      <c r="M835" s="3"/>
    </row>
    <row r="836" ht="14.25" customHeight="1">
      <c r="M836" s="3"/>
    </row>
    <row r="837" ht="14.25" customHeight="1">
      <c r="M837" s="3"/>
    </row>
    <row r="838" ht="14.25" customHeight="1">
      <c r="M838" s="3"/>
    </row>
    <row r="839" ht="14.25" customHeight="1">
      <c r="M839" s="3"/>
    </row>
    <row r="840" ht="14.25" customHeight="1">
      <c r="M840" s="3"/>
    </row>
    <row r="841" ht="14.25" customHeight="1">
      <c r="M841" s="3"/>
    </row>
    <row r="842" ht="14.25" customHeight="1">
      <c r="M842" s="3"/>
    </row>
    <row r="843" ht="14.25" customHeight="1">
      <c r="M843" s="3"/>
    </row>
    <row r="844" ht="14.25" customHeight="1">
      <c r="M844" s="3"/>
    </row>
    <row r="845" ht="14.25" customHeight="1">
      <c r="M845" s="3"/>
    </row>
    <row r="846" ht="14.25" customHeight="1">
      <c r="M846" s="3"/>
    </row>
    <row r="847" ht="14.25" customHeight="1">
      <c r="M847" s="3"/>
    </row>
    <row r="848" ht="14.25" customHeight="1">
      <c r="M848" s="3"/>
    </row>
    <row r="849" ht="14.25" customHeight="1">
      <c r="M849" s="3"/>
    </row>
    <row r="850" ht="14.25" customHeight="1">
      <c r="M850" s="3"/>
    </row>
    <row r="851" ht="14.25" customHeight="1">
      <c r="M851" s="3"/>
    </row>
    <row r="852" ht="14.25" customHeight="1">
      <c r="M852" s="3"/>
    </row>
    <row r="853" ht="14.25" customHeight="1">
      <c r="M853" s="3"/>
    </row>
    <row r="854" ht="14.25" customHeight="1">
      <c r="M854" s="3"/>
    </row>
    <row r="855" ht="14.25" customHeight="1">
      <c r="M855" s="3"/>
    </row>
    <row r="856" ht="14.25" customHeight="1">
      <c r="M856" s="3"/>
    </row>
    <row r="857" ht="14.25" customHeight="1">
      <c r="M857" s="3"/>
    </row>
    <row r="858" ht="14.25" customHeight="1">
      <c r="M858" s="3"/>
    </row>
    <row r="859" ht="14.25" customHeight="1">
      <c r="M859" s="3"/>
    </row>
    <row r="860" ht="14.25" customHeight="1">
      <c r="M860" s="3"/>
    </row>
    <row r="861" ht="14.25" customHeight="1">
      <c r="M861" s="3"/>
    </row>
    <row r="862" ht="14.25" customHeight="1">
      <c r="M862" s="3"/>
    </row>
    <row r="863" ht="14.25" customHeight="1">
      <c r="M863" s="3"/>
    </row>
    <row r="864" ht="14.25" customHeight="1">
      <c r="M864" s="3"/>
    </row>
    <row r="865" ht="14.25" customHeight="1">
      <c r="M865" s="3"/>
    </row>
    <row r="866" ht="14.25" customHeight="1">
      <c r="M866" s="3"/>
    </row>
    <row r="867" ht="14.25" customHeight="1">
      <c r="M867" s="3"/>
    </row>
    <row r="868" ht="14.25" customHeight="1">
      <c r="M868" s="3"/>
    </row>
    <row r="869" ht="14.25" customHeight="1">
      <c r="M869" s="3"/>
    </row>
    <row r="870" ht="14.25" customHeight="1">
      <c r="M870" s="3"/>
    </row>
    <row r="871" ht="14.25" customHeight="1">
      <c r="M871" s="3"/>
    </row>
    <row r="872" ht="14.25" customHeight="1">
      <c r="M872" s="3"/>
    </row>
    <row r="873" ht="14.25" customHeight="1">
      <c r="M873" s="3"/>
    </row>
    <row r="874" ht="14.25" customHeight="1">
      <c r="M874" s="3"/>
    </row>
    <row r="875" ht="14.25" customHeight="1">
      <c r="M875" s="3"/>
    </row>
    <row r="876" ht="14.25" customHeight="1">
      <c r="M876" s="3"/>
    </row>
    <row r="877" ht="14.25" customHeight="1">
      <c r="M877" s="3"/>
    </row>
    <row r="878" ht="14.25" customHeight="1">
      <c r="M878" s="3"/>
    </row>
    <row r="879" ht="14.25" customHeight="1">
      <c r="M879" s="3"/>
    </row>
    <row r="880" ht="14.25" customHeight="1">
      <c r="M880" s="3"/>
    </row>
    <row r="881" ht="14.25" customHeight="1">
      <c r="M881" s="3"/>
    </row>
    <row r="882" ht="14.25" customHeight="1">
      <c r="M882" s="3"/>
    </row>
    <row r="883" ht="14.25" customHeight="1">
      <c r="M883" s="3"/>
    </row>
    <row r="884" ht="14.25" customHeight="1">
      <c r="M884" s="3"/>
    </row>
    <row r="885" ht="14.25" customHeight="1">
      <c r="M885" s="3"/>
    </row>
    <row r="886" ht="14.25" customHeight="1">
      <c r="M886" s="3"/>
    </row>
    <row r="887" ht="14.25" customHeight="1">
      <c r="M887" s="3"/>
    </row>
    <row r="888" ht="14.25" customHeight="1">
      <c r="M888" s="3"/>
    </row>
    <row r="889" ht="14.25" customHeight="1">
      <c r="M889" s="3"/>
    </row>
    <row r="890" ht="14.25" customHeight="1">
      <c r="M890" s="3"/>
    </row>
    <row r="891" ht="14.25" customHeight="1">
      <c r="M891" s="3"/>
    </row>
    <row r="892" ht="14.25" customHeight="1">
      <c r="M892" s="3"/>
    </row>
    <row r="893" ht="14.25" customHeight="1">
      <c r="M893" s="3"/>
    </row>
    <row r="894" ht="14.25" customHeight="1">
      <c r="M894" s="3"/>
    </row>
    <row r="895" ht="14.25" customHeight="1">
      <c r="M895" s="3"/>
    </row>
    <row r="896" ht="14.25" customHeight="1">
      <c r="M896" s="3"/>
    </row>
    <row r="897" ht="14.25" customHeight="1">
      <c r="M897" s="3"/>
    </row>
    <row r="898" ht="14.25" customHeight="1">
      <c r="M898" s="3"/>
    </row>
    <row r="899" ht="14.25" customHeight="1">
      <c r="M899" s="3"/>
    </row>
    <row r="900" ht="14.25" customHeight="1">
      <c r="M900" s="3"/>
    </row>
    <row r="901" ht="14.25" customHeight="1">
      <c r="M901" s="3"/>
    </row>
    <row r="902" ht="14.25" customHeight="1">
      <c r="M902" s="3"/>
    </row>
    <row r="903" ht="14.25" customHeight="1">
      <c r="M903" s="3"/>
    </row>
    <row r="904" ht="14.25" customHeight="1">
      <c r="M904" s="3"/>
    </row>
    <row r="905" ht="14.25" customHeight="1">
      <c r="M905" s="3"/>
    </row>
    <row r="906" ht="14.25" customHeight="1">
      <c r="M906" s="3"/>
    </row>
    <row r="907" ht="14.25" customHeight="1">
      <c r="M907" s="3"/>
    </row>
    <row r="908" ht="14.25" customHeight="1">
      <c r="M908" s="3"/>
    </row>
    <row r="909" ht="14.25" customHeight="1">
      <c r="M909" s="3"/>
    </row>
    <row r="910" ht="14.25" customHeight="1">
      <c r="M910" s="3"/>
    </row>
    <row r="911" ht="14.25" customHeight="1">
      <c r="M911" s="3"/>
    </row>
    <row r="912" ht="14.25" customHeight="1">
      <c r="M912" s="3"/>
    </row>
    <row r="913" ht="14.25" customHeight="1">
      <c r="M913" s="3"/>
    </row>
    <row r="914" ht="14.25" customHeight="1">
      <c r="M914" s="3"/>
    </row>
    <row r="915" ht="14.25" customHeight="1">
      <c r="M915" s="3"/>
    </row>
    <row r="916" ht="14.25" customHeight="1">
      <c r="M916" s="3"/>
    </row>
    <row r="917" ht="14.25" customHeight="1">
      <c r="M917" s="3"/>
    </row>
    <row r="918" ht="14.25" customHeight="1">
      <c r="M918" s="3"/>
    </row>
    <row r="919" ht="14.25" customHeight="1">
      <c r="M919" s="3"/>
    </row>
    <row r="920" ht="14.25" customHeight="1">
      <c r="M920" s="3"/>
    </row>
    <row r="921" ht="14.25" customHeight="1">
      <c r="M921" s="3"/>
    </row>
    <row r="922" ht="14.25" customHeight="1">
      <c r="M922" s="3"/>
    </row>
    <row r="923" ht="14.25" customHeight="1">
      <c r="M923" s="3"/>
    </row>
    <row r="924" ht="14.25" customHeight="1">
      <c r="M924" s="3"/>
    </row>
    <row r="925" ht="14.25" customHeight="1">
      <c r="M925" s="3"/>
    </row>
    <row r="926" ht="14.25" customHeight="1">
      <c r="M926" s="3"/>
    </row>
    <row r="927" ht="14.25" customHeight="1">
      <c r="M927" s="3"/>
    </row>
    <row r="928" ht="14.25" customHeight="1">
      <c r="M928" s="3"/>
    </row>
    <row r="929" ht="14.25" customHeight="1">
      <c r="M929" s="3"/>
    </row>
    <row r="930" ht="14.25" customHeight="1">
      <c r="M930" s="3"/>
    </row>
    <row r="931" ht="14.25" customHeight="1">
      <c r="M931" s="3"/>
    </row>
    <row r="932" ht="14.25" customHeight="1">
      <c r="M932" s="3"/>
    </row>
    <row r="933" ht="14.25" customHeight="1">
      <c r="M933" s="3"/>
    </row>
    <row r="934" ht="14.25" customHeight="1">
      <c r="M934" s="3"/>
    </row>
    <row r="935" ht="14.25" customHeight="1">
      <c r="M935" s="3"/>
    </row>
    <row r="936" ht="14.25" customHeight="1">
      <c r="M936" s="3"/>
    </row>
    <row r="937" ht="14.25" customHeight="1">
      <c r="M937" s="3"/>
    </row>
    <row r="938" ht="14.25" customHeight="1">
      <c r="M938" s="3"/>
    </row>
    <row r="939" ht="14.25" customHeight="1">
      <c r="M939" s="3"/>
    </row>
    <row r="940" ht="14.25" customHeight="1">
      <c r="M940" s="3"/>
    </row>
    <row r="941" ht="14.25" customHeight="1">
      <c r="M941" s="3"/>
    </row>
    <row r="942" ht="14.25" customHeight="1">
      <c r="M942" s="3"/>
    </row>
    <row r="943" ht="14.25" customHeight="1">
      <c r="M943" s="3"/>
    </row>
    <row r="944" ht="14.25" customHeight="1">
      <c r="M944" s="3"/>
    </row>
    <row r="945" ht="14.25" customHeight="1">
      <c r="M945" s="3"/>
    </row>
    <row r="946" ht="14.25" customHeight="1">
      <c r="M946" s="3"/>
    </row>
    <row r="947" ht="14.25" customHeight="1">
      <c r="M947" s="3"/>
    </row>
    <row r="948" ht="14.25" customHeight="1">
      <c r="M948" s="3"/>
    </row>
    <row r="949" ht="14.25" customHeight="1">
      <c r="M949" s="3"/>
    </row>
    <row r="950" ht="14.25" customHeight="1">
      <c r="M950" s="3"/>
    </row>
    <row r="951" ht="14.25" customHeight="1">
      <c r="M951" s="3"/>
    </row>
    <row r="952" ht="14.25" customHeight="1">
      <c r="M952" s="3"/>
    </row>
    <row r="953" ht="14.25" customHeight="1">
      <c r="M953" s="3"/>
    </row>
    <row r="954" ht="14.25" customHeight="1">
      <c r="M954" s="3"/>
    </row>
    <row r="955" ht="14.25" customHeight="1">
      <c r="M955" s="3"/>
    </row>
    <row r="956" ht="14.25" customHeight="1">
      <c r="M956" s="3"/>
    </row>
    <row r="957" ht="14.25" customHeight="1">
      <c r="M957" s="3"/>
    </row>
    <row r="958" ht="14.25" customHeight="1">
      <c r="M958" s="3"/>
    </row>
    <row r="959" ht="14.25" customHeight="1">
      <c r="M959" s="3"/>
    </row>
    <row r="960" ht="14.25" customHeight="1">
      <c r="M960" s="3"/>
    </row>
    <row r="961" ht="14.25" customHeight="1">
      <c r="M961" s="3"/>
    </row>
    <row r="962" ht="14.25" customHeight="1">
      <c r="M962" s="3"/>
    </row>
    <row r="963" ht="14.25" customHeight="1">
      <c r="M963" s="3"/>
    </row>
    <row r="964" ht="14.25" customHeight="1">
      <c r="M964" s="3"/>
    </row>
    <row r="965" ht="14.25" customHeight="1">
      <c r="M965" s="3"/>
    </row>
    <row r="966" ht="14.25" customHeight="1">
      <c r="M966" s="3"/>
    </row>
    <row r="967" ht="14.25" customHeight="1">
      <c r="M967" s="3"/>
    </row>
    <row r="968" ht="14.25" customHeight="1">
      <c r="M968" s="3"/>
    </row>
    <row r="969" ht="14.25" customHeight="1">
      <c r="M969" s="3"/>
    </row>
    <row r="970" ht="14.25" customHeight="1">
      <c r="M970" s="3"/>
    </row>
    <row r="971" ht="14.25" customHeight="1">
      <c r="M971" s="3"/>
    </row>
    <row r="972" ht="14.25" customHeight="1">
      <c r="M972" s="3"/>
    </row>
    <row r="973" ht="14.25" customHeight="1">
      <c r="M973" s="3"/>
    </row>
    <row r="974" ht="14.25" customHeight="1">
      <c r="M974" s="3"/>
    </row>
    <row r="975" ht="14.25" customHeight="1">
      <c r="M975" s="3"/>
    </row>
    <row r="976" ht="14.25" customHeight="1">
      <c r="M976" s="3"/>
    </row>
    <row r="977" ht="14.25" customHeight="1">
      <c r="M977" s="3"/>
    </row>
    <row r="978" ht="14.25" customHeight="1">
      <c r="M978" s="3"/>
    </row>
    <row r="979" ht="14.25" customHeight="1">
      <c r="M979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2025-01-26T14:06:37Z</dcterms:created>
  <dc:creator>openpyxl</dc:creator>
</cp:coreProperties>
</file>