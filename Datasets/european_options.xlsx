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EO" sheetId="1" r:id="rId4"/>
    <sheet state="visible" name="BKX" sheetId="2" r:id="rId5"/>
    <sheet state="visible" name="DJX" sheetId="3" r:id="rId6"/>
    <sheet state="visible" name="HGX" sheetId="4" r:id="rId7"/>
    <sheet state="visible" name="NDX" sheetId="5" r:id="rId8"/>
    <sheet state="visible" name="OSX" sheetId="6" r:id="rId9"/>
    <sheet state="visible" name="RUT" sheetId="7" r:id="rId10"/>
    <sheet state="visible" name="SPX" sheetId="8" r:id="rId11"/>
    <sheet state="visible" name="XDA" sheetId="9" r:id="rId12"/>
    <sheet state="visible" name="XSP" sheetId="10" r:id="rId13"/>
  </sheets>
  <definedNames/>
  <calcPr/>
  <extLst>
    <ext uri="GoogleSheetsCustomDataVersion2">
      <go:sheetsCustomData xmlns:go="http://customooxmlschemas.google.com/" r:id="rId14" roundtripDataChecksum="UwKg8PopFcJjmJl20TU6Hxf6nH1y3ZQhi9ogVPxrduc="/>
    </ext>
  </extLst>
</workbook>
</file>

<file path=xl/sharedStrings.xml><?xml version="1.0" encoding="utf-8"?>
<sst xmlns="http://schemas.openxmlformats.org/spreadsheetml/2006/main" count="3423" uniqueCount="128">
  <si>
    <t>contract</t>
  </si>
  <si>
    <t>underlying</t>
  </si>
  <si>
    <t>expiration</t>
  </si>
  <si>
    <t>type</t>
  </si>
  <si>
    <t>strike</t>
  </si>
  <si>
    <t>style</t>
  </si>
  <si>
    <t>bid</t>
  </si>
  <si>
    <t>bid_size</t>
  </si>
  <si>
    <t>ask</t>
  </si>
  <si>
    <t>ask_size</t>
  </si>
  <si>
    <t>volume</t>
  </si>
  <si>
    <t>open_interest</t>
  </si>
  <si>
    <t>quote_date</t>
  </si>
  <si>
    <t>delta</t>
  </si>
  <si>
    <t>gamma</t>
  </si>
  <si>
    <t>theta</t>
  </si>
  <si>
    <t>vega</t>
  </si>
  <si>
    <t>implied_volatility</t>
  </si>
  <si>
    <t>close</t>
  </si>
  <si>
    <t>Remaining_day</t>
  </si>
  <si>
    <t>Option</t>
  </si>
  <si>
    <t>d1</t>
  </si>
  <si>
    <t>d2</t>
  </si>
  <si>
    <t>N(d1)</t>
  </si>
  <si>
    <t>N(d2)</t>
  </si>
  <si>
    <t>Option_mid</t>
  </si>
  <si>
    <t>XEO130420C00560000</t>
  </si>
  <si>
    <t>XEO</t>
  </si>
  <si>
    <t>20.04.2013</t>
  </si>
  <si>
    <t>call</t>
  </si>
  <si>
    <t>E</t>
  </si>
  <si>
    <t>2.01.2013</t>
  </si>
  <si>
    <t>3.01.2013</t>
  </si>
  <si>
    <t>4.01.2013</t>
  </si>
  <si>
    <t>7.01.2013</t>
  </si>
  <si>
    <t>8.01.2013</t>
  </si>
  <si>
    <t>9.01.2013</t>
  </si>
  <si>
    <t>10.01.2013</t>
  </si>
  <si>
    <t>11.01.2013</t>
  </si>
  <si>
    <t>14.01.2013</t>
  </si>
  <si>
    <t>15.01.2013</t>
  </si>
  <si>
    <t>16.01.2013</t>
  </si>
  <si>
    <t>17.01.2013</t>
  </si>
  <si>
    <t>18.01.2013</t>
  </si>
  <si>
    <t>22.01.2013</t>
  </si>
  <si>
    <t>23.01.2013</t>
  </si>
  <si>
    <t>24.01.2013</t>
  </si>
  <si>
    <t>25.01.2013</t>
  </si>
  <si>
    <t>28.01.2013</t>
  </si>
  <si>
    <t>29.01.2013</t>
  </si>
  <si>
    <t>30.01.2013</t>
  </si>
  <si>
    <t>31.01.2013</t>
  </si>
  <si>
    <t>2013-04-20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</si>
  <si>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</si>
  <si>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</si>
  <si>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</si>
  <si>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</si>
  <si>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</si>
  <si>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</si>
  <si>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</si>
  <si>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</si>
  <si>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</si>
  <si>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</si>
  <si>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</si>
  <si>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</si>
  <si>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</si>
  <si>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</si>
  <si>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</si>
  <si>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</si>
  <si>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</si>
  <si>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</si>
  <si>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</si>
  <si>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</si>
  <si>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</si>
  <si>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</si>
  <si>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</si>
  <si>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</si>
  <si>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</si>
  <si>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</si>
  <si>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</si>
  <si>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</si>
  <si>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</si>
  <si>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</si>
  <si>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</si>
  <si>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</si>
  <si>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</si>
  <si>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</si>
  <si>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</si>
  <si>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</si>
  <si>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</si>
  <si>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</si>
  <si>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</si>
  <si>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</si>
  <si>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</si>
  <si>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</si>
  <si>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</si>
  <si>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</si>
  <si>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</si>
  <si>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</si>
  <si>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</si>
  <si>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</si>
  <si>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</si>
  <si>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</si>
  <si>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</si>
  <si>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</si>
  <si>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</si>
  <si>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</si>
  <si>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BKX130316C00035000</t>
  </si>
  <si>
    <t>BKX</t>
  </si>
  <si>
    <t>16.03.2013</t>
  </si>
  <si>
    <t>2013-03-16</t>
  </si>
  <si>
    <t>DJX130316C00075000</t>
  </si>
  <si>
    <t>DJX</t>
  </si>
  <si>
    <t>HGX130316C00126000</t>
  </si>
  <si>
    <t>HGX</t>
  </si>
  <si>
    <t>NDX130316C02200000</t>
  </si>
  <si>
    <t>NDX</t>
  </si>
  <si>
    <t>OSXPM130328C00165000</t>
  </si>
  <si>
    <t>OSX</t>
  </si>
  <si>
    <t>28.03.2013</t>
  </si>
  <si>
    <t>RUT130316C00200000</t>
  </si>
  <si>
    <t>RUT</t>
  </si>
  <si>
    <t>SPX130316C00500000</t>
  </si>
  <si>
    <t>SPX</t>
  </si>
  <si>
    <t>XDA130316C00078000</t>
  </si>
  <si>
    <t>XDA</t>
  </si>
  <si>
    <t>XSP</t>
  </si>
  <si>
    <t>XSPPM130328C00090000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</si>
</sst>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15.29"/>
    <col customWidth="1" min="2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26</v>
      </c>
      <c r="B2" s="2" t="s">
        <v>27</v>
      </c>
      <c r="C2" s="2" t="s">
        <v>28</v>
      </c>
      <c r="D2" s="2" t="s">
        <v>29</v>
      </c>
      <c r="E2" s="2">
        <v>560.0</v>
      </c>
      <c r="F2" s="2" t="s">
        <v>30</v>
      </c>
      <c r="G2" s="2">
        <v>100.7</v>
      </c>
      <c r="I2" s="2">
        <v>103.9</v>
      </c>
      <c r="K2" s="2">
        <v>0.0</v>
      </c>
      <c r="L2" s="2">
        <v>0.0</v>
      </c>
      <c r="M2" s="2" t="s">
        <v>31</v>
      </c>
      <c r="N2" s="2">
        <v>0.9932</v>
      </c>
      <c r="O2" s="2">
        <v>4.0E-4</v>
      </c>
      <c r="P2" s="2">
        <v>-3.1905</v>
      </c>
      <c r="Q2" s="2">
        <v>6.8489</v>
      </c>
      <c r="R2" s="2">
        <v>0.1297</v>
      </c>
      <c r="S2" s="2">
        <v>663.869995</v>
      </c>
      <c r="T2" s="2">
        <v>108.0</v>
      </c>
      <c r="V2" s="2">
        <f t="shared" ref="V2:V76" si="2">S2*Y2 - E2*Z2*exp(-0.0007*T2/252)</f>
        <v>104.4653849</v>
      </c>
      <c r="W2" s="2">
        <f t="shared" ref="W2:W76" si="3">((LN(S2/E2) + (0.0007 + (R2^2)/2) * U2/$AB$2)) / (R2 * SQRT(T2/252))</f>
        <v>2.003914725</v>
      </c>
      <c r="X2" s="2">
        <f t="shared" ref="X2:X76" si="4">W2-(R2*SQRT(T2/$AB$2))</f>
        <v>1.919006144</v>
      </c>
      <c r="Y2" s="2">
        <f t="shared" ref="Y2:Z2" si="1">_xlfn.NORM.S.DIST(W2)</f>
        <v>0.977460402</v>
      </c>
      <c r="Z2" s="2">
        <f t="shared" si="1"/>
        <v>0.9725082218</v>
      </c>
      <c r="AA2" s="2">
        <f t="shared" ref="AA2:AA76" si="6">if(0.5*(G2+I2)=0,0,0.5*(G2+I2))</f>
        <v>102.3</v>
      </c>
      <c r="AB2" s="2">
        <v>252.0</v>
      </c>
    </row>
    <row r="3" ht="14.25" customHeight="1">
      <c r="A3" s="2" t="s">
        <v>26</v>
      </c>
      <c r="B3" s="2" t="s">
        <v>27</v>
      </c>
      <c r="C3" s="2" t="s">
        <v>28</v>
      </c>
      <c r="D3" s="2" t="s">
        <v>29</v>
      </c>
      <c r="E3" s="2">
        <v>560.0</v>
      </c>
      <c r="F3" s="2" t="s">
        <v>30</v>
      </c>
      <c r="G3" s="2">
        <v>98.8</v>
      </c>
      <c r="I3" s="2">
        <v>102.3</v>
      </c>
      <c r="K3" s="2">
        <v>0.0</v>
      </c>
      <c r="L3" s="2">
        <v>0.0</v>
      </c>
      <c r="M3" s="2" t="s">
        <v>32</v>
      </c>
      <c r="N3" s="2">
        <v>0.9933</v>
      </c>
      <c r="O3" s="2">
        <v>4.0E-4</v>
      </c>
      <c r="P3" s="2">
        <v>-3.1479</v>
      </c>
      <c r="Q3" s="2">
        <v>6.6742</v>
      </c>
      <c r="R3" s="2">
        <v>0.1281</v>
      </c>
      <c r="S3" s="2">
        <v>662.330017</v>
      </c>
      <c r="T3" s="2">
        <v>107.0</v>
      </c>
      <c r="V3" s="2">
        <f t="shared" si="2"/>
        <v>102.9087361</v>
      </c>
      <c r="W3" s="2">
        <f t="shared" si="3"/>
        <v>2.010580681</v>
      </c>
      <c r="X3" s="2">
        <f t="shared" si="4"/>
        <v>1.927108695</v>
      </c>
      <c r="Y3" s="2">
        <f t="shared" ref="Y3:Z3" si="5">_xlfn.NORM.S.DIST(W3)</f>
        <v>0.9778151168</v>
      </c>
      <c r="Z3" s="2">
        <f t="shared" si="5"/>
        <v>0.9730169573</v>
      </c>
      <c r="AA3" s="2">
        <f t="shared" si="6"/>
        <v>100.55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29</v>
      </c>
      <c r="E4" s="2">
        <v>560.0</v>
      </c>
      <c r="F4" s="2" t="s">
        <v>30</v>
      </c>
      <c r="G4" s="2">
        <v>101.3</v>
      </c>
      <c r="I4" s="2">
        <v>104.4</v>
      </c>
      <c r="K4" s="2">
        <v>0.0</v>
      </c>
      <c r="L4" s="2">
        <v>0.0</v>
      </c>
      <c r="M4" s="2" t="s">
        <v>33</v>
      </c>
      <c r="N4" s="2">
        <v>0.9803</v>
      </c>
      <c r="O4" s="2">
        <v>8.0E-4</v>
      </c>
      <c r="P4" s="2">
        <v>2.7204</v>
      </c>
      <c r="Q4" s="2">
        <v>14.3661</v>
      </c>
      <c r="R4" s="2">
        <v>0.1495</v>
      </c>
      <c r="S4" s="2">
        <v>664.690002</v>
      </c>
      <c r="T4" s="2">
        <v>106.0</v>
      </c>
      <c r="V4" s="2">
        <f t="shared" si="2"/>
        <v>105.7560072</v>
      </c>
      <c r="W4" s="2">
        <f t="shared" si="3"/>
        <v>1.767569032</v>
      </c>
      <c r="X4" s="2">
        <f t="shared" si="4"/>
        <v>1.670608753</v>
      </c>
      <c r="Y4" s="2">
        <f t="shared" ref="Y4:Z4" si="7">_xlfn.NORM.S.DIST(W4)</f>
        <v>0.9614335105</v>
      </c>
      <c r="Z4" s="2">
        <f t="shared" si="7"/>
        <v>0.9526005088</v>
      </c>
      <c r="AA4" s="2">
        <f t="shared" si="6"/>
        <v>102.85</v>
      </c>
      <c r="AB4" s="2">
        <f>average(R2:R76)</f>
        <v>0.16724</v>
      </c>
    </row>
    <row r="5" ht="14.25" customHeight="1">
      <c r="A5" s="2" t="s">
        <v>26</v>
      </c>
      <c r="B5" s="2" t="s">
        <v>27</v>
      </c>
      <c r="C5" s="2" t="s">
        <v>28</v>
      </c>
      <c r="D5" s="2" t="s">
        <v>29</v>
      </c>
      <c r="E5" s="2">
        <v>560.0</v>
      </c>
      <c r="F5" s="2" t="s">
        <v>30</v>
      </c>
      <c r="G5" s="2">
        <v>100.1</v>
      </c>
      <c r="I5" s="2">
        <v>103.4</v>
      </c>
      <c r="K5" s="2">
        <v>0.0</v>
      </c>
      <c r="L5" s="2">
        <v>0.0</v>
      </c>
      <c r="M5" s="2" t="s">
        <v>34</v>
      </c>
      <c r="N5" s="2">
        <v>0.9786</v>
      </c>
      <c r="O5" s="2">
        <v>8.0E-4</v>
      </c>
      <c r="P5" s="2">
        <v>2.1185</v>
      </c>
      <c r="Q5" s="2">
        <v>15.4954</v>
      </c>
      <c r="R5" s="2">
        <v>0.1528</v>
      </c>
      <c r="S5" s="2">
        <v>663.090027</v>
      </c>
      <c r="T5" s="2">
        <v>103.0</v>
      </c>
      <c r="V5" s="2">
        <f t="shared" si="2"/>
        <v>104.2465893</v>
      </c>
      <c r="W5" s="2">
        <f t="shared" si="3"/>
        <v>1.729729328</v>
      </c>
      <c r="X5" s="2">
        <f t="shared" si="4"/>
        <v>1.632041221</v>
      </c>
      <c r="Y5" s="2">
        <f t="shared" ref="Y5:Z5" si="8">_xlfn.NORM.S.DIST(W5)</f>
        <v>0.9581606769</v>
      </c>
      <c r="Z5" s="2">
        <f t="shared" si="8"/>
        <v>0.9486645986</v>
      </c>
      <c r="AA5" s="2">
        <f t="shared" si="6"/>
        <v>101.75</v>
      </c>
    </row>
    <row r="6" ht="14.25" customHeight="1">
      <c r="A6" s="2" t="s">
        <v>26</v>
      </c>
      <c r="B6" s="2" t="s">
        <v>27</v>
      </c>
      <c r="C6" s="2" t="s">
        <v>28</v>
      </c>
      <c r="D6" s="2" t="s">
        <v>29</v>
      </c>
      <c r="E6" s="2">
        <v>560.0</v>
      </c>
      <c r="F6" s="2" t="s">
        <v>30</v>
      </c>
      <c r="G6" s="2">
        <v>98.9</v>
      </c>
      <c r="I6" s="2">
        <v>101.4</v>
      </c>
      <c r="K6" s="2">
        <v>0.0</v>
      </c>
      <c r="L6" s="2">
        <v>0.0</v>
      </c>
      <c r="M6" s="2" t="s">
        <v>35</v>
      </c>
      <c r="N6" s="2">
        <v>0.9144</v>
      </c>
      <c r="O6" s="2">
        <v>0.0019</v>
      </c>
      <c r="P6" s="2">
        <v>-7.3236</v>
      </c>
      <c r="Q6" s="2">
        <v>51.1034</v>
      </c>
      <c r="R6" s="2">
        <v>0.2249</v>
      </c>
      <c r="S6" s="2">
        <v>661.140015</v>
      </c>
      <c r="T6" s="2">
        <v>102.0</v>
      </c>
      <c r="V6" s="2">
        <f t="shared" si="2"/>
        <v>106.5123622</v>
      </c>
      <c r="W6" s="2">
        <f t="shared" si="3"/>
        <v>1.16036416</v>
      </c>
      <c r="X6" s="2">
        <f t="shared" si="4"/>
        <v>1.017280754</v>
      </c>
      <c r="Y6" s="2">
        <f t="shared" ref="Y6:Z6" si="9">_xlfn.NORM.S.DIST(W6)</f>
        <v>0.8770497138</v>
      </c>
      <c r="Z6" s="2">
        <f t="shared" si="9"/>
        <v>0.8454900551</v>
      </c>
      <c r="AA6" s="2">
        <f t="shared" si="6"/>
        <v>100.15</v>
      </c>
    </row>
    <row r="7" ht="14.25" customHeight="1">
      <c r="A7" s="2" t="s">
        <v>26</v>
      </c>
      <c r="B7" s="2" t="s">
        <v>27</v>
      </c>
      <c r="C7" s="2" t="s">
        <v>28</v>
      </c>
      <c r="D7" s="2" t="s">
        <v>29</v>
      </c>
      <c r="E7" s="2">
        <v>560.0</v>
      </c>
      <c r="F7" s="2" t="s">
        <v>30</v>
      </c>
      <c r="G7" s="2">
        <v>99.5</v>
      </c>
      <c r="I7" s="2">
        <v>102.2</v>
      </c>
      <c r="K7" s="2">
        <v>0.0</v>
      </c>
      <c r="L7" s="2">
        <v>0.0</v>
      </c>
      <c r="M7" s="2" t="s">
        <v>36</v>
      </c>
      <c r="N7" s="2">
        <v>0.9232</v>
      </c>
      <c r="O7" s="2">
        <v>0.0018</v>
      </c>
      <c r="P7" s="2">
        <v>-4.885</v>
      </c>
      <c r="Q7" s="2">
        <v>46.5554</v>
      </c>
      <c r="R7" s="2">
        <v>0.218</v>
      </c>
      <c r="S7" s="2">
        <v>662.23999</v>
      </c>
      <c r="T7" s="2">
        <v>101.0</v>
      </c>
      <c r="V7" s="2">
        <f t="shared" si="2"/>
        <v>106.8989079</v>
      </c>
      <c r="W7" s="2">
        <f t="shared" si="3"/>
        <v>1.215048009</v>
      </c>
      <c r="X7" s="2">
        <f t="shared" si="4"/>
        <v>1.077035989</v>
      </c>
      <c r="Y7" s="2">
        <f t="shared" ref="Y7:Z7" si="10">_xlfn.NORM.S.DIST(W7)</f>
        <v>0.8878261093</v>
      </c>
      <c r="Z7" s="2">
        <f t="shared" si="10"/>
        <v>0.8592679061</v>
      </c>
      <c r="AA7" s="2">
        <f t="shared" si="6"/>
        <v>100.85</v>
      </c>
    </row>
    <row r="8" ht="14.25" customHeight="1">
      <c r="A8" s="2" t="s">
        <v>26</v>
      </c>
      <c r="B8" s="2" t="s">
        <v>27</v>
      </c>
      <c r="C8" s="2" t="s">
        <v>28</v>
      </c>
      <c r="D8" s="2" t="s">
        <v>29</v>
      </c>
      <c r="E8" s="2">
        <v>560.0</v>
      </c>
      <c r="F8" s="2" t="s">
        <v>30</v>
      </c>
      <c r="G8" s="2">
        <v>104.8</v>
      </c>
      <c r="I8" s="2">
        <v>107.5</v>
      </c>
      <c r="K8" s="2">
        <v>0.0</v>
      </c>
      <c r="L8" s="2">
        <v>0.0</v>
      </c>
      <c r="M8" s="2" t="s">
        <v>37</v>
      </c>
      <c r="N8" s="2">
        <v>0.9269</v>
      </c>
      <c r="O8" s="2">
        <v>0.0016</v>
      </c>
      <c r="P8" s="2">
        <v>-4.8414</v>
      </c>
      <c r="Q8" s="2">
        <v>44.8016</v>
      </c>
      <c r="R8" s="2">
        <v>0.2259</v>
      </c>
      <c r="S8" s="2">
        <v>667.590027</v>
      </c>
      <c r="T8" s="2">
        <v>100.0</v>
      </c>
      <c r="V8" s="2">
        <f t="shared" si="2"/>
        <v>112.2147998</v>
      </c>
      <c r="W8" s="2">
        <f t="shared" si="3"/>
        <v>1.234947251</v>
      </c>
      <c r="X8" s="2">
        <f t="shared" si="4"/>
        <v>1.092643627</v>
      </c>
      <c r="Y8" s="2">
        <f t="shared" ref="Y8:Z8" si="11">_xlfn.NORM.S.DIST(W8)</f>
        <v>0.8915749318</v>
      </c>
      <c r="Z8" s="2">
        <f t="shared" si="11"/>
        <v>0.86272485</v>
      </c>
      <c r="AA8" s="2">
        <f t="shared" si="6"/>
        <v>106.15</v>
      </c>
    </row>
    <row r="9" ht="14.25" customHeight="1">
      <c r="A9" s="2" t="s">
        <v>26</v>
      </c>
      <c r="B9" s="2" t="s">
        <v>27</v>
      </c>
      <c r="C9" s="2" t="s">
        <v>28</v>
      </c>
      <c r="D9" s="2" t="s">
        <v>29</v>
      </c>
      <c r="E9" s="2">
        <v>560.0</v>
      </c>
      <c r="F9" s="2" t="s">
        <v>30</v>
      </c>
      <c r="G9" s="2">
        <v>104.9</v>
      </c>
      <c r="I9" s="2">
        <v>107.5</v>
      </c>
      <c r="K9" s="2">
        <v>0.0</v>
      </c>
      <c r="L9" s="2">
        <v>0.0</v>
      </c>
      <c r="M9" s="2" t="s">
        <v>38</v>
      </c>
      <c r="N9" s="2">
        <v>0.9327</v>
      </c>
      <c r="O9" s="2">
        <v>0.0016</v>
      </c>
      <c r="P9" s="2">
        <v>-3.2363</v>
      </c>
      <c r="Q9" s="2">
        <v>41.6076</v>
      </c>
      <c r="R9" s="2">
        <v>0.2205</v>
      </c>
      <c r="S9" s="2">
        <v>667.880005</v>
      </c>
      <c r="T9" s="2">
        <v>99.0</v>
      </c>
      <c r="V9" s="2">
        <f t="shared" si="2"/>
        <v>112.0296156</v>
      </c>
      <c r="W9" s="2">
        <f t="shared" si="3"/>
        <v>1.274706863</v>
      </c>
      <c r="X9" s="2">
        <f t="shared" si="4"/>
        <v>1.136501174</v>
      </c>
      <c r="Y9" s="2">
        <f t="shared" ref="Y9:Z9" si="12">_xlfn.NORM.S.DIST(W9)</f>
        <v>0.8987934917</v>
      </c>
      <c r="Z9" s="2">
        <f t="shared" si="12"/>
        <v>0.8721265628</v>
      </c>
      <c r="AA9" s="2">
        <f t="shared" si="6"/>
        <v>106.2</v>
      </c>
    </row>
    <row r="10" ht="14.25" customHeight="1">
      <c r="A10" s="2" t="s">
        <v>26</v>
      </c>
      <c r="B10" s="2" t="s">
        <v>27</v>
      </c>
      <c r="C10" s="2" t="s">
        <v>28</v>
      </c>
      <c r="D10" s="2" t="s">
        <v>29</v>
      </c>
      <c r="E10" s="2">
        <v>560.0</v>
      </c>
      <c r="F10" s="2" t="s">
        <v>30</v>
      </c>
      <c r="G10" s="2">
        <v>103.0</v>
      </c>
      <c r="I10" s="2">
        <v>105.7</v>
      </c>
      <c r="K10" s="2">
        <v>0.0</v>
      </c>
      <c r="L10" s="2">
        <v>0.0</v>
      </c>
      <c r="M10" s="2" t="s">
        <v>39</v>
      </c>
      <c r="N10" s="2">
        <v>0.9434</v>
      </c>
      <c r="O10" s="2">
        <v>0.0015</v>
      </c>
      <c r="P10" s="2">
        <v>-0.0072</v>
      </c>
      <c r="Q10" s="2">
        <v>35.1786</v>
      </c>
      <c r="R10" s="2">
        <v>0.2074</v>
      </c>
      <c r="S10" s="2">
        <v>666.349976</v>
      </c>
      <c r="T10" s="2">
        <v>96.0</v>
      </c>
      <c r="V10" s="2">
        <f t="shared" si="2"/>
        <v>109.5925531</v>
      </c>
      <c r="W10" s="2">
        <f t="shared" si="3"/>
        <v>1.358316991</v>
      </c>
      <c r="X10" s="2">
        <f t="shared" si="4"/>
        <v>1.230306931</v>
      </c>
      <c r="Y10" s="2">
        <f t="shared" ref="Y10:Z10" si="13">_xlfn.NORM.S.DIST(W10)</f>
        <v>0.9128184394</v>
      </c>
      <c r="Z10" s="2">
        <f t="shared" si="13"/>
        <v>0.8907089052</v>
      </c>
      <c r="AA10" s="2">
        <f t="shared" si="6"/>
        <v>104.35</v>
      </c>
    </row>
    <row r="11" ht="14.25" customHeight="1">
      <c r="A11" s="2" t="s">
        <v>26</v>
      </c>
      <c r="B11" s="2" t="s">
        <v>27</v>
      </c>
      <c r="C11" s="2" t="s">
        <v>28</v>
      </c>
      <c r="D11" s="2" t="s">
        <v>29</v>
      </c>
      <c r="E11" s="2">
        <v>560.0</v>
      </c>
      <c r="F11" s="2" t="s">
        <v>30</v>
      </c>
      <c r="G11" s="2">
        <v>102.7</v>
      </c>
      <c r="I11" s="2">
        <v>105.4</v>
      </c>
      <c r="K11" s="2">
        <v>0.0</v>
      </c>
      <c r="L11" s="2">
        <v>0.0</v>
      </c>
      <c r="M11" s="2" t="s">
        <v>40</v>
      </c>
      <c r="N11" s="2">
        <v>0.9438</v>
      </c>
      <c r="O11" s="2">
        <v>0.0015</v>
      </c>
      <c r="P11" s="2">
        <v>0.0693</v>
      </c>
      <c r="Q11" s="2">
        <v>34.7465</v>
      </c>
      <c r="R11" s="2">
        <v>0.2074</v>
      </c>
      <c r="S11" s="2">
        <v>666.039978</v>
      </c>
      <c r="T11" s="2">
        <v>95.0</v>
      </c>
      <c r="V11" s="2">
        <f t="shared" si="2"/>
        <v>109.2413143</v>
      </c>
      <c r="W11" s="2">
        <f t="shared" si="3"/>
        <v>1.361793155</v>
      </c>
      <c r="X11" s="2">
        <f t="shared" si="4"/>
        <v>1.23445156</v>
      </c>
      <c r="Y11" s="2">
        <f t="shared" ref="Y11:Z11" si="14">_xlfn.NORM.S.DIST(W11)</f>
        <v>0.9133684138</v>
      </c>
      <c r="Z11" s="2">
        <f t="shared" si="14"/>
        <v>0.8914826569</v>
      </c>
      <c r="AA11" s="2">
        <f t="shared" si="6"/>
        <v>104.05</v>
      </c>
    </row>
    <row r="12" ht="14.25" customHeight="1">
      <c r="A12" s="2" t="s">
        <v>26</v>
      </c>
      <c r="B12" s="2" t="s">
        <v>27</v>
      </c>
      <c r="C12" s="2" t="s">
        <v>28</v>
      </c>
      <c r="D12" s="2" t="s">
        <v>29</v>
      </c>
      <c r="E12" s="2">
        <v>560.0</v>
      </c>
      <c r="F12" s="2" t="s">
        <v>30</v>
      </c>
      <c r="G12" s="2">
        <v>0.0</v>
      </c>
      <c r="I12" s="2">
        <v>0.0</v>
      </c>
      <c r="K12" s="2">
        <v>0.0</v>
      </c>
      <c r="L12" s="2">
        <v>0.0</v>
      </c>
      <c r="M12" s="2" t="s">
        <v>41</v>
      </c>
      <c r="N12" s="2">
        <v>0.9554</v>
      </c>
      <c r="O12" s="2">
        <v>0.0013</v>
      </c>
      <c r="P12" s="2">
        <v>3.5796</v>
      </c>
      <c r="Q12" s="2">
        <v>28.0064</v>
      </c>
      <c r="R12" s="2">
        <v>0.1946</v>
      </c>
      <c r="S12" s="2">
        <v>666.919983</v>
      </c>
      <c r="T12" s="2">
        <v>94.0</v>
      </c>
      <c r="V12" s="2">
        <f t="shared" si="2"/>
        <v>109.3096552</v>
      </c>
      <c r="W12" s="2">
        <f t="shared" si="3"/>
        <v>1.47017543</v>
      </c>
      <c r="X12" s="2">
        <f t="shared" si="4"/>
        <v>1.351323431</v>
      </c>
      <c r="Y12" s="2">
        <f t="shared" ref="Y12:Z12" si="15">_xlfn.NORM.S.DIST(W12)</f>
        <v>0.9292428764</v>
      </c>
      <c r="Z12" s="2">
        <f t="shared" si="15"/>
        <v>0.9117040753</v>
      </c>
      <c r="AA12" s="2">
        <f t="shared" si="6"/>
        <v>0</v>
      </c>
    </row>
    <row r="13" ht="14.25" customHeight="1">
      <c r="A13" s="2" t="s">
        <v>26</v>
      </c>
      <c r="B13" s="2" t="s">
        <v>27</v>
      </c>
      <c r="C13" s="2" t="s">
        <v>28</v>
      </c>
      <c r="D13" s="2" t="s">
        <v>29</v>
      </c>
      <c r="E13" s="2">
        <v>560.0</v>
      </c>
      <c r="F13" s="2" t="s">
        <v>30</v>
      </c>
      <c r="G13" s="2">
        <v>106.5</v>
      </c>
      <c r="I13" s="2">
        <v>108.9</v>
      </c>
      <c r="K13" s="2">
        <v>0.0</v>
      </c>
      <c r="L13" s="2">
        <v>0.0</v>
      </c>
      <c r="M13" s="2" t="s">
        <v>42</v>
      </c>
      <c r="N13" s="2">
        <v>0.9359</v>
      </c>
      <c r="O13" s="2">
        <v>0.0015</v>
      </c>
      <c r="P13" s="2">
        <v>-3.4196</v>
      </c>
      <c r="Q13" s="2">
        <v>38.917</v>
      </c>
      <c r="R13" s="2">
        <v>0.2271</v>
      </c>
      <c r="S13" s="2">
        <v>669.330017</v>
      </c>
      <c r="T13" s="2">
        <v>93.0</v>
      </c>
      <c r="V13" s="2">
        <f t="shared" si="2"/>
        <v>113.3192433</v>
      </c>
      <c r="W13" s="2">
        <f t="shared" si="3"/>
        <v>1.292681487</v>
      </c>
      <c r="X13" s="2">
        <f t="shared" si="4"/>
        <v>1.15471985</v>
      </c>
      <c r="Y13" s="2">
        <f t="shared" ref="Y13:Z13" si="16">_xlfn.NORM.S.DIST(W13)</f>
        <v>0.9019393783</v>
      </c>
      <c r="Z13" s="2">
        <f t="shared" si="16"/>
        <v>0.875897416</v>
      </c>
      <c r="AA13" s="2">
        <f t="shared" si="6"/>
        <v>107.7</v>
      </c>
    </row>
    <row r="14" ht="14.25" customHeight="1">
      <c r="A14" s="2" t="s">
        <v>26</v>
      </c>
      <c r="B14" s="2" t="s">
        <v>27</v>
      </c>
      <c r="C14" s="2" t="s">
        <v>28</v>
      </c>
      <c r="D14" s="2" t="s">
        <v>29</v>
      </c>
      <c r="E14" s="2">
        <v>560.0</v>
      </c>
      <c r="F14" s="2" t="s">
        <v>30</v>
      </c>
      <c r="G14" s="2">
        <v>0.0</v>
      </c>
      <c r="I14" s="2">
        <v>0.0</v>
      </c>
      <c r="K14" s="2">
        <v>0.0</v>
      </c>
      <c r="L14" s="2">
        <v>0.0</v>
      </c>
      <c r="M14" s="2" t="s">
        <v>43</v>
      </c>
      <c r="N14" s="2">
        <v>0.9806</v>
      </c>
      <c r="O14" s="2">
        <v>5.0E-4</v>
      </c>
      <c r="P14" s="2">
        <v>11.1109</v>
      </c>
      <c r="Q14" s="2">
        <v>11.3537</v>
      </c>
      <c r="R14" s="2">
        <v>0.1613</v>
      </c>
      <c r="S14" s="2">
        <v>671.369995</v>
      </c>
      <c r="T14" s="2">
        <v>92.0</v>
      </c>
      <c r="V14" s="2">
        <f t="shared" si="2"/>
        <v>112.231931</v>
      </c>
      <c r="W14" s="2">
        <f t="shared" si="3"/>
        <v>1.861101374</v>
      </c>
      <c r="X14" s="2">
        <f t="shared" si="4"/>
        <v>1.763641014</v>
      </c>
      <c r="Y14" s="2">
        <f t="shared" ref="Y14:Z14" si="17">_xlfn.NORM.S.DIST(W14)</f>
        <v>0.9686350689</v>
      </c>
      <c r="Z14" s="2">
        <f t="shared" si="17"/>
        <v>0.961103781</v>
      </c>
      <c r="AA14" s="2">
        <f t="shared" si="6"/>
        <v>0</v>
      </c>
    </row>
    <row r="15" ht="14.25" customHeight="1">
      <c r="A15" s="2" t="s">
        <v>26</v>
      </c>
      <c r="B15" s="2" t="s">
        <v>27</v>
      </c>
      <c r="C15" s="2" t="s">
        <v>28</v>
      </c>
      <c r="D15" s="2" t="s">
        <v>29</v>
      </c>
      <c r="E15" s="2">
        <v>560.0</v>
      </c>
      <c r="F15" s="2" t="s">
        <v>30</v>
      </c>
      <c r="G15" s="2">
        <v>0.0</v>
      </c>
      <c r="I15" s="2">
        <v>0.0</v>
      </c>
      <c r="K15" s="2">
        <v>0.0</v>
      </c>
      <c r="L15" s="2">
        <v>0.0</v>
      </c>
      <c r="M15" s="2" t="s">
        <v>44</v>
      </c>
      <c r="N15" s="2">
        <v>0.9651</v>
      </c>
      <c r="O15" s="2">
        <v>0.001</v>
      </c>
      <c r="P15" s="2">
        <v>5.6089</v>
      </c>
      <c r="Q15" s="2">
        <v>21.7567</v>
      </c>
      <c r="R15" s="2">
        <v>0.1988</v>
      </c>
      <c r="S15" s="2">
        <v>673.580017</v>
      </c>
      <c r="T15" s="2">
        <v>88.0</v>
      </c>
      <c r="V15" s="2">
        <f t="shared" si="2"/>
        <v>115.4803743</v>
      </c>
      <c r="W15" s="2">
        <f t="shared" si="3"/>
        <v>1.571950744</v>
      </c>
      <c r="X15" s="2">
        <f t="shared" si="4"/>
        <v>1.4544725</v>
      </c>
      <c r="Y15" s="2">
        <f t="shared" ref="Y15:Z15" si="18">_xlfn.NORM.S.DIST(W15)</f>
        <v>0.9420190125</v>
      </c>
      <c r="Z15" s="2">
        <f t="shared" si="18"/>
        <v>0.9270923238</v>
      </c>
      <c r="AA15" s="2">
        <f t="shared" si="6"/>
        <v>0</v>
      </c>
    </row>
    <row r="16" ht="14.25" customHeight="1">
      <c r="A16" s="2" t="s">
        <v>26</v>
      </c>
      <c r="B16" s="2" t="s">
        <v>27</v>
      </c>
      <c r="C16" s="2" t="s">
        <v>28</v>
      </c>
      <c r="D16" s="2" t="s">
        <v>29</v>
      </c>
      <c r="E16" s="2">
        <v>560.0</v>
      </c>
      <c r="F16" s="2" t="s">
        <v>30</v>
      </c>
      <c r="G16" s="2">
        <v>0.0</v>
      </c>
      <c r="I16" s="2">
        <v>0.0</v>
      </c>
      <c r="K16" s="2">
        <v>0.0</v>
      </c>
      <c r="L16" s="2">
        <v>0.0</v>
      </c>
      <c r="M16" s="2" t="s">
        <v>45</v>
      </c>
      <c r="N16" s="2">
        <v>0.9568</v>
      </c>
      <c r="O16" s="2">
        <v>0.0011</v>
      </c>
      <c r="P16" s="2">
        <v>2.308</v>
      </c>
      <c r="Q16" s="2">
        <v>26.7036</v>
      </c>
      <c r="R16" s="2">
        <v>0.2174</v>
      </c>
      <c r="S16" s="2">
        <v>675.77002</v>
      </c>
      <c r="T16" s="2">
        <v>87.0</v>
      </c>
      <c r="V16" s="2">
        <f t="shared" si="2"/>
        <v>118.3255167</v>
      </c>
      <c r="W16" s="2">
        <f t="shared" si="3"/>
        <v>1.471109252</v>
      </c>
      <c r="X16" s="2">
        <f t="shared" si="4"/>
        <v>1.34337161</v>
      </c>
      <c r="Y16" s="2">
        <f t="shared" ref="Y16:Z16" si="19">_xlfn.NORM.S.DIST(W16)</f>
        <v>0.9293692134</v>
      </c>
      <c r="Z16" s="2">
        <f t="shared" si="19"/>
        <v>0.9104241625</v>
      </c>
      <c r="AA16" s="2">
        <f t="shared" si="6"/>
        <v>0</v>
      </c>
    </row>
    <row r="17" ht="14.25" customHeight="1">
      <c r="A17" s="2" t="s">
        <v>26</v>
      </c>
      <c r="B17" s="2" t="s">
        <v>27</v>
      </c>
      <c r="C17" s="2" t="s">
        <v>28</v>
      </c>
      <c r="D17" s="2" t="s">
        <v>29</v>
      </c>
      <c r="E17" s="2">
        <v>560.0</v>
      </c>
      <c r="F17" s="2" t="s">
        <v>30</v>
      </c>
      <c r="G17" s="2">
        <v>111.3</v>
      </c>
      <c r="I17" s="2">
        <v>113.6</v>
      </c>
      <c r="K17" s="2">
        <v>0.0</v>
      </c>
      <c r="L17" s="2">
        <v>0.0</v>
      </c>
      <c r="M17" s="2" t="s">
        <v>46</v>
      </c>
      <c r="N17" s="2">
        <v>0.9406</v>
      </c>
      <c r="O17" s="2">
        <v>0.0014</v>
      </c>
      <c r="P17" s="2">
        <v>-3.9297</v>
      </c>
      <c r="Q17" s="2">
        <v>35.4683</v>
      </c>
      <c r="R17" s="2">
        <v>0.2403</v>
      </c>
      <c r="S17" s="2">
        <v>673.969971</v>
      </c>
      <c r="T17" s="2">
        <v>86.0</v>
      </c>
      <c r="V17" s="2">
        <f t="shared" si="2"/>
        <v>117.8090909</v>
      </c>
      <c r="W17" s="2">
        <f t="shared" si="3"/>
        <v>1.319631317</v>
      </c>
      <c r="X17" s="2">
        <f t="shared" si="4"/>
        <v>1.179252129</v>
      </c>
      <c r="Y17" s="2">
        <f t="shared" ref="Y17:Z17" si="20">_xlfn.NORM.S.DIST(W17)</f>
        <v>0.9065209292</v>
      </c>
      <c r="Z17" s="2">
        <f t="shared" si="20"/>
        <v>0.880851103</v>
      </c>
      <c r="AA17" s="2">
        <f t="shared" si="6"/>
        <v>112.45</v>
      </c>
    </row>
    <row r="18" ht="14.25" customHeight="1">
      <c r="A18" s="2" t="s">
        <v>26</v>
      </c>
      <c r="B18" s="2" t="s">
        <v>27</v>
      </c>
      <c r="C18" s="2" t="s">
        <v>28</v>
      </c>
      <c r="D18" s="2" t="s">
        <v>29</v>
      </c>
      <c r="E18" s="2">
        <v>560.0</v>
      </c>
      <c r="F18" s="2" t="s">
        <v>30</v>
      </c>
      <c r="G18" s="2">
        <v>0.0</v>
      </c>
      <c r="I18" s="2">
        <v>0.0</v>
      </c>
      <c r="K18" s="2">
        <v>0.0</v>
      </c>
      <c r="L18" s="2">
        <v>0.0</v>
      </c>
      <c r="M18" s="2" t="s">
        <v>47</v>
      </c>
      <c r="N18" s="2">
        <v>0.9961</v>
      </c>
      <c r="O18" s="2">
        <v>1.0E-4</v>
      </c>
      <c r="P18" s="2">
        <v>6.4344</v>
      </c>
      <c r="Q18" s="2">
        <v>1.152</v>
      </c>
      <c r="R18" s="2">
        <v>0.1283</v>
      </c>
      <c r="S18" s="2">
        <v>677.150024</v>
      </c>
      <c r="T18" s="2">
        <v>85.0</v>
      </c>
      <c r="V18" s="2">
        <f t="shared" si="2"/>
        <v>117.3596355</v>
      </c>
      <c r="W18" s="2">
        <f t="shared" si="3"/>
        <v>2.549278701</v>
      </c>
      <c r="X18" s="2">
        <f t="shared" si="4"/>
        <v>2.474765049</v>
      </c>
      <c r="Y18" s="2">
        <f t="shared" ref="Y18:Z18" si="21">_xlfn.NORM.S.DIST(W18)</f>
        <v>0.9946027002</v>
      </c>
      <c r="Z18" s="2">
        <f t="shared" si="21"/>
        <v>0.9933338074</v>
      </c>
      <c r="AA18" s="2">
        <f t="shared" si="6"/>
        <v>0</v>
      </c>
    </row>
    <row r="19" ht="14.25" customHeight="1">
      <c r="A19" s="2" t="s">
        <v>26</v>
      </c>
      <c r="B19" s="2" t="s">
        <v>27</v>
      </c>
      <c r="C19" s="2" t="s">
        <v>28</v>
      </c>
      <c r="D19" s="2" t="s">
        <v>29</v>
      </c>
      <c r="E19" s="2">
        <v>560.0</v>
      </c>
      <c r="F19" s="2" t="s">
        <v>30</v>
      </c>
      <c r="G19" s="2">
        <v>113.6</v>
      </c>
      <c r="I19" s="2">
        <v>115.9</v>
      </c>
      <c r="K19" s="2">
        <v>0.0</v>
      </c>
      <c r="L19" s="2">
        <v>0.0</v>
      </c>
      <c r="M19" s="2" t="s">
        <v>48</v>
      </c>
      <c r="N19" s="2">
        <v>0.9911</v>
      </c>
      <c r="O19" s="2">
        <v>2.0E-4</v>
      </c>
      <c r="P19" s="2">
        <v>4.5237</v>
      </c>
      <c r="Q19" s="2">
        <v>5.5477</v>
      </c>
      <c r="R19" s="2">
        <v>0.1603</v>
      </c>
      <c r="S19" s="2">
        <v>676.190002</v>
      </c>
      <c r="T19" s="2">
        <v>82.0</v>
      </c>
      <c r="V19" s="2">
        <f t="shared" si="2"/>
        <v>116.7152819</v>
      </c>
      <c r="W19" s="2">
        <f t="shared" si="3"/>
        <v>2.061850409</v>
      </c>
      <c r="X19" s="2">
        <f t="shared" si="4"/>
        <v>1.970409575</v>
      </c>
      <c r="Y19" s="2">
        <f t="shared" ref="Y19:Z19" si="22">_xlfn.NORM.S.DIST(W19)</f>
        <v>0.9803890099</v>
      </c>
      <c r="Z19" s="2">
        <f t="shared" si="22"/>
        <v>0.9756042755</v>
      </c>
      <c r="AA19" s="2">
        <f t="shared" si="6"/>
        <v>114.75</v>
      </c>
    </row>
    <row r="20" ht="14.25" customHeight="1">
      <c r="A20" s="2" t="s">
        <v>26</v>
      </c>
      <c r="B20" s="2" t="s">
        <v>27</v>
      </c>
      <c r="C20" s="2" t="s">
        <v>28</v>
      </c>
      <c r="D20" s="2" t="s">
        <v>29</v>
      </c>
      <c r="E20" s="2">
        <v>560.0</v>
      </c>
      <c r="F20" s="2" t="s">
        <v>30</v>
      </c>
      <c r="G20" s="2">
        <v>0.0</v>
      </c>
      <c r="I20" s="2">
        <v>0.0</v>
      </c>
      <c r="K20" s="2">
        <v>0.0</v>
      </c>
      <c r="L20" s="2">
        <v>0.0</v>
      </c>
      <c r="M20" s="2" t="s">
        <v>49</v>
      </c>
      <c r="N20" s="2">
        <v>1.0</v>
      </c>
      <c r="O20" s="2">
        <v>0.0</v>
      </c>
      <c r="P20" s="2">
        <v>-1.7052</v>
      </c>
      <c r="Q20" s="2">
        <v>0.0451</v>
      </c>
      <c r="R20" s="2">
        <v>0.1047</v>
      </c>
      <c r="S20" s="2">
        <v>679.840027</v>
      </c>
      <c r="T20" s="2">
        <v>81.0</v>
      </c>
      <c r="V20" s="2">
        <f t="shared" si="2"/>
        <v>119.9711767</v>
      </c>
      <c r="W20" s="2">
        <f t="shared" si="3"/>
        <v>3.266896096</v>
      </c>
      <c r="X20" s="2">
        <f t="shared" si="4"/>
        <v>3.207536775</v>
      </c>
      <c r="Y20" s="2">
        <f t="shared" ref="Y20:Z20" si="23">_xlfn.NORM.S.DIST(W20)</f>
        <v>0.9994563321</v>
      </c>
      <c r="Z20" s="2">
        <f t="shared" si="23"/>
        <v>0.9993306153</v>
      </c>
      <c r="AA20" s="2">
        <f t="shared" si="6"/>
        <v>0</v>
      </c>
    </row>
    <row r="21" ht="14.25" customHeight="1">
      <c r="A21" s="2" t="s">
        <v>26</v>
      </c>
      <c r="B21" s="2" t="s">
        <v>27</v>
      </c>
      <c r="C21" s="2" t="s">
        <v>28</v>
      </c>
      <c r="D21" s="2" t="s">
        <v>29</v>
      </c>
      <c r="E21" s="2">
        <v>560.0</v>
      </c>
      <c r="F21" s="2" t="s">
        <v>30</v>
      </c>
      <c r="G21" s="2">
        <v>0.0</v>
      </c>
      <c r="I21" s="2">
        <v>0.0</v>
      </c>
      <c r="K21" s="2">
        <v>0.0</v>
      </c>
      <c r="L21" s="2">
        <v>0.0</v>
      </c>
      <c r="M21" s="2" t="s">
        <v>50</v>
      </c>
      <c r="N21" s="2">
        <v>0.9962</v>
      </c>
      <c r="O21" s="2">
        <v>1.0E-4</v>
      </c>
      <c r="P21" s="2">
        <v>6.1903</v>
      </c>
      <c r="Q21" s="2">
        <v>1.2083</v>
      </c>
      <c r="R21" s="2">
        <v>0.1336</v>
      </c>
      <c r="S21" s="2">
        <v>677.099976</v>
      </c>
      <c r="T21" s="2">
        <v>80.0</v>
      </c>
      <c r="V21" s="2">
        <f t="shared" si="2"/>
        <v>117.3095002</v>
      </c>
      <c r="W21" s="2">
        <f t="shared" si="3"/>
        <v>2.522510408</v>
      </c>
      <c r="X21" s="2">
        <f t="shared" si="4"/>
        <v>2.447235336</v>
      </c>
      <c r="Y21" s="2">
        <f t="shared" ref="Y21:Z21" si="24">_xlfn.NORM.S.DIST(W21)</f>
        <v>0.9941739749</v>
      </c>
      <c r="Z21" s="2">
        <f t="shared" si="24"/>
        <v>0.9928021596</v>
      </c>
      <c r="AA21" s="2">
        <f t="shared" si="6"/>
        <v>0</v>
      </c>
    </row>
    <row r="22" ht="14.25" customHeight="1">
      <c r="A22" s="2" t="s">
        <v>26</v>
      </c>
      <c r="B22" s="2" t="s">
        <v>27</v>
      </c>
      <c r="C22" s="2" t="s">
        <v>28</v>
      </c>
      <c r="D22" s="2" t="s">
        <v>29</v>
      </c>
      <c r="E22" s="2">
        <v>560.0</v>
      </c>
      <c r="F22" s="2" t="s">
        <v>30</v>
      </c>
      <c r="G22" s="2">
        <v>112.1</v>
      </c>
      <c r="I22" s="2">
        <v>114.4</v>
      </c>
      <c r="K22" s="2">
        <v>0.0</v>
      </c>
      <c r="L22" s="2">
        <v>0.0</v>
      </c>
      <c r="M22" s="2" t="s">
        <v>51</v>
      </c>
      <c r="N22" s="2">
        <v>0.9932</v>
      </c>
      <c r="O22" s="2">
        <v>2.0E-4</v>
      </c>
      <c r="P22" s="2">
        <v>5.0245</v>
      </c>
      <c r="Q22" s="2">
        <v>3.856</v>
      </c>
      <c r="R22" s="2">
        <v>0.1533</v>
      </c>
      <c r="S22" s="2">
        <v>674.890015</v>
      </c>
      <c r="T22" s="2">
        <v>79.0</v>
      </c>
      <c r="V22" s="2">
        <f t="shared" si="2"/>
        <v>115.2859764</v>
      </c>
      <c r="W22" s="2">
        <f t="shared" si="3"/>
        <v>2.174134239</v>
      </c>
      <c r="X22" s="2">
        <f t="shared" si="4"/>
        <v>2.088301014</v>
      </c>
      <c r="Y22" s="2">
        <f t="shared" ref="Y22:Z22" si="25">_xlfn.NORM.S.DIST(W22)</f>
        <v>0.9851524724</v>
      </c>
      <c r="Z22" s="2">
        <f t="shared" si="25"/>
        <v>0.981614655</v>
      </c>
      <c r="AA22" s="2">
        <f t="shared" si="6"/>
        <v>113.25</v>
      </c>
    </row>
    <row r="23" ht="14.25" customHeight="1">
      <c r="A23" s="2" t="s">
        <v>26</v>
      </c>
      <c r="B23" s="2" t="s">
        <v>27</v>
      </c>
      <c r="C23" s="2" t="s">
        <v>52</v>
      </c>
      <c r="D23" s="2" t="s">
        <v>29</v>
      </c>
      <c r="E23" s="2">
        <v>560.0</v>
      </c>
      <c r="F23" s="2" t="s">
        <v>30</v>
      </c>
      <c r="G23" s="2">
        <v>0.0</v>
      </c>
      <c r="I23" s="2">
        <v>0.0</v>
      </c>
      <c r="K23" s="2">
        <v>0.0</v>
      </c>
      <c r="L23" s="2">
        <v>0.0</v>
      </c>
      <c r="M23" s="2" t="s">
        <v>53</v>
      </c>
      <c r="N23" s="2">
        <v>0.9858</v>
      </c>
      <c r="O23" s="2">
        <v>4.0E-4</v>
      </c>
      <c r="P23" s="2">
        <v>11.3181</v>
      </c>
      <c r="Q23" s="2">
        <v>7.734</v>
      </c>
      <c r="R23" s="2">
        <v>0.1802</v>
      </c>
      <c r="S23" s="2">
        <v>681.73999</v>
      </c>
      <c r="T23" s="2">
        <v>78.0</v>
      </c>
      <c r="V23" s="2">
        <f t="shared" si="2"/>
        <v>122.4338934</v>
      </c>
      <c r="W23" s="2">
        <f t="shared" si="3"/>
        <v>1.962131247</v>
      </c>
      <c r="X23" s="2">
        <f t="shared" si="4"/>
        <v>1.861877222</v>
      </c>
      <c r="Y23" s="2">
        <f t="shared" ref="Y23:Z23" si="26">_xlfn.NORM.S.DIST(W23)</f>
        <v>0.9751263971</v>
      </c>
      <c r="Z23" s="2">
        <f t="shared" si="26"/>
        <v>0.9686898008</v>
      </c>
      <c r="AA23" s="2">
        <f t="shared" si="6"/>
        <v>0</v>
      </c>
    </row>
    <row r="24" ht="14.25" customHeight="1">
      <c r="A24" s="2" t="s">
        <v>26</v>
      </c>
      <c r="B24" s="2" t="s">
        <v>27</v>
      </c>
      <c r="C24" s="2" t="s">
        <v>52</v>
      </c>
      <c r="D24" s="2" t="s">
        <v>29</v>
      </c>
      <c r="E24" s="2">
        <v>560.0</v>
      </c>
      <c r="F24" s="2" t="s">
        <v>30</v>
      </c>
      <c r="G24" s="2">
        <v>111.4</v>
      </c>
      <c r="I24" s="2">
        <v>113.8</v>
      </c>
      <c r="K24" s="2">
        <v>0.0</v>
      </c>
      <c r="L24" s="2">
        <v>0.0</v>
      </c>
      <c r="M24" s="2" t="s">
        <v>54</v>
      </c>
      <c r="N24" s="2">
        <v>0.9479</v>
      </c>
      <c r="O24" s="2">
        <v>0.0013</v>
      </c>
      <c r="P24" s="2">
        <v>-4.396</v>
      </c>
      <c r="Q24" s="2">
        <v>29.9286</v>
      </c>
      <c r="R24" s="2">
        <v>0.248</v>
      </c>
      <c r="S24" s="2">
        <v>673.77002</v>
      </c>
      <c r="T24" s="2">
        <v>75.0</v>
      </c>
      <c r="V24" s="2">
        <f t="shared" si="2"/>
        <v>117.1126036</v>
      </c>
      <c r="W24" s="2">
        <f t="shared" si="3"/>
        <v>1.367027064</v>
      </c>
      <c r="X24" s="2">
        <f t="shared" si="4"/>
        <v>1.231731972</v>
      </c>
      <c r="Y24" s="2">
        <f t="shared" ref="Y24:Z24" si="27">_xlfn.NORM.S.DIST(W24)</f>
        <v>0.9141915887</v>
      </c>
      <c r="Z24" s="2">
        <f t="shared" si="27"/>
        <v>0.8909753888</v>
      </c>
      <c r="AA24" s="2">
        <f t="shared" si="6"/>
        <v>112.6</v>
      </c>
    </row>
    <row r="25" ht="14.25" customHeight="1">
      <c r="A25" s="2" t="s">
        <v>26</v>
      </c>
      <c r="B25" s="2" t="s">
        <v>27</v>
      </c>
      <c r="C25" s="2" t="s">
        <v>52</v>
      </c>
      <c r="D25" s="2" t="s">
        <v>29</v>
      </c>
      <c r="E25" s="2">
        <v>560.0</v>
      </c>
      <c r="F25" s="2" t="s">
        <v>30</v>
      </c>
      <c r="G25" s="2">
        <v>0.0</v>
      </c>
      <c r="I25" s="2">
        <v>0.0</v>
      </c>
      <c r="K25" s="2">
        <v>0.0</v>
      </c>
      <c r="L25" s="2">
        <v>0.0</v>
      </c>
      <c r="M25" s="2" t="s">
        <v>55</v>
      </c>
      <c r="N25" s="2">
        <v>0.9889</v>
      </c>
      <c r="O25" s="2">
        <v>2.0E-4</v>
      </c>
      <c r="P25" s="2">
        <v>12.1862</v>
      </c>
      <c r="Q25" s="2">
        <v>5.3977</v>
      </c>
      <c r="R25" s="2">
        <v>0.1741</v>
      </c>
      <c r="S25" s="2">
        <v>681.159973</v>
      </c>
      <c r="T25" s="2">
        <v>74.0</v>
      </c>
      <c r="V25" s="2">
        <f t="shared" si="2"/>
        <v>121.6713917</v>
      </c>
      <c r="W25" s="2">
        <f t="shared" si="3"/>
        <v>2.076023594</v>
      </c>
      <c r="X25" s="2">
        <f t="shared" si="4"/>
        <v>1.981679578</v>
      </c>
      <c r="Y25" s="2">
        <f t="shared" ref="Y25:Z25" si="28">_xlfn.NORM.S.DIST(W25)</f>
        <v>0.9810541155</v>
      </c>
      <c r="Z25" s="2">
        <f t="shared" si="28"/>
        <v>0.9762424428</v>
      </c>
      <c r="AA25" s="2">
        <f t="shared" si="6"/>
        <v>0</v>
      </c>
    </row>
    <row r="26" ht="14.25" customHeight="1">
      <c r="A26" s="2" t="s">
        <v>26</v>
      </c>
      <c r="B26" s="2" t="s">
        <v>27</v>
      </c>
      <c r="C26" s="2" t="s">
        <v>52</v>
      </c>
      <c r="D26" s="2" t="s">
        <v>29</v>
      </c>
      <c r="E26" s="2">
        <v>560.0</v>
      </c>
      <c r="F26" s="2" t="s">
        <v>30</v>
      </c>
      <c r="G26" s="2">
        <v>0.0</v>
      </c>
      <c r="I26" s="2">
        <v>0.0</v>
      </c>
      <c r="K26" s="2">
        <v>0.0</v>
      </c>
      <c r="L26" s="2">
        <v>0.0</v>
      </c>
      <c r="M26" s="2" t="s">
        <v>56</v>
      </c>
      <c r="N26" s="2">
        <v>0.9909</v>
      </c>
      <c r="O26" s="2">
        <v>2.0E-4</v>
      </c>
      <c r="P26" s="2">
        <v>12.9681</v>
      </c>
      <c r="Q26" s="2">
        <v>3.9011</v>
      </c>
      <c r="R26" s="2">
        <v>0.1666</v>
      </c>
      <c r="S26" s="2">
        <v>681.030029</v>
      </c>
      <c r="T26" s="2">
        <v>73.0</v>
      </c>
      <c r="V26" s="2">
        <f t="shared" si="2"/>
        <v>121.4237551</v>
      </c>
      <c r="W26" s="2">
        <f t="shared" si="3"/>
        <v>2.182163252</v>
      </c>
      <c r="X26" s="2">
        <f t="shared" si="4"/>
        <v>2.092495526</v>
      </c>
      <c r="Y26" s="2">
        <f t="shared" ref="Y26:Z26" si="29">_xlfn.NORM.S.DIST(W26)</f>
        <v>0.9854512568</v>
      </c>
      <c r="Z26" s="2">
        <f t="shared" si="29"/>
        <v>0.9818028942</v>
      </c>
      <c r="AA26" s="2">
        <f t="shared" si="6"/>
        <v>0</v>
      </c>
    </row>
    <row r="27" ht="14.25" customHeight="1">
      <c r="A27" s="2" t="s">
        <v>26</v>
      </c>
      <c r="B27" s="2" t="s">
        <v>27</v>
      </c>
      <c r="C27" s="2" t="s">
        <v>52</v>
      </c>
      <c r="D27" s="2" t="s">
        <v>29</v>
      </c>
      <c r="E27" s="2">
        <v>560.0</v>
      </c>
      <c r="F27" s="2" t="s">
        <v>30</v>
      </c>
      <c r="G27" s="2">
        <v>0.0</v>
      </c>
      <c r="I27" s="2">
        <v>0.0</v>
      </c>
      <c r="K27" s="2">
        <v>0.0</v>
      </c>
      <c r="L27" s="2">
        <v>0.0</v>
      </c>
      <c r="M27" s="2" t="s">
        <v>57</v>
      </c>
      <c r="N27" s="2">
        <v>0.9852</v>
      </c>
      <c r="O27" s="2">
        <v>5.0E-4</v>
      </c>
      <c r="P27" s="2">
        <v>10.389</v>
      </c>
      <c r="Q27" s="2">
        <v>8.1465</v>
      </c>
      <c r="R27" s="2">
        <v>0.1885</v>
      </c>
      <c r="S27" s="2">
        <v>679.679993</v>
      </c>
      <c r="T27" s="2">
        <v>72.0</v>
      </c>
      <c r="V27" s="2">
        <f t="shared" si="2"/>
        <v>120.4305878</v>
      </c>
      <c r="W27" s="2">
        <f t="shared" si="3"/>
        <v>1.922291917</v>
      </c>
      <c r="X27" s="2">
        <f t="shared" si="4"/>
        <v>1.821534429</v>
      </c>
      <c r="Y27" s="2">
        <f t="shared" ref="Y27:Z27" si="30">_xlfn.NORM.S.DIST(W27)</f>
        <v>0.9727154817</v>
      </c>
      <c r="Z27" s="2">
        <f t="shared" si="30"/>
        <v>0.9657371709</v>
      </c>
      <c r="AA27" s="2">
        <f t="shared" si="6"/>
        <v>0</v>
      </c>
    </row>
    <row r="28" ht="14.25" customHeight="1">
      <c r="A28" s="2" t="s">
        <v>26</v>
      </c>
      <c r="B28" s="2" t="s">
        <v>27</v>
      </c>
      <c r="C28" s="2" t="s">
        <v>52</v>
      </c>
      <c r="D28" s="2" t="s">
        <v>29</v>
      </c>
      <c r="E28" s="2">
        <v>560.0</v>
      </c>
      <c r="F28" s="2" t="s">
        <v>30</v>
      </c>
      <c r="G28" s="2">
        <v>0.0</v>
      </c>
      <c r="I28" s="2">
        <v>0.0</v>
      </c>
      <c r="K28" s="2">
        <v>0.0</v>
      </c>
      <c r="L28" s="2">
        <v>0.0</v>
      </c>
      <c r="M28" s="2" t="s">
        <v>58</v>
      </c>
      <c r="N28" s="2">
        <v>0.9929</v>
      </c>
      <c r="O28" s="2">
        <v>2.0E-4</v>
      </c>
      <c r="P28" s="2">
        <v>13.4073</v>
      </c>
      <c r="Q28" s="2">
        <v>2.3553</v>
      </c>
      <c r="R28" s="2">
        <v>0.1603</v>
      </c>
      <c r="S28" s="2">
        <v>683.039978</v>
      </c>
      <c r="T28" s="2">
        <v>71.0</v>
      </c>
      <c r="V28" s="2">
        <f t="shared" si="2"/>
        <v>123.3217924</v>
      </c>
      <c r="W28" s="2">
        <f t="shared" si="3"/>
        <v>2.334280985</v>
      </c>
      <c r="X28" s="2">
        <f t="shared" si="4"/>
        <v>2.249194139</v>
      </c>
      <c r="Y28" s="2">
        <f t="shared" ref="Y28:Z28" si="31">_xlfn.NORM.S.DIST(W28)</f>
        <v>0.9902094931</v>
      </c>
      <c r="Z28" s="2">
        <f t="shared" si="31"/>
        <v>0.9877499264</v>
      </c>
      <c r="AA28" s="2">
        <f t="shared" si="6"/>
        <v>0</v>
      </c>
    </row>
    <row r="29" ht="14.25" customHeight="1">
      <c r="A29" s="2" t="s">
        <v>26</v>
      </c>
      <c r="B29" s="2" t="s">
        <v>27</v>
      </c>
      <c r="C29" s="2" t="s">
        <v>52</v>
      </c>
      <c r="D29" s="2" t="s">
        <v>29</v>
      </c>
      <c r="E29" s="2">
        <v>560.0</v>
      </c>
      <c r="F29" s="2" t="s">
        <v>30</v>
      </c>
      <c r="G29" s="2">
        <v>0.0</v>
      </c>
      <c r="I29" s="2">
        <v>0.0</v>
      </c>
      <c r="K29" s="2">
        <v>0.0</v>
      </c>
      <c r="L29" s="2">
        <v>0.0</v>
      </c>
      <c r="M29" s="2" t="s">
        <v>59</v>
      </c>
      <c r="N29" s="2">
        <v>0.9867</v>
      </c>
      <c r="O29" s="2">
        <v>4.0E-4</v>
      </c>
      <c r="P29" s="2">
        <v>10.1472</v>
      </c>
      <c r="Q29" s="2">
        <v>7.1672</v>
      </c>
      <c r="R29" s="2">
        <v>0.1952</v>
      </c>
      <c r="S29" s="2">
        <v>682.75</v>
      </c>
      <c r="T29" s="2">
        <v>68.0</v>
      </c>
      <c r="V29" s="2">
        <f t="shared" si="2"/>
        <v>123.4474645</v>
      </c>
      <c r="W29" s="2">
        <f t="shared" si="3"/>
        <v>1.954573785</v>
      </c>
      <c r="X29" s="2">
        <f t="shared" si="4"/>
        <v>1.853174709</v>
      </c>
      <c r="Y29" s="2">
        <f t="shared" ref="Y29:Z29" si="32">_xlfn.NORM.S.DIST(W29)</f>
        <v>0.974683301</v>
      </c>
      <c r="Z29" s="2">
        <f t="shared" si="32"/>
        <v>0.9680713393</v>
      </c>
      <c r="AA29" s="2">
        <f t="shared" si="6"/>
        <v>0</v>
      </c>
    </row>
    <row r="30" ht="14.25" customHeight="1">
      <c r="A30" s="2" t="s">
        <v>26</v>
      </c>
      <c r="B30" s="2" t="s">
        <v>27</v>
      </c>
      <c r="C30" s="2" t="s">
        <v>52</v>
      </c>
      <c r="D30" s="2" t="s">
        <v>29</v>
      </c>
      <c r="E30" s="2">
        <v>560.0</v>
      </c>
      <c r="F30" s="2" t="s">
        <v>30</v>
      </c>
      <c r="G30" s="2">
        <v>0.0</v>
      </c>
      <c r="I30" s="2">
        <v>0.0</v>
      </c>
      <c r="K30" s="2">
        <v>0.0</v>
      </c>
      <c r="L30" s="2">
        <v>0.0</v>
      </c>
      <c r="M30" s="2" t="s">
        <v>60</v>
      </c>
      <c r="N30" s="2">
        <v>0.9818</v>
      </c>
      <c r="O30" s="2">
        <v>5.0E-4</v>
      </c>
      <c r="P30" s="2">
        <v>7.6748</v>
      </c>
      <c r="Q30" s="2">
        <v>10.4379</v>
      </c>
      <c r="R30" s="2">
        <v>0.2138</v>
      </c>
      <c r="S30" s="2">
        <v>683.599976</v>
      </c>
      <c r="T30" s="2">
        <v>67.0</v>
      </c>
      <c r="V30" s="2">
        <f t="shared" si="2"/>
        <v>124.6415193</v>
      </c>
      <c r="W30" s="2">
        <f t="shared" si="3"/>
        <v>1.809085162</v>
      </c>
      <c r="X30" s="2">
        <f t="shared" si="4"/>
        <v>1.698843734</v>
      </c>
      <c r="Y30" s="2">
        <f t="shared" ref="Y30:Z30" si="33">_xlfn.NORM.S.DIST(W30)</f>
        <v>0.9647811131</v>
      </c>
      <c r="Z30" s="2">
        <f t="shared" si="33"/>
        <v>0.9553256845</v>
      </c>
      <c r="AA30" s="2">
        <f t="shared" si="6"/>
        <v>0</v>
      </c>
    </row>
    <row r="31" ht="14.25" customHeight="1">
      <c r="A31" s="2" t="s">
        <v>26</v>
      </c>
      <c r="B31" s="2" t="s">
        <v>27</v>
      </c>
      <c r="C31" s="2" t="s">
        <v>52</v>
      </c>
      <c r="D31" s="2" t="s">
        <v>29</v>
      </c>
      <c r="E31" s="2">
        <v>560.0</v>
      </c>
      <c r="F31" s="2" t="s">
        <v>30</v>
      </c>
      <c r="G31" s="2">
        <v>0.0</v>
      </c>
      <c r="I31" s="2">
        <v>0.0</v>
      </c>
      <c r="K31" s="2">
        <v>0.0</v>
      </c>
      <c r="L31" s="2">
        <v>0.0</v>
      </c>
      <c r="M31" s="2" t="s">
        <v>61</v>
      </c>
      <c r="N31" s="2">
        <v>0.9869</v>
      </c>
      <c r="O31" s="2">
        <v>4.0E-4</v>
      </c>
      <c r="P31" s="2">
        <v>9.9331</v>
      </c>
      <c r="Q31" s="2">
        <v>7.0484</v>
      </c>
      <c r="R31" s="2">
        <v>0.2001</v>
      </c>
      <c r="S31" s="2">
        <v>684.02002</v>
      </c>
      <c r="T31" s="2">
        <v>66.0</v>
      </c>
      <c r="V31" s="2">
        <f t="shared" si="2"/>
        <v>124.7224601</v>
      </c>
      <c r="W31" s="2">
        <f t="shared" si="3"/>
        <v>1.953532512</v>
      </c>
      <c r="X31" s="2">
        <f t="shared" si="4"/>
        <v>1.851128072</v>
      </c>
      <c r="Y31" s="2">
        <f t="shared" ref="Y31:Z31" si="34">_xlfn.NORM.S.DIST(W31)</f>
        <v>0.9746217356</v>
      </c>
      <c r="Z31" s="2">
        <f t="shared" si="34"/>
        <v>0.9679244348</v>
      </c>
      <c r="AA31" s="2">
        <f t="shared" si="6"/>
        <v>0</v>
      </c>
    </row>
    <row r="32" ht="14.25" customHeight="1">
      <c r="A32" s="2" t="s">
        <v>26</v>
      </c>
      <c r="B32" s="2" t="s">
        <v>27</v>
      </c>
      <c r="C32" s="2" t="s">
        <v>52</v>
      </c>
      <c r="D32" s="2" t="s">
        <v>29</v>
      </c>
      <c r="E32" s="2">
        <v>560.0</v>
      </c>
      <c r="F32" s="2" t="s">
        <v>30</v>
      </c>
      <c r="G32" s="2">
        <v>0.0</v>
      </c>
      <c r="I32" s="2">
        <v>0.0</v>
      </c>
      <c r="K32" s="2">
        <v>0.0</v>
      </c>
      <c r="L32" s="2">
        <v>0.0</v>
      </c>
      <c r="M32" s="2" t="s">
        <v>62</v>
      </c>
      <c r="N32" s="2">
        <v>0.9877</v>
      </c>
      <c r="O32" s="2">
        <v>4.0E-4</v>
      </c>
      <c r="P32" s="2">
        <v>10.2495</v>
      </c>
      <c r="Q32" s="2">
        <v>6.474</v>
      </c>
      <c r="R32" s="2">
        <v>0.2002</v>
      </c>
      <c r="S32" s="2">
        <v>684.940002</v>
      </c>
      <c r="T32" s="2">
        <v>65.0</v>
      </c>
      <c r="V32" s="2">
        <f t="shared" si="2"/>
        <v>125.5955165</v>
      </c>
      <c r="W32" s="2">
        <f t="shared" si="3"/>
        <v>1.980738047</v>
      </c>
      <c r="X32" s="2">
        <f t="shared" si="4"/>
        <v>1.879061572</v>
      </c>
      <c r="Y32" s="2">
        <f t="shared" ref="Y32:Z32" si="35">_xlfn.NORM.S.DIST(W32)</f>
        <v>0.9761896712</v>
      </c>
      <c r="Z32" s="2">
        <f t="shared" si="35"/>
        <v>0.9698819568</v>
      </c>
      <c r="AA32" s="2">
        <f t="shared" si="6"/>
        <v>0</v>
      </c>
    </row>
    <row r="33" ht="14.25" customHeight="1">
      <c r="A33" s="2" t="s">
        <v>26</v>
      </c>
      <c r="B33" s="2" t="s">
        <v>27</v>
      </c>
      <c r="C33" s="2" t="s">
        <v>52</v>
      </c>
      <c r="D33" s="2" t="s">
        <v>29</v>
      </c>
      <c r="E33" s="2">
        <v>560.0</v>
      </c>
      <c r="F33" s="2" t="s">
        <v>30</v>
      </c>
      <c r="G33" s="2">
        <v>121.7</v>
      </c>
      <c r="I33" s="2">
        <v>123.7</v>
      </c>
      <c r="K33" s="2">
        <v>0.0</v>
      </c>
      <c r="L33" s="2">
        <v>0.0</v>
      </c>
      <c r="M33" s="2" t="s">
        <v>63</v>
      </c>
      <c r="N33" s="2">
        <v>1.0</v>
      </c>
      <c r="O33" s="2">
        <v>0.0</v>
      </c>
      <c r="P33" s="2">
        <v>-1.6296</v>
      </c>
      <c r="Q33" s="2">
        <v>0.0112</v>
      </c>
      <c r="R33" s="2">
        <v>0.1127</v>
      </c>
      <c r="S33" s="2">
        <v>683.969971</v>
      </c>
      <c r="T33" s="2">
        <v>64.0</v>
      </c>
      <c r="V33" s="2">
        <f t="shared" si="2"/>
        <v>124.0713687</v>
      </c>
      <c r="W33" s="2">
        <f t="shared" si="3"/>
        <v>3.521007237</v>
      </c>
      <c r="X33" s="2">
        <f t="shared" si="4"/>
        <v>3.464211775</v>
      </c>
      <c r="Y33" s="2">
        <f t="shared" ref="Y33:Z33" si="36">_xlfn.NORM.S.DIST(W33)</f>
        <v>0.9997850446</v>
      </c>
      <c r="Z33" s="2">
        <f t="shared" si="36"/>
        <v>0.9997341062</v>
      </c>
      <c r="AA33" s="2">
        <f t="shared" si="6"/>
        <v>122.7</v>
      </c>
    </row>
    <row r="34" ht="14.25" customHeight="1">
      <c r="A34" s="2" t="s">
        <v>26</v>
      </c>
      <c r="B34" s="2" t="s">
        <v>27</v>
      </c>
      <c r="C34" s="2" t="s">
        <v>52</v>
      </c>
      <c r="D34" s="2" t="s">
        <v>29</v>
      </c>
      <c r="E34" s="2">
        <v>560.0</v>
      </c>
      <c r="F34" s="2" t="s">
        <v>30</v>
      </c>
      <c r="G34" s="2">
        <v>0.0</v>
      </c>
      <c r="I34" s="2">
        <v>0.0</v>
      </c>
      <c r="K34" s="2">
        <v>0.0</v>
      </c>
      <c r="L34" s="2">
        <v>0.0</v>
      </c>
      <c r="M34" s="2" t="s">
        <v>64</v>
      </c>
      <c r="N34" s="2">
        <v>1.0</v>
      </c>
      <c r="O34" s="2">
        <v>0.0</v>
      </c>
      <c r="P34" s="2">
        <v>-1.6262</v>
      </c>
      <c r="Q34" s="2">
        <v>2.0E-4</v>
      </c>
      <c r="R34" s="2">
        <v>0.1018</v>
      </c>
      <c r="S34" s="2">
        <v>689.26001</v>
      </c>
      <c r="T34" s="2">
        <v>60.0</v>
      </c>
      <c r="V34" s="2">
        <f t="shared" si="2"/>
        <v>129.3534306</v>
      </c>
      <c r="W34" s="2">
        <f t="shared" si="3"/>
        <v>4.180952982</v>
      </c>
      <c r="X34" s="2">
        <f t="shared" si="4"/>
        <v>4.131279668</v>
      </c>
      <c r="Y34" s="2">
        <f t="shared" ref="Y34:Z34" si="37">_xlfn.NORM.S.DIST(W34)</f>
        <v>0.9999854855</v>
      </c>
      <c r="Z34" s="2">
        <f t="shared" si="37"/>
        <v>0.9999819625</v>
      </c>
      <c r="AA34" s="2">
        <f t="shared" si="6"/>
        <v>0</v>
      </c>
    </row>
    <row r="35" ht="14.25" customHeight="1">
      <c r="A35" s="2" t="s">
        <v>26</v>
      </c>
      <c r="B35" s="2" t="s">
        <v>27</v>
      </c>
      <c r="C35" s="2" t="s">
        <v>52</v>
      </c>
      <c r="D35" s="2" t="s">
        <v>29</v>
      </c>
      <c r="E35" s="2">
        <v>560.0</v>
      </c>
      <c r="F35" s="2" t="s">
        <v>30</v>
      </c>
      <c r="G35" s="2">
        <v>118.4</v>
      </c>
      <c r="I35" s="2">
        <v>121.6</v>
      </c>
      <c r="K35" s="2">
        <v>0.0</v>
      </c>
      <c r="L35" s="2">
        <v>0.0</v>
      </c>
      <c r="M35" s="2" t="s">
        <v>65</v>
      </c>
      <c r="N35" s="2">
        <v>1.0</v>
      </c>
      <c r="O35" s="2">
        <v>0.0</v>
      </c>
      <c r="P35" s="2">
        <v>-1.6293</v>
      </c>
      <c r="Q35" s="2">
        <v>0.0091</v>
      </c>
      <c r="R35" s="2">
        <v>0.1146</v>
      </c>
      <c r="S35" s="2">
        <v>681.950012</v>
      </c>
      <c r="T35" s="2">
        <v>59.0</v>
      </c>
      <c r="V35" s="2">
        <f t="shared" si="2"/>
        <v>122.0433708</v>
      </c>
      <c r="W35" s="2">
        <f t="shared" si="3"/>
        <v>3.553031235</v>
      </c>
      <c r="X35" s="2">
        <f t="shared" si="4"/>
        <v>3.497580111</v>
      </c>
      <c r="Y35" s="2">
        <f t="shared" ref="Y35:Z35" si="38">_xlfn.NORM.S.DIST(W35)</f>
        <v>0.9998095904</v>
      </c>
      <c r="Z35" s="2">
        <f t="shared" si="38"/>
        <v>0.9997652502</v>
      </c>
      <c r="AA35" s="2">
        <f t="shared" si="6"/>
        <v>120</v>
      </c>
    </row>
    <row r="36" ht="14.25" customHeight="1">
      <c r="A36" s="2" t="s">
        <v>26</v>
      </c>
      <c r="B36" s="2" t="s">
        <v>27</v>
      </c>
      <c r="C36" s="2" t="s">
        <v>52</v>
      </c>
      <c r="D36" s="2" t="s">
        <v>29</v>
      </c>
      <c r="E36" s="2">
        <v>560.0</v>
      </c>
      <c r="F36" s="2" t="s">
        <v>30</v>
      </c>
      <c r="G36" s="2">
        <v>115.8</v>
      </c>
      <c r="I36" s="2">
        <v>118.7</v>
      </c>
      <c r="K36" s="2">
        <v>0.0</v>
      </c>
      <c r="L36" s="2">
        <v>0.0</v>
      </c>
      <c r="M36" s="2" t="s">
        <v>66</v>
      </c>
      <c r="N36" s="2">
        <v>1.0</v>
      </c>
      <c r="O36" s="2">
        <v>0.0</v>
      </c>
      <c r="P36" s="2">
        <v>-1.6456</v>
      </c>
      <c r="Q36" s="2">
        <v>0.0494</v>
      </c>
      <c r="R36" s="2">
        <v>0.1245</v>
      </c>
      <c r="S36" s="2">
        <v>678.359985</v>
      </c>
      <c r="T36" s="2">
        <v>58.0</v>
      </c>
      <c r="V36" s="2">
        <f t="shared" si="2"/>
        <v>118.4566495</v>
      </c>
      <c r="W36" s="2">
        <f t="shared" si="3"/>
        <v>3.210203936</v>
      </c>
      <c r="X36" s="2">
        <f t="shared" si="4"/>
        <v>3.150475234</v>
      </c>
      <c r="Y36" s="2">
        <f t="shared" ref="Y36:Z36" si="39">_xlfn.NORM.S.DIST(W36)</f>
        <v>0.9993367958</v>
      </c>
      <c r="Z36" s="2">
        <f t="shared" si="39"/>
        <v>0.9991849746</v>
      </c>
      <c r="AA36" s="2">
        <f t="shared" si="6"/>
        <v>117.25</v>
      </c>
    </row>
    <row r="37" ht="14.25" customHeight="1">
      <c r="A37" s="2" t="s">
        <v>26</v>
      </c>
      <c r="B37" s="2" t="s">
        <v>27</v>
      </c>
      <c r="C37" s="2" t="s">
        <v>52</v>
      </c>
      <c r="D37" s="2" t="s">
        <v>29</v>
      </c>
      <c r="E37" s="2">
        <v>560.0</v>
      </c>
      <c r="F37" s="2" t="s">
        <v>30</v>
      </c>
      <c r="G37" s="2">
        <v>121.2</v>
      </c>
      <c r="I37" s="2">
        <v>123.9</v>
      </c>
      <c r="K37" s="2">
        <v>0.0</v>
      </c>
      <c r="L37" s="2">
        <v>0.0</v>
      </c>
      <c r="M37" s="2" t="s">
        <v>67</v>
      </c>
      <c r="N37" s="2">
        <v>1.0</v>
      </c>
      <c r="O37" s="2">
        <v>0.0</v>
      </c>
      <c r="P37" s="2">
        <v>-1.6392</v>
      </c>
      <c r="Q37" s="2">
        <v>0.032</v>
      </c>
      <c r="R37" s="2">
        <v>0.1271</v>
      </c>
      <c r="S37" s="2">
        <v>683.619995</v>
      </c>
      <c r="T37" s="2">
        <v>57.0</v>
      </c>
      <c r="V37" s="2">
        <f t="shared" si="2"/>
        <v>123.7133322</v>
      </c>
      <c r="W37" s="2">
        <f t="shared" si="3"/>
        <v>3.299779351</v>
      </c>
      <c r="X37" s="2">
        <f t="shared" si="4"/>
        <v>3.239331243</v>
      </c>
      <c r="Y37" s="2">
        <f t="shared" ref="Y37:Z37" si="40">_xlfn.NORM.S.DIST(W37)</f>
        <v>0.9995161956</v>
      </c>
      <c r="Z37" s="2">
        <f t="shared" si="40"/>
        <v>0.9994009483</v>
      </c>
      <c r="AA37" s="2">
        <f t="shared" si="6"/>
        <v>122.55</v>
      </c>
    </row>
    <row r="38" ht="14.25" customHeight="1">
      <c r="A38" s="2" t="s">
        <v>26</v>
      </c>
      <c r="B38" s="2" t="s">
        <v>27</v>
      </c>
      <c r="C38" s="2" t="s">
        <v>52</v>
      </c>
      <c r="D38" s="2" t="s">
        <v>29</v>
      </c>
      <c r="E38" s="2">
        <v>560.0</v>
      </c>
      <c r="F38" s="2" t="s">
        <v>30</v>
      </c>
      <c r="G38" s="2">
        <v>110.1</v>
      </c>
      <c r="I38" s="2">
        <v>112.7</v>
      </c>
      <c r="K38" s="2">
        <v>0.0</v>
      </c>
      <c r="L38" s="2">
        <v>0.0</v>
      </c>
      <c r="M38" s="2" t="s">
        <v>68</v>
      </c>
      <c r="N38" s="2">
        <v>0.9654</v>
      </c>
      <c r="O38" s="2">
        <v>0.0011</v>
      </c>
      <c r="P38" s="2">
        <v>-4.6555</v>
      </c>
      <c r="Q38" s="2">
        <v>18.2358</v>
      </c>
      <c r="R38" s="2">
        <v>0.2597</v>
      </c>
      <c r="S38" s="2">
        <v>671.75</v>
      </c>
      <c r="T38" s="2">
        <v>54.0</v>
      </c>
      <c r="V38" s="2">
        <f t="shared" si="2"/>
        <v>113.9017337</v>
      </c>
      <c r="W38" s="2">
        <f t="shared" si="3"/>
        <v>1.513499287</v>
      </c>
      <c r="X38" s="2">
        <f t="shared" si="4"/>
        <v>1.393281548</v>
      </c>
      <c r="Y38" s="2">
        <f t="shared" ref="Y38:Z38" si="41">_xlfn.NORM.S.DIST(W38)</f>
        <v>0.934923559</v>
      </c>
      <c r="Z38" s="2">
        <f t="shared" si="41"/>
        <v>0.9182326658</v>
      </c>
      <c r="AA38" s="2">
        <f t="shared" si="6"/>
        <v>111.4</v>
      </c>
    </row>
    <row r="39" ht="14.25" customHeight="1">
      <c r="A39" s="2" t="s">
        <v>26</v>
      </c>
      <c r="B39" s="2" t="s">
        <v>27</v>
      </c>
      <c r="C39" s="2" t="s">
        <v>52</v>
      </c>
      <c r="D39" s="2" t="s">
        <v>29</v>
      </c>
      <c r="E39" s="2">
        <v>560.0</v>
      </c>
      <c r="F39" s="2" t="s">
        <v>30</v>
      </c>
      <c r="G39" s="2">
        <v>113.0</v>
      </c>
      <c r="I39" s="2">
        <v>116.2</v>
      </c>
      <c r="K39" s="2">
        <v>0.0</v>
      </c>
      <c r="L39" s="2">
        <v>0.0</v>
      </c>
      <c r="M39" s="2" t="s">
        <v>69</v>
      </c>
      <c r="N39" s="2">
        <v>0.9882</v>
      </c>
      <c r="O39" s="2">
        <v>4.0E-4</v>
      </c>
      <c r="P39" s="2">
        <v>7.4079</v>
      </c>
      <c r="Q39" s="2">
        <v>6.1586</v>
      </c>
      <c r="R39" s="2">
        <v>0.2105</v>
      </c>
      <c r="S39" s="2">
        <v>675.900024</v>
      </c>
      <c r="T39" s="2">
        <v>53.0</v>
      </c>
      <c r="V39" s="2">
        <f t="shared" si="2"/>
        <v>116.5530422</v>
      </c>
      <c r="W39" s="2">
        <f t="shared" si="3"/>
        <v>1.948580701</v>
      </c>
      <c r="X39" s="2">
        <f t="shared" si="4"/>
        <v>1.852044598</v>
      </c>
      <c r="Y39" s="2">
        <f t="shared" ref="Y39:Z39" si="42">_xlfn.NORM.S.DIST(W39)</f>
        <v>0.9743272406</v>
      </c>
      <c r="Z39" s="2">
        <f t="shared" si="42"/>
        <v>0.9679902905</v>
      </c>
      <c r="AA39" s="2">
        <f t="shared" si="6"/>
        <v>114.6</v>
      </c>
    </row>
    <row r="40" ht="14.25" customHeight="1">
      <c r="A40" s="2" t="s">
        <v>26</v>
      </c>
      <c r="B40" s="2" t="s">
        <v>27</v>
      </c>
      <c r="C40" s="2" t="s">
        <v>52</v>
      </c>
      <c r="D40" s="2" t="s">
        <v>29</v>
      </c>
      <c r="E40" s="2">
        <v>560.0</v>
      </c>
      <c r="F40" s="2" t="s">
        <v>30</v>
      </c>
      <c r="G40" s="2">
        <v>121.7</v>
      </c>
      <c r="I40" s="2">
        <v>124.4</v>
      </c>
      <c r="K40" s="2">
        <v>0.0</v>
      </c>
      <c r="L40" s="2">
        <v>0.0</v>
      </c>
      <c r="M40" s="2" t="s">
        <v>70</v>
      </c>
      <c r="N40" s="2">
        <v>0.9897</v>
      </c>
      <c r="O40" s="2">
        <v>4.0E-4</v>
      </c>
      <c r="P40" s="2">
        <v>8.0125</v>
      </c>
      <c r="Q40" s="2">
        <v>5.2566</v>
      </c>
      <c r="R40" s="2">
        <v>0.2195</v>
      </c>
      <c r="S40" s="2">
        <v>683.659973</v>
      </c>
      <c r="T40" s="2">
        <v>52.0</v>
      </c>
      <c r="V40" s="2">
        <f t="shared" si="2"/>
        <v>124.2559777</v>
      </c>
      <c r="W40" s="2">
        <f t="shared" si="3"/>
        <v>2.001054826</v>
      </c>
      <c r="X40" s="2">
        <f t="shared" si="4"/>
        <v>1.901345467</v>
      </c>
      <c r="Y40" s="2">
        <f t="shared" ref="Y40:Z40" si="43">_xlfn.NORM.S.DIST(W40)</f>
        <v>0.9773067591</v>
      </c>
      <c r="Z40" s="2">
        <f t="shared" si="43"/>
        <v>0.9713716113</v>
      </c>
      <c r="AA40" s="2">
        <f t="shared" si="6"/>
        <v>123.05</v>
      </c>
    </row>
    <row r="41" ht="14.25" customHeight="1">
      <c r="A41" s="2" t="s">
        <v>26</v>
      </c>
      <c r="B41" s="2" t="s">
        <v>27</v>
      </c>
      <c r="C41" s="2" t="s">
        <v>52</v>
      </c>
      <c r="D41" s="2" t="s">
        <v>29</v>
      </c>
      <c r="E41" s="2">
        <v>560.0</v>
      </c>
      <c r="F41" s="2" t="s">
        <v>30</v>
      </c>
      <c r="G41" s="2">
        <v>119.6</v>
      </c>
      <c r="I41" s="2">
        <v>122.4</v>
      </c>
      <c r="K41" s="2">
        <v>0.0</v>
      </c>
      <c r="L41" s="2">
        <v>0.0</v>
      </c>
      <c r="M41" s="2" t="s">
        <v>71</v>
      </c>
      <c r="N41" s="2">
        <v>0.996</v>
      </c>
      <c r="O41" s="2">
        <v>1.0E-4</v>
      </c>
      <c r="P41" s="2">
        <v>11.453</v>
      </c>
      <c r="Q41" s="2">
        <v>1.0538</v>
      </c>
      <c r="R41" s="2">
        <v>0.1762</v>
      </c>
      <c r="S41" s="2">
        <v>682.530029</v>
      </c>
      <c r="T41" s="2">
        <v>51.0</v>
      </c>
      <c r="V41" s="2">
        <f t="shared" si="2"/>
        <v>122.7073045</v>
      </c>
      <c r="W41" s="2">
        <f t="shared" si="3"/>
        <v>2.496253365</v>
      </c>
      <c r="X41" s="2">
        <f t="shared" si="4"/>
        <v>2.416986675</v>
      </c>
      <c r="Y41" s="2">
        <f t="shared" ref="Y41:Z41" si="44">_xlfn.NORM.S.DIST(W41)</f>
        <v>0.9937243542</v>
      </c>
      <c r="Z41" s="2">
        <f t="shared" si="44"/>
        <v>0.992175205</v>
      </c>
      <c r="AA41" s="2">
        <f t="shared" si="6"/>
        <v>121</v>
      </c>
    </row>
    <row r="42" ht="14.25" customHeight="1">
      <c r="A42" s="2" t="s">
        <v>26</v>
      </c>
      <c r="B42" s="2" t="s">
        <v>27</v>
      </c>
      <c r="C42" s="2" t="s">
        <v>52</v>
      </c>
      <c r="D42" s="2" t="s">
        <v>29</v>
      </c>
      <c r="E42" s="2">
        <v>560.0</v>
      </c>
      <c r="F42" s="2" t="s">
        <v>30</v>
      </c>
      <c r="G42" s="2">
        <v>120.7</v>
      </c>
      <c r="I42" s="2">
        <v>124.4</v>
      </c>
      <c r="K42" s="2">
        <v>0.0</v>
      </c>
      <c r="L42" s="2">
        <v>0.0</v>
      </c>
      <c r="M42" s="2" t="s">
        <v>72</v>
      </c>
      <c r="N42" s="2">
        <v>0.9958</v>
      </c>
      <c r="O42" s="2">
        <v>1.0E-4</v>
      </c>
      <c r="P42" s="2">
        <v>11.3306</v>
      </c>
      <c r="Q42" s="2">
        <v>1.2361</v>
      </c>
      <c r="R42" s="2">
        <v>0.183</v>
      </c>
      <c r="S42" s="2">
        <v>683.650024</v>
      </c>
      <c r="T42" s="2">
        <v>50.0</v>
      </c>
      <c r="V42" s="2">
        <f t="shared" si="2"/>
        <v>123.8449112</v>
      </c>
      <c r="W42" s="2">
        <f t="shared" si="3"/>
        <v>2.44752657</v>
      </c>
      <c r="X42" s="2">
        <f t="shared" si="4"/>
        <v>2.366011891</v>
      </c>
      <c r="Y42" s="2">
        <f t="shared" ref="Y42:Z42" si="45">_xlfn.NORM.S.DIST(W42)</f>
        <v>0.992807974</v>
      </c>
      <c r="Z42" s="2">
        <f t="shared" si="45"/>
        <v>0.9910095666</v>
      </c>
      <c r="AA42" s="2">
        <f t="shared" si="6"/>
        <v>122.55</v>
      </c>
    </row>
    <row r="43" ht="14.25" customHeight="1">
      <c r="A43" s="2" t="s">
        <v>26</v>
      </c>
      <c r="B43" s="2" t="s">
        <v>27</v>
      </c>
      <c r="C43" s="2" t="s">
        <v>52</v>
      </c>
      <c r="D43" s="2" t="s">
        <v>29</v>
      </c>
      <c r="E43" s="2">
        <v>560.0</v>
      </c>
      <c r="F43" s="2" t="s">
        <v>30</v>
      </c>
      <c r="G43" s="2">
        <v>124.5</v>
      </c>
      <c r="I43" s="2">
        <v>127.1</v>
      </c>
      <c r="K43" s="2">
        <v>0.0</v>
      </c>
      <c r="L43" s="2">
        <v>0.0</v>
      </c>
      <c r="M43" s="2" t="s">
        <v>73</v>
      </c>
      <c r="N43" s="2">
        <v>0.9932</v>
      </c>
      <c r="O43" s="2">
        <v>2.0E-4</v>
      </c>
      <c r="P43" s="2">
        <v>9.3396</v>
      </c>
      <c r="Q43" s="2">
        <v>3.0923</v>
      </c>
      <c r="R43" s="2">
        <v>0.2186</v>
      </c>
      <c r="S43" s="2">
        <v>686.52002</v>
      </c>
      <c r="T43" s="2">
        <v>47.0</v>
      </c>
      <c r="V43" s="2">
        <f t="shared" si="2"/>
        <v>126.9111123</v>
      </c>
      <c r="W43" s="2">
        <f t="shared" si="3"/>
        <v>2.157690927</v>
      </c>
      <c r="X43" s="2">
        <f t="shared" si="4"/>
        <v>2.063285097</v>
      </c>
      <c r="Y43" s="2">
        <f t="shared" ref="Y43:Z43" si="46">_xlfn.NORM.S.DIST(W43)</f>
        <v>0.9845240651</v>
      </c>
      <c r="Z43" s="2">
        <f t="shared" si="46"/>
        <v>0.9804572254</v>
      </c>
      <c r="AA43" s="2">
        <f t="shared" si="6"/>
        <v>125.8</v>
      </c>
    </row>
    <row r="44" ht="14.25" customHeight="1">
      <c r="A44" s="2" t="s">
        <v>26</v>
      </c>
      <c r="B44" s="2" t="s">
        <v>27</v>
      </c>
      <c r="C44" s="2" t="s">
        <v>52</v>
      </c>
      <c r="D44" s="2" t="s">
        <v>29</v>
      </c>
      <c r="E44" s="2">
        <v>560.0</v>
      </c>
      <c r="F44" s="2" t="s">
        <v>30</v>
      </c>
      <c r="G44" s="2">
        <v>130.3</v>
      </c>
      <c r="I44" s="2">
        <v>132.8</v>
      </c>
      <c r="K44" s="2">
        <v>0.0</v>
      </c>
      <c r="L44" s="2">
        <v>0.0</v>
      </c>
      <c r="M44" s="2" t="s">
        <v>74</v>
      </c>
      <c r="N44" s="2">
        <v>0.9975</v>
      </c>
      <c r="O44" s="2">
        <v>0.0</v>
      </c>
      <c r="P44" s="2">
        <v>12.1511</v>
      </c>
      <c r="Q44" s="2">
        <v>0.0289</v>
      </c>
      <c r="R44" s="2">
        <v>0.1498</v>
      </c>
      <c r="S44" s="2">
        <v>693.27002</v>
      </c>
      <c r="T44" s="2">
        <v>46.0</v>
      </c>
      <c r="V44" s="2">
        <f t="shared" si="2"/>
        <v>133.3459282</v>
      </c>
      <c r="W44" s="2">
        <f t="shared" si="3"/>
        <v>3.33558789</v>
      </c>
      <c r="X44" s="2">
        <f t="shared" si="4"/>
        <v>3.271586345</v>
      </c>
      <c r="Y44" s="2">
        <f t="shared" ref="Y44:Z44" si="47">_xlfn.NORM.S.DIST(W44)</f>
        <v>0.9995744038</v>
      </c>
      <c r="Z44" s="2">
        <f t="shared" si="47"/>
        <v>0.9994652704</v>
      </c>
      <c r="AA44" s="2">
        <f t="shared" si="6"/>
        <v>131.55</v>
      </c>
    </row>
    <row r="45" ht="14.25" customHeight="1">
      <c r="A45" s="2" t="s">
        <v>26</v>
      </c>
      <c r="B45" s="2" t="s">
        <v>27</v>
      </c>
      <c r="C45" s="2" t="s">
        <v>52</v>
      </c>
      <c r="D45" s="2" t="s">
        <v>29</v>
      </c>
      <c r="E45" s="2">
        <v>560.0</v>
      </c>
      <c r="F45" s="2" t="s">
        <v>30</v>
      </c>
      <c r="G45" s="2">
        <v>131.3</v>
      </c>
      <c r="I45" s="2">
        <v>133.8</v>
      </c>
      <c r="K45" s="2">
        <v>0.0</v>
      </c>
      <c r="L45" s="2">
        <v>0.0</v>
      </c>
      <c r="M45" s="2" t="s">
        <v>75</v>
      </c>
      <c r="N45" s="2">
        <v>0.9976</v>
      </c>
      <c r="O45" s="2">
        <v>0.0</v>
      </c>
      <c r="P45" s="2">
        <v>12.0304</v>
      </c>
      <c r="Q45" s="2">
        <v>0.0206</v>
      </c>
      <c r="R45" s="2">
        <v>0.1494</v>
      </c>
      <c r="S45" s="2">
        <v>694.150024</v>
      </c>
      <c r="T45" s="2">
        <v>45.0</v>
      </c>
      <c r="V45" s="2">
        <f t="shared" si="2"/>
        <v>134.2233532</v>
      </c>
      <c r="W45" s="2">
        <f t="shared" si="3"/>
        <v>3.401568889</v>
      </c>
      <c r="X45" s="2">
        <f t="shared" si="4"/>
        <v>3.338435866</v>
      </c>
      <c r="Y45" s="2">
        <f t="shared" ref="Y45:Z45" si="48">_xlfn.NORM.S.DIST(W45)</f>
        <v>0.9996649988</v>
      </c>
      <c r="Z45" s="2">
        <f t="shared" si="48"/>
        <v>0.9995787426</v>
      </c>
      <c r="AA45" s="2">
        <f t="shared" si="6"/>
        <v>132.55</v>
      </c>
    </row>
    <row r="46" ht="14.25" customHeight="1">
      <c r="A46" s="2" t="s">
        <v>26</v>
      </c>
      <c r="B46" s="2" t="s">
        <v>27</v>
      </c>
      <c r="C46" s="2" t="s">
        <v>52</v>
      </c>
      <c r="D46" s="2" t="s">
        <v>29</v>
      </c>
      <c r="E46" s="2">
        <v>560.0</v>
      </c>
      <c r="F46" s="2" t="s">
        <v>30</v>
      </c>
      <c r="G46" s="2">
        <v>132.8</v>
      </c>
      <c r="I46" s="2">
        <v>136.0</v>
      </c>
      <c r="K46" s="2">
        <v>0.0</v>
      </c>
      <c r="L46" s="2">
        <v>0.0</v>
      </c>
      <c r="M46" s="2" t="s">
        <v>76</v>
      </c>
      <c r="N46" s="2">
        <v>0.9977</v>
      </c>
      <c r="O46" s="2">
        <v>0.0</v>
      </c>
      <c r="P46" s="2">
        <v>11.7108</v>
      </c>
      <c r="Q46" s="2">
        <v>0.0161</v>
      </c>
      <c r="R46" s="2">
        <v>0.1508</v>
      </c>
      <c r="S46" s="2">
        <v>695.820007</v>
      </c>
      <c r="T46" s="2">
        <v>44.0</v>
      </c>
      <c r="V46" s="2">
        <f t="shared" si="2"/>
        <v>135.8912449</v>
      </c>
      <c r="W46" s="2">
        <f t="shared" si="3"/>
        <v>3.446203262</v>
      </c>
      <c r="X46" s="2">
        <f t="shared" si="4"/>
        <v>3.383190661</v>
      </c>
      <c r="Y46" s="2">
        <f t="shared" ref="Y46:Z46" si="49">_xlfn.NORM.S.DIST(W46)</f>
        <v>0.9997157387</v>
      </c>
      <c r="Z46" s="2">
        <f t="shared" si="49"/>
        <v>0.9996417556</v>
      </c>
      <c r="AA46" s="2">
        <f t="shared" si="6"/>
        <v>134.4</v>
      </c>
    </row>
    <row r="47" ht="14.25" customHeight="1">
      <c r="A47" s="2" t="s">
        <v>26</v>
      </c>
      <c r="B47" s="2" t="s">
        <v>27</v>
      </c>
      <c r="C47" s="2" t="s">
        <v>52</v>
      </c>
      <c r="D47" s="2" t="s">
        <v>29</v>
      </c>
      <c r="E47" s="2">
        <v>560.0</v>
      </c>
      <c r="F47" s="2" t="s">
        <v>30</v>
      </c>
      <c r="G47" s="2">
        <v>135.5</v>
      </c>
      <c r="I47" s="2">
        <v>137.8</v>
      </c>
      <c r="K47" s="2">
        <v>0.0</v>
      </c>
      <c r="L47" s="2">
        <v>0.0</v>
      </c>
      <c r="M47" s="2" t="s">
        <v>77</v>
      </c>
      <c r="N47" s="2">
        <v>0.9978</v>
      </c>
      <c r="O47" s="2">
        <v>0.0</v>
      </c>
      <c r="P47" s="2">
        <v>11.6259</v>
      </c>
      <c r="Q47" s="2">
        <v>0.0011</v>
      </c>
      <c r="R47" s="2">
        <v>0.1353</v>
      </c>
      <c r="S47" s="2">
        <v>698.27002</v>
      </c>
      <c r="T47" s="2">
        <v>43.0</v>
      </c>
      <c r="V47" s="2">
        <f t="shared" si="2"/>
        <v>138.3372127</v>
      </c>
      <c r="W47" s="2">
        <f t="shared" si="3"/>
        <v>3.948296462</v>
      </c>
      <c r="X47" s="2">
        <f t="shared" si="4"/>
        <v>3.892406765</v>
      </c>
      <c r="Y47" s="2">
        <f t="shared" ref="Y47:Z47" si="50">_xlfn.NORM.S.DIST(W47)</f>
        <v>0.9999606454</v>
      </c>
      <c r="Z47" s="2">
        <f t="shared" si="50"/>
        <v>0.9999503727</v>
      </c>
      <c r="AA47" s="2">
        <f t="shared" si="6"/>
        <v>136.65</v>
      </c>
    </row>
    <row r="48" ht="14.25" customHeight="1">
      <c r="A48" s="2" t="s">
        <v>26</v>
      </c>
      <c r="B48" s="2" t="s">
        <v>27</v>
      </c>
      <c r="C48" s="2" t="s">
        <v>52</v>
      </c>
      <c r="D48" s="2" t="s">
        <v>29</v>
      </c>
      <c r="E48" s="2">
        <v>560.0</v>
      </c>
      <c r="F48" s="2" t="s">
        <v>30</v>
      </c>
      <c r="G48" s="2">
        <v>138.4</v>
      </c>
      <c r="I48" s="2">
        <v>140.7</v>
      </c>
      <c r="K48" s="2">
        <v>0.0</v>
      </c>
      <c r="L48" s="2">
        <v>0.0</v>
      </c>
      <c r="M48" s="2" t="s">
        <v>78</v>
      </c>
      <c r="N48" s="2">
        <v>0.999</v>
      </c>
      <c r="O48" s="2">
        <v>0.0</v>
      </c>
      <c r="P48" s="2">
        <v>5.0555</v>
      </c>
      <c r="Q48" s="2">
        <v>0.0</v>
      </c>
      <c r="R48" s="2">
        <v>0.1091</v>
      </c>
      <c r="S48" s="2">
        <v>700.76001</v>
      </c>
      <c r="T48" s="2">
        <v>40.0</v>
      </c>
      <c r="V48" s="2">
        <f t="shared" si="2"/>
        <v>140.8222294</v>
      </c>
      <c r="W48" s="2">
        <f t="shared" si="3"/>
        <v>5.15865763</v>
      </c>
      <c r="X48" s="2">
        <f t="shared" si="4"/>
        <v>5.11519115</v>
      </c>
      <c r="Y48" s="2">
        <f t="shared" ref="Y48:Z48" si="51">_xlfn.NORM.S.DIST(W48)</f>
        <v>0.9999998756</v>
      </c>
      <c r="Z48" s="2">
        <f t="shared" si="51"/>
        <v>0.9999998433</v>
      </c>
      <c r="AA48" s="2">
        <f t="shared" si="6"/>
        <v>139.55</v>
      </c>
    </row>
    <row r="49" ht="14.25" customHeight="1">
      <c r="A49" s="2" t="s">
        <v>26</v>
      </c>
      <c r="B49" s="2" t="s">
        <v>27</v>
      </c>
      <c r="C49" s="2" t="s">
        <v>52</v>
      </c>
      <c r="D49" s="2" t="s">
        <v>29</v>
      </c>
      <c r="E49" s="2">
        <v>560.0</v>
      </c>
      <c r="F49" s="2" t="s">
        <v>30</v>
      </c>
      <c r="G49" s="2">
        <v>136.2</v>
      </c>
      <c r="I49" s="2">
        <v>138.5</v>
      </c>
      <c r="K49" s="2">
        <v>0.0</v>
      </c>
      <c r="L49" s="2">
        <v>0.0</v>
      </c>
      <c r="M49" s="2" t="s">
        <v>79</v>
      </c>
      <c r="N49" s="2">
        <v>1.0</v>
      </c>
      <c r="O49" s="2">
        <v>0.0</v>
      </c>
      <c r="P49" s="2">
        <v>-1.5782</v>
      </c>
      <c r="Q49" s="2">
        <v>0.0</v>
      </c>
      <c r="R49" s="2">
        <v>0.0949</v>
      </c>
      <c r="S49" s="2">
        <v>698.309998</v>
      </c>
      <c r="T49" s="2">
        <v>39.0</v>
      </c>
      <c r="V49" s="2">
        <f t="shared" si="2"/>
        <v>138.3706614</v>
      </c>
      <c r="W49" s="2">
        <f t="shared" si="3"/>
        <v>5.912292661</v>
      </c>
      <c r="X49" s="2">
        <f t="shared" si="4"/>
        <v>5.874959201</v>
      </c>
      <c r="Y49" s="2">
        <f t="shared" ref="Y49:Z49" si="52">_xlfn.NORM.S.DIST(W49)</f>
        <v>0.9999999983</v>
      </c>
      <c r="Z49" s="2">
        <f t="shared" si="52"/>
        <v>0.9999999979</v>
      </c>
      <c r="AA49" s="2">
        <f t="shared" si="6"/>
        <v>137.35</v>
      </c>
    </row>
    <row r="50" ht="14.25" customHeight="1">
      <c r="A50" s="2" t="s">
        <v>26</v>
      </c>
      <c r="B50" s="2" t="s">
        <v>27</v>
      </c>
      <c r="C50" s="2" t="s">
        <v>52</v>
      </c>
      <c r="D50" s="2" t="s">
        <v>29</v>
      </c>
      <c r="E50" s="2">
        <v>560.0</v>
      </c>
      <c r="F50" s="2" t="s">
        <v>30</v>
      </c>
      <c r="G50" s="2">
        <v>137.4</v>
      </c>
      <c r="I50" s="2">
        <v>139.2</v>
      </c>
      <c r="K50" s="2">
        <v>0.0</v>
      </c>
      <c r="L50" s="2">
        <v>0.0</v>
      </c>
      <c r="M50" s="2" t="s">
        <v>80</v>
      </c>
      <c r="N50" s="2">
        <v>1.0</v>
      </c>
      <c r="O50" s="2">
        <v>0.0</v>
      </c>
      <c r="P50" s="2">
        <v>-1.5782</v>
      </c>
      <c r="Q50" s="2">
        <v>0.0</v>
      </c>
      <c r="R50" s="2">
        <v>0.1256</v>
      </c>
      <c r="S50" s="2">
        <v>698.619995</v>
      </c>
      <c r="T50" s="2">
        <v>38.0</v>
      </c>
      <c r="V50" s="2">
        <f t="shared" si="2"/>
        <v>138.6791205</v>
      </c>
      <c r="W50" s="2">
        <f t="shared" si="3"/>
        <v>4.534666828</v>
      </c>
      <c r="X50" s="2">
        <f t="shared" si="4"/>
        <v>4.485893637</v>
      </c>
      <c r="Y50" s="2">
        <f t="shared" ref="Y50:Z50" si="53">_xlfn.NORM.S.DIST(W50)</f>
        <v>0.9999971153</v>
      </c>
      <c r="Z50" s="2">
        <f t="shared" si="53"/>
        <v>0.9999963696</v>
      </c>
      <c r="AA50" s="2">
        <f t="shared" si="6"/>
        <v>138.3</v>
      </c>
    </row>
    <row r="51" ht="14.25" customHeight="1">
      <c r="A51" s="2" t="s">
        <v>26</v>
      </c>
      <c r="B51" s="2" t="s">
        <v>27</v>
      </c>
      <c r="C51" s="2" t="s">
        <v>52</v>
      </c>
      <c r="D51" s="2" t="s">
        <v>29</v>
      </c>
      <c r="E51" s="2">
        <v>560.0</v>
      </c>
      <c r="F51" s="2" t="s">
        <v>30</v>
      </c>
      <c r="G51" s="2">
        <v>141.0</v>
      </c>
      <c r="I51" s="2">
        <v>142.8</v>
      </c>
      <c r="K51" s="2">
        <v>0.0</v>
      </c>
      <c r="L51" s="2">
        <v>0.0</v>
      </c>
      <c r="M51" s="2" t="s">
        <v>81</v>
      </c>
      <c r="N51" s="2">
        <v>0.9991</v>
      </c>
      <c r="O51" s="2">
        <v>0.0</v>
      </c>
      <c r="P51" s="2">
        <v>5.0744</v>
      </c>
      <c r="Q51" s="2">
        <v>0.0</v>
      </c>
      <c r="R51" s="2">
        <v>0.1178</v>
      </c>
      <c r="S51" s="2">
        <v>702.719971</v>
      </c>
      <c r="T51" s="2">
        <v>37.0</v>
      </c>
      <c r="V51" s="2">
        <f t="shared" si="2"/>
        <v>142.7775249</v>
      </c>
      <c r="W51" s="2">
        <f t="shared" si="3"/>
        <v>5.029461393</v>
      </c>
      <c r="X51" s="2">
        <f t="shared" si="4"/>
        <v>4.984323022</v>
      </c>
      <c r="Y51" s="2">
        <f t="shared" ref="Y51:Z51" si="54">_xlfn.NORM.S.DIST(W51)</f>
        <v>0.9999997541</v>
      </c>
      <c r="Z51" s="2">
        <f t="shared" si="54"/>
        <v>0.9999996891</v>
      </c>
      <c r="AA51" s="2">
        <f t="shared" si="6"/>
        <v>141.9</v>
      </c>
    </row>
    <row r="52" ht="14.25" customHeight="1">
      <c r="A52" s="2" t="s">
        <v>26</v>
      </c>
      <c r="B52" s="2" t="s">
        <v>27</v>
      </c>
      <c r="C52" s="2" t="s">
        <v>52</v>
      </c>
      <c r="D52" s="2" t="s">
        <v>29</v>
      </c>
      <c r="E52" s="2">
        <v>560.0</v>
      </c>
      <c r="F52" s="2" t="s">
        <v>30</v>
      </c>
      <c r="G52" s="2">
        <v>139.6</v>
      </c>
      <c r="I52" s="2">
        <v>141.4</v>
      </c>
      <c r="K52" s="2">
        <v>0.0</v>
      </c>
      <c r="L52" s="2">
        <v>0.0</v>
      </c>
      <c r="M52" s="2" t="s">
        <v>82</v>
      </c>
      <c r="N52" s="2">
        <v>1.0</v>
      </c>
      <c r="O52" s="2">
        <v>0.0</v>
      </c>
      <c r="P52" s="2">
        <v>-1.5782</v>
      </c>
      <c r="Q52" s="2">
        <v>0.0</v>
      </c>
      <c r="R52" s="2">
        <v>0.0835</v>
      </c>
      <c r="S52" s="2">
        <v>701.75</v>
      </c>
      <c r="T52" s="2">
        <v>36.0</v>
      </c>
      <c r="V52" s="2">
        <f t="shared" si="2"/>
        <v>141.8059972</v>
      </c>
      <c r="W52" s="2">
        <f t="shared" si="3"/>
        <v>7.149562485</v>
      </c>
      <c r="X52" s="2">
        <f t="shared" si="4"/>
        <v>7.118002452</v>
      </c>
      <c r="Y52" s="2">
        <f t="shared" ref="Y52:Z52" si="55">_xlfn.NORM.S.DIST(W52)</f>
        <v>1</v>
      </c>
      <c r="Z52" s="2">
        <f t="shared" si="55"/>
        <v>1</v>
      </c>
      <c r="AA52" s="2">
        <f t="shared" si="6"/>
        <v>140.5</v>
      </c>
    </row>
    <row r="53" ht="14.25" customHeight="1">
      <c r="A53" s="2" t="s">
        <v>26</v>
      </c>
      <c r="B53" s="2" t="s">
        <v>27</v>
      </c>
      <c r="C53" s="2" t="s">
        <v>52</v>
      </c>
      <c r="D53" s="2" t="s">
        <v>29</v>
      </c>
      <c r="E53" s="2">
        <v>560.0</v>
      </c>
      <c r="F53" s="2" t="s">
        <v>30</v>
      </c>
      <c r="G53" s="2">
        <v>137.4</v>
      </c>
      <c r="I53" s="2">
        <v>139.2</v>
      </c>
      <c r="K53" s="2">
        <v>0.0</v>
      </c>
      <c r="L53" s="2">
        <v>0.0</v>
      </c>
      <c r="M53" s="2" t="s">
        <v>83</v>
      </c>
      <c r="N53" s="2">
        <v>1.0</v>
      </c>
      <c r="O53" s="2">
        <v>0.0</v>
      </c>
      <c r="P53" s="2">
        <v>-1.5806</v>
      </c>
      <c r="Q53" s="2">
        <v>0.0025</v>
      </c>
      <c r="R53" s="2">
        <v>0.1634</v>
      </c>
      <c r="S53" s="2">
        <v>698.0</v>
      </c>
      <c r="T53" s="2">
        <v>33.0</v>
      </c>
      <c r="V53" s="2">
        <f t="shared" si="2"/>
        <v>138.0521796</v>
      </c>
      <c r="W53" s="2">
        <f t="shared" si="3"/>
        <v>3.725382655</v>
      </c>
      <c r="X53" s="2">
        <f t="shared" si="4"/>
        <v>3.666252536</v>
      </c>
      <c r="Y53" s="2">
        <f t="shared" ref="Y53:Z53" si="56">_xlfn.NORM.S.DIST(W53)</f>
        <v>0.9999024904</v>
      </c>
      <c r="Z53" s="2">
        <f t="shared" si="56"/>
        <v>0.9998769346</v>
      </c>
      <c r="AA53" s="2">
        <f t="shared" si="6"/>
        <v>138.3</v>
      </c>
    </row>
    <row r="54" ht="14.25" customHeight="1">
      <c r="A54" s="2" t="s">
        <v>26</v>
      </c>
      <c r="B54" s="2" t="s">
        <v>27</v>
      </c>
      <c r="C54" s="2" t="s">
        <v>52</v>
      </c>
      <c r="D54" s="2" t="s">
        <v>29</v>
      </c>
      <c r="E54" s="2">
        <v>560.0</v>
      </c>
      <c r="F54" s="2" t="s">
        <v>30</v>
      </c>
      <c r="G54" s="2">
        <v>135.4</v>
      </c>
      <c r="I54" s="2">
        <v>137.7</v>
      </c>
      <c r="K54" s="2">
        <v>0.0</v>
      </c>
      <c r="L54" s="2">
        <v>0.0</v>
      </c>
      <c r="M54" s="2" t="s">
        <v>84</v>
      </c>
      <c r="N54" s="2">
        <v>1.0</v>
      </c>
      <c r="O54" s="2">
        <v>0.0</v>
      </c>
      <c r="P54" s="2">
        <v>-1.5783</v>
      </c>
      <c r="Q54" s="2">
        <v>0.0</v>
      </c>
      <c r="R54" s="2">
        <v>0.1382</v>
      </c>
      <c r="S54" s="2">
        <v>696.909973</v>
      </c>
      <c r="T54" s="2">
        <v>32.0</v>
      </c>
      <c r="V54" s="2">
        <f t="shared" si="2"/>
        <v>136.9597765</v>
      </c>
      <c r="W54" s="2">
        <f t="shared" si="3"/>
        <v>4.441244202</v>
      </c>
      <c r="X54" s="2">
        <f t="shared" si="4"/>
        <v>4.391996864</v>
      </c>
      <c r="Y54" s="2">
        <f t="shared" ref="Y54:Z54" si="57">_xlfn.NORM.S.DIST(W54)</f>
        <v>0.999995528</v>
      </c>
      <c r="Z54" s="2">
        <f t="shared" si="57"/>
        <v>0.9999943843</v>
      </c>
      <c r="AA54" s="2">
        <f t="shared" si="6"/>
        <v>136.55</v>
      </c>
    </row>
    <row r="55" ht="14.25" customHeight="1">
      <c r="A55" s="2" t="s">
        <v>26</v>
      </c>
      <c r="B55" s="2" t="s">
        <v>27</v>
      </c>
      <c r="C55" s="2" t="s">
        <v>52</v>
      </c>
      <c r="D55" s="2" t="s">
        <v>29</v>
      </c>
      <c r="E55" s="2">
        <v>560.0</v>
      </c>
      <c r="F55" s="2" t="s">
        <v>30</v>
      </c>
      <c r="G55" s="2">
        <v>0.0</v>
      </c>
      <c r="I55" s="2">
        <v>0.0</v>
      </c>
      <c r="K55" s="2">
        <v>0.0</v>
      </c>
      <c r="L55" s="2">
        <v>0.0</v>
      </c>
      <c r="M55" s="2" t="s">
        <v>85</v>
      </c>
      <c r="N55" s="2">
        <v>0.9992</v>
      </c>
      <c r="O55" s="2">
        <v>0.0</v>
      </c>
      <c r="P55" s="2">
        <v>5.2768</v>
      </c>
      <c r="Q55" s="2">
        <v>0.0</v>
      </c>
      <c r="R55" s="2">
        <v>0.0917</v>
      </c>
      <c r="S55" s="2">
        <v>700.559998</v>
      </c>
      <c r="T55" s="2">
        <v>31.0</v>
      </c>
      <c r="V55" s="2">
        <f t="shared" si="2"/>
        <v>140.6082181</v>
      </c>
      <c r="W55" s="2">
        <f t="shared" si="3"/>
        <v>6.962865771</v>
      </c>
      <c r="X55" s="2">
        <f t="shared" si="4"/>
        <v>6.930703263</v>
      </c>
      <c r="Y55" s="2">
        <f t="shared" ref="Y55:Z55" si="58">_xlfn.NORM.S.DIST(W55)</f>
        <v>1</v>
      </c>
      <c r="Z55" s="2">
        <f t="shared" si="58"/>
        <v>1</v>
      </c>
      <c r="AA55" s="2">
        <f t="shared" si="6"/>
        <v>0</v>
      </c>
    </row>
    <row r="56" ht="14.25" customHeight="1">
      <c r="A56" s="2" t="s">
        <v>26</v>
      </c>
      <c r="B56" s="2" t="s">
        <v>27</v>
      </c>
      <c r="C56" s="2" t="s">
        <v>52</v>
      </c>
      <c r="D56" s="2" t="s">
        <v>29</v>
      </c>
      <c r="E56" s="2">
        <v>560.0</v>
      </c>
      <c r="F56" s="2" t="s">
        <v>30</v>
      </c>
      <c r="G56" s="2">
        <v>133.0</v>
      </c>
      <c r="I56" s="2">
        <v>135.1</v>
      </c>
      <c r="K56" s="2">
        <v>0.0</v>
      </c>
      <c r="L56" s="2">
        <v>0.0</v>
      </c>
      <c r="M56" s="2" t="s">
        <v>86</v>
      </c>
      <c r="N56" s="2">
        <v>0.9992</v>
      </c>
      <c r="O56" s="2">
        <v>0.0</v>
      </c>
      <c r="P56" s="2">
        <v>5.0042</v>
      </c>
      <c r="Q56" s="2">
        <v>2.0E-4</v>
      </c>
      <c r="R56" s="2">
        <v>0.1502</v>
      </c>
      <c r="S56" s="2">
        <v>694.809998</v>
      </c>
      <c r="T56" s="2">
        <v>30.0</v>
      </c>
      <c r="V56" s="2">
        <f t="shared" si="2"/>
        <v>134.8567722</v>
      </c>
      <c r="W56" s="2">
        <f t="shared" si="3"/>
        <v>4.162202043</v>
      </c>
      <c r="X56" s="2">
        <f t="shared" si="4"/>
        <v>4.110378119</v>
      </c>
      <c r="Y56" s="2">
        <f t="shared" ref="Y56:Z56" si="59">_xlfn.NORM.S.DIST(W56)</f>
        <v>0.9999842403</v>
      </c>
      <c r="Z56" s="2">
        <f t="shared" si="59"/>
        <v>0.9999802494</v>
      </c>
      <c r="AA56" s="2">
        <f t="shared" si="6"/>
        <v>134.05</v>
      </c>
    </row>
    <row r="57" ht="14.25" customHeight="1">
      <c r="A57" s="2" t="s">
        <v>26</v>
      </c>
      <c r="B57" s="2" t="s">
        <v>27</v>
      </c>
      <c r="C57" s="2" t="s">
        <v>52</v>
      </c>
      <c r="D57" s="2" t="s">
        <v>29</v>
      </c>
      <c r="E57" s="2">
        <v>560.0</v>
      </c>
      <c r="F57" s="2" t="s">
        <v>30</v>
      </c>
      <c r="G57" s="2">
        <v>139.1</v>
      </c>
      <c r="I57" s="2">
        <v>141.0</v>
      </c>
      <c r="K57" s="2">
        <v>0.0</v>
      </c>
      <c r="L57" s="2">
        <v>0.0</v>
      </c>
      <c r="M57" s="2" t="s">
        <v>87</v>
      </c>
      <c r="N57" s="2">
        <v>0.9985</v>
      </c>
      <c r="O57" s="2">
        <v>0.0</v>
      </c>
      <c r="P57" s="2">
        <v>11.6856</v>
      </c>
      <c r="Q57" s="2">
        <v>0.0011</v>
      </c>
      <c r="R57" s="2">
        <v>0.1699</v>
      </c>
      <c r="S57" s="2">
        <v>700.570007</v>
      </c>
      <c r="T57" s="2">
        <v>29.0</v>
      </c>
      <c r="V57" s="2">
        <f t="shared" si="2"/>
        <v>140.6155353</v>
      </c>
      <c r="W57" s="2">
        <f t="shared" si="3"/>
        <v>3.885738173</v>
      </c>
      <c r="X57" s="2">
        <f t="shared" si="4"/>
        <v>3.828102402</v>
      </c>
      <c r="Y57" s="2">
        <f t="shared" ref="Y57:Z57" si="60">_xlfn.NORM.S.DIST(W57)</f>
        <v>0.9999489903</v>
      </c>
      <c r="Z57" s="2">
        <f t="shared" si="60"/>
        <v>0.9999354325</v>
      </c>
      <c r="AA57" s="2">
        <f t="shared" si="6"/>
        <v>140.05</v>
      </c>
    </row>
    <row r="58" ht="14.25" customHeight="1">
      <c r="A58" s="2" t="s">
        <v>26</v>
      </c>
      <c r="B58" s="2" t="s">
        <v>27</v>
      </c>
      <c r="C58" s="2" t="s">
        <v>52</v>
      </c>
      <c r="D58" s="2" t="s">
        <v>29</v>
      </c>
      <c r="E58" s="2">
        <v>560.0</v>
      </c>
      <c r="F58" s="2" t="s">
        <v>30</v>
      </c>
      <c r="G58" s="2">
        <v>137.4</v>
      </c>
      <c r="I58" s="2">
        <v>139.2</v>
      </c>
      <c r="K58" s="2">
        <v>0.0</v>
      </c>
      <c r="L58" s="2">
        <v>0.0</v>
      </c>
      <c r="M58" s="2" t="s">
        <v>88</v>
      </c>
      <c r="N58" s="2">
        <v>0.9986</v>
      </c>
      <c r="O58" s="2">
        <v>0.0</v>
      </c>
      <c r="P58" s="2">
        <v>11.7516</v>
      </c>
      <c r="Q58" s="2">
        <v>0.0423</v>
      </c>
      <c r="R58" s="2">
        <v>0.2174</v>
      </c>
      <c r="S58" s="2">
        <v>698.289978</v>
      </c>
      <c r="T58" s="2">
        <v>26.0</v>
      </c>
      <c r="V58" s="2">
        <f t="shared" si="2"/>
        <v>138.3396584</v>
      </c>
      <c r="W58" s="2">
        <f t="shared" si="3"/>
        <v>3.160471022</v>
      </c>
      <c r="X58" s="2">
        <f t="shared" si="4"/>
        <v>3.090640395</v>
      </c>
      <c r="Y58" s="2">
        <f t="shared" ref="Y58:Z58" si="61">_xlfn.NORM.S.DIST(W58)</f>
        <v>0.9992124286</v>
      </c>
      <c r="Z58" s="2">
        <f t="shared" si="61"/>
        <v>0.9990013732</v>
      </c>
      <c r="AA58" s="2">
        <f t="shared" si="6"/>
        <v>138.3</v>
      </c>
    </row>
    <row r="59" ht="14.25" customHeight="1">
      <c r="A59" s="2" t="s">
        <v>26</v>
      </c>
      <c r="B59" s="2" t="s">
        <v>27</v>
      </c>
      <c r="C59" s="2" t="s">
        <v>52</v>
      </c>
      <c r="D59" s="2" t="s">
        <v>29</v>
      </c>
      <c r="E59" s="2">
        <v>560.0</v>
      </c>
      <c r="F59" s="2" t="s">
        <v>30</v>
      </c>
      <c r="G59" s="2">
        <v>142.3</v>
      </c>
      <c r="I59" s="2">
        <v>144.1</v>
      </c>
      <c r="K59" s="2">
        <v>0.0</v>
      </c>
      <c r="L59" s="2">
        <v>0.0</v>
      </c>
      <c r="M59" s="2" t="s">
        <v>89</v>
      </c>
      <c r="N59" s="2">
        <v>0.9987</v>
      </c>
      <c r="O59" s="2">
        <v>0.0</v>
      </c>
      <c r="P59" s="2">
        <v>12.066</v>
      </c>
      <c r="Q59" s="2">
        <v>0.0</v>
      </c>
      <c r="R59" s="2">
        <v>0.1492</v>
      </c>
      <c r="S59" s="2">
        <v>703.73999</v>
      </c>
      <c r="T59" s="2">
        <v>25.0</v>
      </c>
      <c r="V59" s="2">
        <f t="shared" si="2"/>
        <v>143.7788808</v>
      </c>
      <c r="W59" s="2">
        <f t="shared" si="3"/>
        <v>4.861773846</v>
      </c>
      <c r="X59" s="2">
        <f t="shared" si="4"/>
        <v>4.814780263</v>
      </c>
      <c r="Y59" s="2">
        <f t="shared" ref="Y59:Z59" si="62">_xlfn.NORM.S.DIST(W59)</f>
        <v>0.9999994183</v>
      </c>
      <c r="Z59" s="2">
        <f t="shared" si="62"/>
        <v>0.9999992632</v>
      </c>
      <c r="AA59" s="2">
        <f t="shared" si="6"/>
        <v>143.2</v>
      </c>
    </row>
    <row r="60" ht="14.25" customHeight="1">
      <c r="A60" s="2" t="s">
        <v>26</v>
      </c>
      <c r="B60" s="2" t="s">
        <v>27</v>
      </c>
      <c r="C60" s="2" t="s">
        <v>52</v>
      </c>
      <c r="D60" s="2" t="s">
        <v>29</v>
      </c>
      <c r="E60" s="2">
        <v>560.0</v>
      </c>
      <c r="F60" s="2" t="s">
        <v>30</v>
      </c>
      <c r="G60" s="2">
        <v>140.8</v>
      </c>
      <c r="I60" s="2">
        <v>142.6</v>
      </c>
      <c r="K60" s="2">
        <v>0.0</v>
      </c>
      <c r="L60" s="2">
        <v>0.0</v>
      </c>
      <c r="M60" s="2" t="s">
        <v>90</v>
      </c>
      <c r="N60" s="2">
        <v>0.9987</v>
      </c>
      <c r="O60" s="2">
        <v>0.0</v>
      </c>
      <c r="P60" s="2">
        <v>12.1931</v>
      </c>
      <c r="Q60" s="2">
        <v>0.0</v>
      </c>
      <c r="R60" s="2">
        <v>0.1387</v>
      </c>
      <c r="S60" s="2">
        <v>702.919983</v>
      </c>
      <c r="T60" s="2">
        <v>24.0</v>
      </c>
      <c r="V60" s="2">
        <f t="shared" si="2"/>
        <v>142.9573153</v>
      </c>
      <c r="W60" s="2">
        <f t="shared" si="3"/>
        <v>5.310429185</v>
      </c>
      <c r="X60" s="2">
        <f t="shared" si="4"/>
        <v>5.267625436</v>
      </c>
      <c r="Y60" s="2">
        <f t="shared" ref="Y60:Z60" si="63">_xlfn.NORM.S.DIST(W60)</f>
        <v>0.9999999453</v>
      </c>
      <c r="Z60" s="2">
        <f t="shared" si="63"/>
        <v>0.9999999309</v>
      </c>
      <c r="AA60" s="2">
        <f t="shared" si="6"/>
        <v>141.7</v>
      </c>
    </row>
    <row r="61" ht="14.25" customHeight="1">
      <c r="A61" s="2" t="s">
        <v>26</v>
      </c>
      <c r="B61" s="2" t="s">
        <v>27</v>
      </c>
      <c r="C61" s="2" t="s">
        <v>52</v>
      </c>
      <c r="D61" s="2" t="s">
        <v>29</v>
      </c>
      <c r="E61" s="2">
        <v>560.0</v>
      </c>
      <c r="F61" s="2" t="s">
        <v>30</v>
      </c>
      <c r="G61" s="2">
        <v>139.8</v>
      </c>
      <c r="I61" s="2">
        <v>146.7</v>
      </c>
      <c r="K61" s="2">
        <v>0.0</v>
      </c>
      <c r="L61" s="2">
        <v>0.0</v>
      </c>
      <c r="M61" s="2" t="s">
        <v>91</v>
      </c>
      <c r="N61" s="2">
        <v>0.9988</v>
      </c>
      <c r="O61" s="2">
        <v>0.0</v>
      </c>
      <c r="P61" s="2">
        <v>11.941</v>
      </c>
      <c r="Q61" s="2">
        <v>0.0</v>
      </c>
      <c r="R61" s="2">
        <v>0.125</v>
      </c>
      <c r="S61" s="2">
        <v>704.570007</v>
      </c>
      <c r="T61" s="2">
        <v>23.0</v>
      </c>
      <c r="V61" s="2">
        <f t="shared" si="2"/>
        <v>144.6057836</v>
      </c>
      <c r="W61" s="2">
        <f t="shared" si="3"/>
        <v>6.08127324</v>
      </c>
      <c r="X61" s="2">
        <f t="shared" si="4"/>
        <v>6.043509617</v>
      </c>
      <c r="Y61" s="2">
        <f t="shared" ref="Y61:Z61" si="64">_xlfn.NORM.S.DIST(W61)</f>
        <v>0.9999999994</v>
      </c>
      <c r="Z61" s="2">
        <f t="shared" si="64"/>
        <v>0.9999999992</v>
      </c>
      <c r="AA61" s="2">
        <f t="shared" si="6"/>
        <v>143.25</v>
      </c>
    </row>
    <row r="62" ht="14.25" customHeight="1">
      <c r="A62" s="2" t="s">
        <v>26</v>
      </c>
      <c r="B62" s="2" t="s">
        <v>27</v>
      </c>
      <c r="C62" s="2" t="s">
        <v>52</v>
      </c>
      <c r="D62" s="2" t="s">
        <v>29</v>
      </c>
      <c r="E62" s="2">
        <v>560.0</v>
      </c>
      <c r="F62" s="2" t="s">
        <v>30</v>
      </c>
      <c r="G62" s="2">
        <v>140.4</v>
      </c>
      <c r="I62" s="2">
        <v>142.2</v>
      </c>
      <c r="K62" s="2">
        <v>0.0</v>
      </c>
      <c r="L62" s="2">
        <v>0.0</v>
      </c>
      <c r="M62" s="2" t="s">
        <v>92</v>
      </c>
      <c r="N62" s="2">
        <v>0.9989</v>
      </c>
      <c r="O62" s="2">
        <v>0.0</v>
      </c>
      <c r="P62" s="2">
        <v>13.2709</v>
      </c>
      <c r="Q62" s="2">
        <v>0.0</v>
      </c>
      <c r="R62" s="2">
        <v>0.1489</v>
      </c>
      <c r="S62" s="2">
        <v>702.169983</v>
      </c>
      <c r="T62" s="2">
        <v>19.0</v>
      </c>
      <c r="V62" s="2">
        <f t="shared" si="2"/>
        <v>142.1995378</v>
      </c>
      <c r="W62" s="2">
        <f t="shared" si="3"/>
        <v>5.53344669</v>
      </c>
      <c r="X62" s="2">
        <f t="shared" si="4"/>
        <v>5.492561009</v>
      </c>
      <c r="Y62" s="2">
        <f t="shared" ref="Y62:Z62" si="65">_xlfn.NORM.S.DIST(W62)</f>
        <v>0.9999999843</v>
      </c>
      <c r="Z62" s="2">
        <f t="shared" si="65"/>
        <v>0.9999999802</v>
      </c>
      <c r="AA62" s="2">
        <f t="shared" si="6"/>
        <v>141.3</v>
      </c>
    </row>
    <row r="63" ht="14.25" customHeight="1">
      <c r="A63" s="2" t="s">
        <v>26</v>
      </c>
      <c r="B63" s="2" t="s">
        <v>27</v>
      </c>
      <c r="C63" s="2" t="s">
        <v>52</v>
      </c>
      <c r="D63" s="2" t="s">
        <v>29</v>
      </c>
      <c r="E63" s="2">
        <v>560.0</v>
      </c>
      <c r="F63" s="2" t="s">
        <v>30</v>
      </c>
      <c r="G63" s="2">
        <v>145.3</v>
      </c>
      <c r="I63" s="2">
        <v>147.1</v>
      </c>
      <c r="K63" s="2">
        <v>0.0</v>
      </c>
      <c r="L63" s="2">
        <v>0.0</v>
      </c>
      <c r="M63" s="2" t="s">
        <v>93</v>
      </c>
      <c r="N63" s="2">
        <v>0.9989</v>
      </c>
      <c r="O63" s="2">
        <v>0.0</v>
      </c>
      <c r="P63" s="2">
        <v>14.409</v>
      </c>
      <c r="Q63" s="2">
        <v>0.0</v>
      </c>
      <c r="R63" s="2">
        <v>0.1182</v>
      </c>
      <c r="S63" s="2">
        <v>707.049988</v>
      </c>
      <c r="T63" s="2">
        <v>18.0</v>
      </c>
      <c r="V63" s="2">
        <f t="shared" si="2"/>
        <v>147.0779873</v>
      </c>
      <c r="W63" s="2">
        <f t="shared" si="3"/>
        <v>7.380896686</v>
      </c>
      <c r="X63" s="2">
        <f t="shared" si="4"/>
        <v>7.349306407</v>
      </c>
      <c r="Y63" s="2">
        <f t="shared" ref="Y63:Z63" si="66">_xlfn.NORM.S.DIST(W63)</f>
        <v>1</v>
      </c>
      <c r="Z63" s="2">
        <f t="shared" si="66"/>
        <v>1</v>
      </c>
      <c r="AA63" s="2">
        <f t="shared" si="6"/>
        <v>146.2</v>
      </c>
    </row>
    <row r="64" ht="14.25" customHeight="1">
      <c r="A64" s="2" t="s">
        <v>26</v>
      </c>
      <c r="B64" s="2" t="s">
        <v>27</v>
      </c>
      <c r="C64" s="2" t="s">
        <v>52</v>
      </c>
      <c r="D64" s="2" t="s">
        <v>29</v>
      </c>
      <c r="E64" s="2">
        <v>560.0</v>
      </c>
      <c r="F64" s="2" t="s">
        <v>30</v>
      </c>
      <c r="G64" s="2">
        <v>139.1</v>
      </c>
      <c r="I64" s="2">
        <v>140.9</v>
      </c>
      <c r="K64" s="2">
        <v>0.0</v>
      </c>
      <c r="L64" s="2">
        <v>0.0</v>
      </c>
      <c r="M64" s="2" t="s">
        <v>94</v>
      </c>
      <c r="N64" s="2">
        <v>0.9989</v>
      </c>
      <c r="O64" s="2">
        <v>0.0</v>
      </c>
      <c r="P64" s="2">
        <v>15.2879</v>
      </c>
      <c r="Q64" s="2">
        <v>0.0</v>
      </c>
      <c r="R64" s="2">
        <v>0.1686</v>
      </c>
      <c r="S64" s="2">
        <v>700.549988</v>
      </c>
      <c r="T64" s="2">
        <v>17.0</v>
      </c>
      <c r="V64" s="2">
        <f t="shared" si="2"/>
        <v>140.5764326</v>
      </c>
      <c r="W64" s="2">
        <f t="shared" si="3"/>
        <v>5.113620138</v>
      </c>
      <c r="X64" s="2">
        <f t="shared" si="4"/>
        <v>5.069829451</v>
      </c>
      <c r="Y64" s="2">
        <f t="shared" ref="Y64:Z64" si="67">_xlfn.NORM.S.DIST(W64)</f>
        <v>0.999999842</v>
      </c>
      <c r="Z64" s="2">
        <f t="shared" si="67"/>
        <v>0.9999998009</v>
      </c>
      <c r="AA64" s="2">
        <f t="shared" si="6"/>
        <v>140</v>
      </c>
    </row>
    <row r="65" ht="14.25" customHeight="1">
      <c r="A65" s="2" t="s">
        <v>26</v>
      </c>
      <c r="B65" s="2" t="s">
        <v>27</v>
      </c>
      <c r="C65" s="2" t="s">
        <v>52</v>
      </c>
      <c r="D65" s="2" t="s">
        <v>29</v>
      </c>
      <c r="E65" s="2">
        <v>560.0</v>
      </c>
      <c r="F65" s="2" t="s">
        <v>30</v>
      </c>
      <c r="G65" s="2">
        <v>141.7</v>
      </c>
      <c r="I65" s="2">
        <v>143.5</v>
      </c>
      <c r="K65" s="2">
        <v>0.0</v>
      </c>
      <c r="L65" s="2">
        <v>0.0</v>
      </c>
      <c r="M65" s="2" t="s">
        <v>95</v>
      </c>
      <c r="N65" s="2">
        <v>0.9995</v>
      </c>
      <c r="O65" s="2">
        <v>0.0</v>
      </c>
      <c r="P65" s="2">
        <v>6.9012</v>
      </c>
      <c r="Q65" s="2">
        <v>0.0</v>
      </c>
      <c r="R65" s="2">
        <v>0.1563</v>
      </c>
      <c r="S65" s="2">
        <v>702.969971</v>
      </c>
      <c r="T65" s="2">
        <v>16.0</v>
      </c>
      <c r="V65" s="2">
        <f t="shared" si="2"/>
        <v>142.9948594</v>
      </c>
      <c r="W65" s="2">
        <f t="shared" si="3"/>
        <v>5.773359233</v>
      </c>
      <c r="X65" s="2">
        <f t="shared" si="4"/>
        <v>5.733975335</v>
      </c>
      <c r="Y65" s="2">
        <f t="shared" ref="Y65:Z65" si="68">_xlfn.NORM.S.DIST(W65)</f>
        <v>0.9999999961</v>
      </c>
      <c r="Z65" s="2">
        <f t="shared" si="68"/>
        <v>0.9999999951</v>
      </c>
      <c r="AA65" s="2">
        <f t="shared" si="6"/>
        <v>142.6</v>
      </c>
    </row>
    <row r="66" ht="14.25" customHeight="1">
      <c r="A66" s="2" t="s">
        <v>26</v>
      </c>
      <c r="B66" s="2" t="s">
        <v>27</v>
      </c>
      <c r="C66" s="2" t="s">
        <v>52</v>
      </c>
      <c r="D66" s="2" t="s">
        <v>29</v>
      </c>
      <c r="E66" s="2">
        <v>560.0</v>
      </c>
      <c r="F66" s="2" t="s">
        <v>30</v>
      </c>
      <c r="G66" s="2">
        <v>134.9</v>
      </c>
      <c r="I66" s="2">
        <v>142.5</v>
      </c>
      <c r="K66" s="2">
        <v>0.0</v>
      </c>
      <c r="L66" s="2">
        <v>0.0</v>
      </c>
      <c r="M66" s="2" t="s">
        <v>96</v>
      </c>
      <c r="N66" s="2">
        <v>1.0</v>
      </c>
      <c r="O66" s="2">
        <v>0.0</v>
      </c>
      <c r="P66" s="2">
        <v>-1.5533</v>
      </c>
      <c r="Q66" s="2">
        <v>0.0</v>
      </c>
      <c r="R66" s="2">
        <v>0.1291</v>
      </c>
      <c r="S66" s="2">
        <v>699.48999</v>
      </c>
      <c r="T66" s="2">
        <v>15.0</v>
      </c>
      <c r="V66" s="2">
        <f t="shared" si="2"/>
        <v>139.5133228</v>
      </c>
      <c r="W66" s="2">
        <f t="shared" si="3"/>
        <v>7.061417447</v>
      </c>
      <c r="X66" s="2">
        <f t="shared" si="4"/>
        <v>7.029920272</v>
      </c>
      <c r="Y66" s="2">
        <f t="shared" ref="Y66:Z66" si="69">_xlfn.NORM.S.DIST(W66)</f>
        <v>1</v>
      </c>
      <c r="Z66" s="2">
        <f t="shared" si="69"/>
        <v>1</v>
      </c>
      <c r="AA66" s="2">
        <f t="shared" si="6"/>
        <v>138.7</v>
      </c>
    </row>
    <row r="67" ht="14.25" customHeight="1">
      <c r="A67" s="2" t="s">
        <v>26</v>
      </c>
      <c r="B67" s="2" t="s">
        <v>27</v>
      </c>
      <c r="C67" s="2" t="s">
        <v>52</v>
      </c>
      <c r="D67" s="2" t="s">
        <v>29</v>
      </c>
      <c r="E67" s="2">
        <v>560.0</v>
      </c>
      <c r="F67" s="2" t="s">
        <v>30</v>
      </c>
      <c r="G67" s="2">
        <v>142.4</v>
      </c>
      <c r="I67" s="2">
        <v>144.1</v>
      </c>
      <c r="K67" s="2">
        <v>0.0</v>
      </c>
      <c r="L67" s="2">
        <v>0.0</v>
      </c>
      <c r="M67" s="2" t="s">
        <v>97</v>
      </c>
      <c r="N67" s="2">
        <v>1.0</v>
      </c>
      <c r="O67" s="2">
        <v>0.0</v>
      </c>
      <c r="P67" s="2">
        <v>-1.5533</v>
      </c>
      <c r="Q67" s="2">
        <v>0.0</v>
      </c>
      <c r="R67" s="2">
        <v>0.1571</v>
      </c>
      <c r="S67" s="2">
        <v>703.099976</v>
      </c>
      <c r="T67" s="2">
        <v>12.0</v>
      </c>
      <c r="V67" s="2">
        <f t="shared" si="2"/>
        <v>143.1186424</v>
      </c>
      <c r="W67" s="2">
        <f t="shared" si="3"/>
        <v>6.637947276</v>
      </c>
      <c r="X67" s="2">
        <f t="shared" si="4"/>
        <v>6.603665245</v>
      </c>
      <c r="Y67" s="2">
        <f t="shared" ref="Y67:Z67" si="70">_xlfn.NORM.S.DIST(W67)</f>
        <v>1</v>
      </c>
      <c r="Z67" s="2">
        <f t="shared" si="70"/>
        <v>1</v>
      </c>
      <c r="AA67" s="2">
        <f t="shared" si="6"/>
        <v>143.25</v>
      </c>
    </row>
    <row r="68" ht="14.25" customHeight="1">
      <c r="A68" s="2" t="s">
        <v>26</v>
      </c>
      <c r="B68" s="2" t="s">
        <v>27</v>
      </c>
      <c r="C68" s="2" t="s">
        <v>52</v>
      </c>
      <c r="D68" s="2" t="s">
        <v>29</v>
      </c>
      <c r="E68" s="2">
        <v>560.0</v>
      </c>
      <c r="F68" s="2" t="s">
        <v>30</v>
      </c>
      <c r="G68" s="2">
        <v>145.0</v>
      </c>
      <c r="I68" s="2">
        <v>146.7</v>
      </c>
      <c r="K68" s="2">
        <v>0.0</v>
      </c>
      <c r="L68" s="2">
        <v>0.0</v>
      </c>
      <c r="M68" s="2" t="s">
        <v>98</v>
      </c>
      <c r="N68" s="2">
        <v>1.0</v>
      </c>
      <c r="O68" s="2">
        <v>0.0</v>
      </c>
      <c r="P68" s="2">
        <v>-1.5533</v>
      </c>
      <c r="Q68" s="2">
        <v>0.0</v>
      </c>
      <c r="R68" s="2">
        <v>0.127</v>
      </c>
      <c r="S68" s="2">
        <v>705.98999</v>
      </c>
      <c r="T68" s="2">
        <v>11.0</v>
      </c>
      <c r="V68" s="2">
        <f t="shared" si="2"/>
        <v>146.0071008</v>
      </c>
      <c r="W68" s="2">
        <f t="shared" si="3"/>
        <v>8.730905217</v>
      </c>
      <c r="X68" s="2">
        <f t="shared" si="4"/>
        <v>8.704371396</v>
      </c>
      <c r="Y68" s="2">
        <f t="shared" ref="Y68:Z68" si="71">_xlfn.NORM.S.DIST(W68)</f>
        <v>1</v>
      </c>
      <c r="Z68" s="2">
        <f t="shared" si="71"/>
        <v>1</v>
      </c>
      <c r="AA68" s="2">
        <f t="shared" si="6"/>
        <v>145.85</v>
      </c>
    </row>
    <row r="69" ht="14.25" customHeight="1">
      <c r="A69" s="2" t="s">
        <v>26</v>
      </c>
      <c r="B69" s="2" t="s">
        <v>27</v>
      </c>
      <c r="C69" s="2" t="s">
        <v>52</v>
      </c>
      <c r="D69" s="2" t="s">
        <v>29</v>
      </c>
      <c r="E69" s="2">
        <v>560.0</v>
      </c>
      <c r="F69" s="2" t="s">
        <v>30</v>
      </c>
      <c r="G69" s="2">
        <v>153.4</v>
      </c>
      <c r="I69" s="2">
        <v>155.2</v>
      </c>
      <c r="K69" s="2">
        <v>0.0</v>
      </c>
      <c r="L69" s="2">
        <v>0.0</v>
      </c>
      <c r="M69" s="2" t="s">
        <v>99</v>
      </c>
      <c r="N69" s="2">
        <v>1.0</v>
      </c>
      <c r="O69" s="2">
        <v>0.0</v>
      </c>
      <c r="P69" s="2">
        <v>-1.5533</v>
      </c>
      <c r="Q69" s="2">
        <v>0.0</v>
      </c>
      <c r="R69" s="2">
        <v>0.0953</v>
      </c>
      <c r="S69" s="2">
        <v>714.73999</v>
      </c>
      <c r="T69" s="2">
        <v>10.0</v>
      </c>
      <c r="V69" s="2">
        <f t="shared" si="2"/>
        <v>154.7555453</v>
      </c>
      <c r="W69" s="2">
        <f t="shared" si="3"/>
        <v>12.8518377</v>
      </c>
      <c r="X69" s="2">
        <f t="shared" si="4"/>
        <v>12.83285349</v>
      </c>
      <c r="Y69" s="2">
        <f t="shared" ref="Y69:Z69" si="72">_xlfn.NORM.S.DIST(W69)</f>
        <v>1</v>
      </c>
      <c r="Z69" s="2">
        <f t="shared" si="72"/>
        <v>1</v>
      </c>
      <c r="AA69" s="2">
        <f t="shared" si="6"/>
        <v>154.3</v>
      </c>
    </row>
    <row r="70" ht="14.25" customHeight="1">
      <c r="A70" s="2" t="s">
        <v>26</v>
      </c>
      <c r="B70" s="2" t="s">
        <v>27</v>
      </c>
      <c r="C70" s="2" t="s">
        <v>52</v>
      </c>
      <c r="D70" s="2" t="s">
        <v>29</v>
      </c>
      <c r="E70" s="2">
        <v>560.0</v>
      </c>
      <c r="F70" s="2" t="s">
        <v>30</v>
      </c>
      <c r="G70" s="2">
        <v>155.6</v>
      </c>
      <c r="I70" s="2">
        <v>157.3</v>
      </c>
      <c r="K70" s="2">
        <v>0.0</v>
      </c>
      <c r="L70" s="2">
        <v>0.0</v>
      </c>
      <c r="M70" s="2" t="s">
        <v>100</v>
      </c>
      <c r="N70" s="2">
        <v>1.0</v>
      </c>
      <c r="O70" s="2">
        <v>0.0</v>
      </c>
      <c r="P70" s="2">
        <v>-1.5533</v>
      </c>
      <c r="Q70" s="2">
        <v>0.0</v>
      </c>
      <c r="R70" s="2">
        <v>0.0916</v>
      </c>
      <c r="S70" s="2">
        <v>716.940002</v>
      </c>
      <c r="T70" s="2">
        <v>9.0</v>
      </c>
      <c r="V70" s="2">
        <f t="shared" si="2"/>
        <v>156.9540018</v>
      </c>
      <c r="W70" s="2">
        <f t="shared" si="3"/>
        <v>14.27177031</v>
      </c>
      <c r="X70" s="2">
        <f t="shared" si="4"/>
        <v>14.25445953</v>
      </c>
      <c r="Y70" s="2">
        <f t="shared" ref="Y70:Z70" si="73">_xlfn.NORM.S.DIST(W70)</f>
        <v>1</v>
      </c>
      <c r="Z70" s="2">
        <f t="shared" si="73"/>
        <v>1</v>
      </c>
      <c r="AA70" s="2">
        <f t="shared" si="6"/>
        <v>156.45</v>
      </c>
    </row>
    <row r="71" ht="14.25" customHeight="1">
      <c r="A71" s="2" t="s">
        <v>26</v>
      </c>
      <c r="B71" s="2" t="s">
        <v>27</v>
      </c>
      <c r="C71" s="2" t="s">
        <v>52</v>
      </c>
      <c r="D71" s="2" t="s">
        <v>29</v>
      </c>
      <c r="E71" s="2">
        <v>560.0</v>
      </c>
      <c r="F71" s="2" t="s">
        <v>30</v>
      </c>
      <c r="G71" s="2">
        <v>153.9</v>
      </c>
      <c r="I71" s="2">
        <v>155.6</v>
      </c>
      <c r="K71" s="2">
        <v>0.0</v>
      </c>
      <c r="L71" s="2">
        <v>0.0</v>
      </c>
      <c r="M71" s="2" t="s">
        <v>101</v>
      </c>
      <c r="N71" s="2">
        <v>1.0</v>
      </c>
      <c r="O71" s="2">
        <v>0.0</v>
      </c>
      <c r="P71" s="2">
        <v>-1.5534</v>
      </c>
      <c r="Q71" s="2">
        <v>0.0</v>
      </c>
      <c r="R71" s="2">
        <v>0.0827</v>
      </c>
      <c r="S71" s="2">
        <v>715.380005</v>
      </c>
      <c r="T71" s="2">
        <v>8.0</v>
      </c>
      <c r="V71" s="2">
        <f t="shared" si="2"/>
        <v>155.3924493</v>
      </c>
      <c r="W71" s="2">
        <f t="shared" si="3"/>
        <v>16.61873371</v>
      </c>
      <c r="X71" s="2">
        <f t="shared" si="4"/>
        <v>16.6039987</v>
      </c>
      <c r="Y71" s="2">
        <f t="shared" ref="Y71:Z71" si="74">_xlfn.NORM.S.DIST(W71)</f>
        <v>1</v>
      </c>
      <c r="Z71" s="2">
        <f t="shared" si="74"/>
        <v>1</v>
      </c>
      <c r="AA71" s="2">
        <f t="shared" si="6"/>
        <v>154.75</v>
      </c>
    </row>
    <row r="72" ht="14.25" customHeight="1">
      <c r="A72" s="2" t="s">
        <v>26</v>
      </c>
      <c r="B72" s="2" t="s">
        <v>27</v>
      </c>
      <c r="C72" s="2" t="s">
        <v>52</v>
      </c>
      <c r="D72" s="2" t="s">
        <v>29</v>
      </c>
      <c r="E72" s="2">
        <v>560.0</v>
      </c>
      <c r="F72" s="2" t="s">
        <v>30</v>
      </c>
      <c r="G72" s="2">
        <v>139.5</v>
      </c>
      <c r="I72" s="2">
        <v>141.3</v>
      </c>
      <c r="K72" s="2">
        <v>0.0</v>
      </c>
      <c r="L72" s="2">
        <v>0.0</v>
      </c>
      <c r="M72" s="2" t="s">
        <v>102</v>
      </c>
      <c r="N72" s="2">
        <v>1.0</v>
      </c>
      <c r="O72" s="2">
        <v>0.0</v>
      </c>
      <c r="P72" s="2">
        <v>-1.5534</v>
      </c>
      <c r="Q72" s="2">
        <v>0.0</v>
      </c>
      <c r="R72" s="2">
        <v>0.2288</v>
      </c>
      <c r="S72" s="2">
        <v>700.650024</v>
      </c>
      <c r="T72" s="2">
        <v>5.0</v>
      </c>
      <c r="V72" s="2">
        <f t="shared" si="2"/>
        <v>140.6578017</v>
      </c>
      <c r="W72" s="2">
        <f t="shared" si="3"/>
        <v>6.952585012</v>
      </c>
      <c r="X72" s="2">
        <f t="shared" si="4"/>
        <v>6.920356463</v>
      </c>
      <c r="Y72" s="2">
        <f t="shared" ref="Y72:Z72" si="75">_xlfn.NORM.S.DIST(W72)</f>
        <v>1</v>
      </c>
      <c r="Z72" s="2">
        <f t="shared" si="75"/>
        <v>1</v>
      </c>
      <c r="AA72" s="2">
        <f t="shared" si="6"/>
        <v>140.4</v>
      </c>
    </row>
    <row r="73" ht="14.25" customHeight="1">
      <c r="A73" s="2" t="s">
        <v>26</v>
      </c>
      <c r="B73" s="2" t="s">
        <v>27</v>
      </c>
      <c r="C73" s="2" t="s">
        <v>52</v>
      </c>
      <c r="D73" s="2" t="s">
        <v>29</v>
      </c>
      <c r="E73" s="2">
        <v>560.0</v>
      </c>
      <c r="F73" s="2" t="s">
        <v>30</v>
      </c>
      <c r="G73" s="2">
        <v>148.7</v>
      </c>
      <c r="I73" s="2">
        <v>150.4</v>
      </c>
      <c r="K73" s="2">
        <v>0.0</v>
      </c>
      <c r="L73" s="2">
        <v>0.0</v>
      </c>
      <c r="M73" s="2" t="s">
        <v>103</v>
      </c>
      <c r="N73" s="2">
        <v>1.0</v>
      </c>
      <c r="O73" s="2">
        <v>0.0</v>
      </c>
      <c r="P73" s="2">
        <v>-1.5534</v>
      </c>
      <c r="Q73" s="2">
        <v>0.0</v>
      </c>
      <c r="R73" s="2">
        <v>0.0974</v>
      </c>
      <c r="S73" s="2">
        <v>710.099976</v>
      </c>
      <c r="T73" s="2">
        <v>4.0</v>
      </c>
      <c r="V73" s="2">
        <f t="shared" si="2"/>
        <v>150.1061982</v>
      </c>
      <c r="W73" s="2">
        <f t="shared" si="3"/>
        <v>19.35165972</v>
      </c>
      <c r="X73" s="2">
        <f t="shared" si="4"/>
        <v>19.33938847</v>
      </c>
      <c r="Y73" s="2">
        <f t="shared" ref="Y73:Z73" si="76">_xlfn.NORM.S.DIST(W73)</f>
        <v>1</v>
      </c>
      <c r="Z73" s="2">
        <f t="shared" si="76"/>
        <v>1</v>
      </c>
      <c r="AA73" s="2">
        <f t="shared" si="6"/>
        <v>149.55</v>
      </c>
    </row>
    <row r="74" ht="14.25" customHeight="1">
      <c r="A74" s="2" t="s">
        <v>26</v>
      </c>
      <c r="B74" s="2" t="s">
        <v>27</v>
      </c>
      <c r="C74" s="2" t="s">
        <v>52</v>
      </c>
      <c r="D74" s="2" t="s">
        <v>29</v>
      </c>
      <c r="E74" s="2">
        <v>560.0</v>
      </c>
      <c r="F74" s="2" t="s">
        <v>30</v>
      </c>
      <c r="G74" s="2">
        <v>138.5</v>
      </c>
      <c r="I74" s="2">
        <v>141.7</v>
      </c>
      <c r="K74" s="2">
        <v>0.0</v>
      </c>
      <c r="L74" s="2">
        <v>0.0</v>
      </c>
      <c r="M74" s="2" t="s">
        <v>104</v>
      </c>
      <c r="N74" s="2">
        <v>1.0</v>
      </c>
      <c r="O74" s="2">
        <v>0.0</v>
      </c>
      <c r="P74" s="2">
        <v>-1.5534</v>
      </c>
      <c r="Q74" s="2">
        <v>0.0</v>
      </c>
      <c r="R74" s="2">
        <v>0.1131</v>
      </c>
      <c r="S74" s="2">
        <v>700.190002</v>
      </c>
      <c r="T74" s="2">
        <v>3.0</v>
      </c>
      <c r="V74" s="2">
        <f t="shared" si="2"/>
        <v>140.1946686</v>
      </c>
      <c r="W74" s="2">
        <f t="shared" si="3"/>
        <v>18.10461363</v>
      </c>
      <c r="X74" s="2">
        <f t="shared" si="4"/>
        <v>18.09227341</v>
      </c>
      <c r="Y74" s="2">
        <f t="shared" ref="Y74:Z74" si="77">_xlfn.NORM.S.DIST(W74)</f>
        <v>1</v>
      </c>
      <c r="Z74" s="2">
        <f t="shared" si="77"/>
        <v>1</v>
      </c>
      <c r="AA74" s="2">
        <f t="shared" si="6"/>
        <v>140.1</v>
      </c>
    </row>
    <row r="75" ht="14.25" customHeight="1">
      <c r="A75" s="2" t="s">
        <v>26</v>
      </c>
      <c r="B75" s="2" t="s">
        <v>27</v>
      </c>
      <c r="C75" s="2" t="s">
        <v>52</v>
      </c>
      <c r="D75" s="2" t="s">
        <v>29</v>
      </c>
      <c r="E75" s="2">
        <v>560.0</v>
      </c>
      <c r="F75" s="2" t="s">
        <v>30</v>
      </c>
      <c r="G75" s="2">
        <v>133.5</v>
      </c>
      <c r="I75" s="2">
        <v>136.8</v>
      </c>
      <c r="K75" s="2">
        <v>0.0</v>
      </c>
      <c r="L75" s="2">
        <v>0.0</v>
      </c>
      <c r="M75" s="2" t="s">
        <v>105</v>
      </c>
      <c r="N75" s="2">
        <v>1.0</v>
      </c>
      <c r="O75" s="2">
        <v>0.0</v>
      </c>
      <c r="P75" s="2">
        <v>-1.5534</v>
      </c>
      <c r="Q75" s="2">
        <v>0.0</v>
      </c>
      <c r="R75" s="2">
        <v>0.2646</v>
      </c>
      <c r="S75" s="2">
        <v>695.099976</v>
      </c>
      <c r="T75" s="2">
        <v>2.0</v>
      </c>
      <c r="V75" s="2">
        <f t="shared" si="2"/>
        <v>135.1030871</v>
      </c>
      <c r="W75" s="2">
        <f t="shared" si="3"/>
        <v>9.168286684</v>
      </c>
      <c r="X75" s="2">
        <f t="shared" si="4"/>
        <v>9.144714242</v>
      </c>
      <c r="Y75" s="2">
        <f t="shared" ref="Y75:Z75" si="78">_xlfn.NORM.S.DIST(W75)</f>
        <v>1</v>
      </c>
      <c r="Z75" s="2">
        <f t="shared" si="78"/>
        <v>1</v>
      </c>
      <c r="AA75" s="2">
        <f t="shared" si="6"/>
        <v>135.15</v>
      </c>
    </row>
    <row r="76" ht="14.25" customHeight="1">
      <c r="A76" s="2" t="s">
        <v>26</v>
      </c>
      <c r="B76" s="2" t="s">
        <v>27</v>
      </c>
      <c r="C76" s="2" t="s">
        <v>52</v>
      </c>
      <c r="D76" s="2" t="s">
        <v>29</v>
      </c>
      <c r="E76" s="2">
        <v>560.0</v>
      </c>
      <c r="F76" s="2" t="s">
        <v>30</v>
      </c>
      <c r="G76" s="2">
        <v>138.9</v>
      </c>
      <c r="I76" s="2">
        <v>142.1</v>
      </c>
      <c r="K76" s="2">
        <v>0.0</v>
      </c>
      <c r="L76" s="2">
        <v>0.0</v>
      </c>
      <c r="M76" s="2" t="s">
        <v>106</v>
      </c>
      <c r="N76" s="2">
        <v>1.0</v>
      </c>
      <c r="O76" s="2">
        <v>0.0</v>
      </c>
      <c r="P76" s="2">
        <v>-1.5534</v>
      </c>
      <c r="Q76" s="2">
        <v>0.0</v>
      </c>
      <c r="R76" s="2">
        <v>0.5453</v>
      </c>
      <c r="S76" s="2">
        <v>700.820007</v>
      </c>
      <c r="T76" s="2">
        <v>1.0</v>
      </c>
      <c r="V76" s="2">
        <f t="shared" si="2"/>
        <v>140.8215626</v>
      </c>
      <c r="W76" s="2">
        <f t="shared" si="3"/>
        <v>6.530128714</v>
      </c>
      <c r="X76" s="2">
        <f t="shared" si="4"/>
        <v>6.495778043</v>
      </c>
      <c r="Y76" s="2">
        <f t="shared" ref="Y76:Z76" si="79">_xlfn.NORM.S.DIST(W76)</f>
        <v>1</v>
      </c>
      <c r="Z76" s="2">
        <f t="shared" si="79"/>
        <v>1</v>
      </c>
      <c r="AA76" s="2">
        <f t="shared" si="6"/>
        <v>140.5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  <col customWidth="1" min="18" max="18" width="16.29"/>
    <col customWidth="1" min="19" max="20" width="8.71"/>
    <col customWidth="1" min="22" max="27" width="8.71"/>
    <col customWidth="1" min="28" max="28" width="11.29"/>
    <col customWidth="1" min="29" max="2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107</v>
      </c>
      <c r="B2" s="2" t="s">
        <v>108</v>
      </c>
      <c r="C2" s="2" t="s">
        <v>109</v>
      </c>
      <c r="D2" s="2" t="s">
        <v>29</v>
      </c>
      <c r="E2" s="2">
        <v>35.0</v>
      </c>
      <c r="F2" s="2" t="s">
        <v>30</v>
      </c>
      <c r="G2" s="2">
        <v>15.5</v>
      </c>
      <c r="I2" s="2">
        <v>19.3</v>
      </c>
      <c r="K2" s="2">
        <v>0.0</v>
      </c>
      <c r="L2" s="2">
        <v>0.0</v>
      </c>
      <c r="M2" s="2" t="s">
        <v>31</v>
      </c>
      <c r="N2" s="2">
        <v>1.0</v>
      </c>
      <c r="O2" s="2">
        <v>0.0</v>
      </c>
      <c r="P2" s="2">
        <v>-0.1059</v>
      </c>
      <c r="Q2" s="2">
        <v>0.0</v>
      </c>
      <c r="R2" s="2">
        <v>0.187</v>
      </c>
      <c r="S2" s="2">
        <v>52.93</v>
      </c>
      <c r="T2" s="2">
        <v>73.0</v>
      </c>
      <c r="V2" s="2">
        <f t="shared" ref="V2:V52" si="2">S2*Y2 - E2*Z2*exp(-0.0007*T2/252)</f>
        <v>17.93711466</v>
      </c>
      <c r="W2" s="2">
        <f t="shared" ref="W2:W52" si="3">((LN(S2/E2) + (0.0007 + (R2^2)/2) * U2/$AB$2)) / (R2 * SQRT(T2/252))</f>
        <v>4.109614638</v>
      </c>
      <c r="X2" s="2">
        <f t="shared" ref="X2:X52" si="4">W2-(R2*SQRT(T2/$AB$2))</f>
        <v>4.00896719</v>
      </c>
      <c r="Y2" s="2">
        <f t="shared" ref="Y2:Z2" si="1">_xlfn.NORM.S.DIST(W2)</f>
        <v>0.999980184</v>
      </c>
      <c r="Z2" s="2">
        <f t="shared" si="1"/>
        <v>0.9999695076</v>
      </c>
      <c r="AA2" s="2">
        <f t="shared" ref="AA2:AA52" si="6">0.5*(G2+I2)</f>
        <v>17.4</v>
      </c>
      <c r="AB2" s="2">
        <v>252.0</v>
      </c>
    </row>
    <row r="3" ht="14.25" customHeight="1">
      <c r="A3" s="2" t="s">
        <v>107</v>
      </c>
      <c r="B3" s="2" t="s">
        <v>108</v>
      </c>
      <c r="C3" s="2" t="s">
        <v>109</v>
      </c>
      <c r="D3" s="2" t="s">
        <v>29</v>
      </c>
      <c r="E3" s="2">
        <v>35.0</v>
      </c>
      <c r="F3" s="2" t="s">
        <v>30</v>
      </c>
      <c r="G3" s="2">
        <v>15.8</v>
      </c>
      <c r="I3" s="2">
        <v>19.3</v>
      </c>
      <c r="K3" s="2">
        <v>0.0</v>
      </c>
      <c r="L3" s="2">
        <v>0.0</v>
      </c>
      <c r="M3" s="2" t="s">
        <v>32</v>
      </c>
      <c r="N3" s="2">
        <v>1.0</v>
      </c>
      <c r="O3" s="2">
        <v>0.0</v>
      </c>
      <c r="P3" s="2">
        <v>-0.1059</v>
      </c>
      <c r="Q3" s="2">
        <v>1.0E-4</v>
      </c>
      <c r="R3" s="2">
        <v>0.1918</v>
      </c>
      <c r="S3" s="2">
        <v>52.84</v>
      </c>
      <c r="T3" s="2">
        <v>72.0</v>
      </c>
      <c r="V3" s="2">
        <f t="shared" si="2"/>
        <v>17.84702722</v>
      </c>
      <c r="W3" s="2">
        <f t="shared" si="3"/>
        <v>4.017896443</v>
      </c>
      <c r="X3" s="2">
        <f t="shared" si="4"/>
        <v>3.91537503</v>
      </c>
      <c r="Y3" s="2">
        <f t="shared" ref="Y3:Z3" si="5">_xlfn.NORM.S.DIST(W3)</f>
        <v>0.99997064</v>
      </c>
      <c r="Z3" s="2">
        <f t="shared" si="5"/>
        <v>0.9999548681</v>
      </c>
      <c r="AA3" s="2">
        <f t="shared" si="6"/>
        <v>17.55</v>
      </c>
    </row>
    <row r="4" ht="14.25" customHeight="1">
      <c r="A4" s="2" t="s">
        <v>107</v>
      </c>
      <c r="B4" s="2" t="s">
        <v>108</v>
      </c>
      <c r="C4" s="2" t="s">
        <v>109</v>
      </c>
      <c r="D4" s="2" t="s">
        <v>29</v>
      </c>
      <c r="E4" s="2">
        <v>35.0</v>
      </c>
      <c r="F4" s="2" t="s">
        <v>30</v>
      </c>
      <c r="G4" s="2">
        <v>16.1</v>
      </c>
      <c r="I4" s="2">
        <v>20.2</v>
      </c>
      <c r="K4" s="2">
        <v>0.0</v>
      </c>
      <c r="L4" s="2">
        <v>0.0</v>
      </c>
      <c r="M4" s="2" t="s">
        <v>33</v>
      </c>
      <c r="N4" s="2">
        <v>0.9972</v>
      </c>
      <c r="O4" s="2">
        <v>0.0</v>
      </c>
      <c r="P4" s="2">
        <v>0.6642</v>
      </c>
      <c r="Q4" s="2">
        <v>1.0E-4</v>
      </c>
      <c r="R4" s="2">
        <v>0.2019</v>
      </c>
      <c r="S4" s="2">
        <v>53.73</v>
      </c>
      <c r="T4" s="2">
        <v>71.0</v>
      </c>
      <c r="V4" s="2">
        <f t="shared" si="2"/>
        <v>18.73693395</v>
      </c>
      <c r="W4" s="2">
        <f t="shared" si="3"/>
        <v>3.999546016</v>
      </c>
      <c r="X4" s="2">
        <f t="shared" si="4"/>
        <v>3.892377992</v>
      </c>
      <c r="Y4" s="2">
        <f t="shared" ref="Y4:Z4" si="7">_xlfn.NORM.S.DIST(W4)</f>
        <v>0.9999682679</v>
      </c>
      <c r="Z4" s="2">
        <f t="shared" si="7"/>
        <v>0.9999503668</v>
      </c>
      <c r="AA4" s="2">
        <f t="shared" si="6"/>
        <v>18.15</v>
      </c>
      <c r="AB4" s="2">
        <f>average(R2:R52)</f>
        <v>0.4487</v>
      </c>
    </row>
    <row r="5" ht="14.25" customHeight="1">
      <c r="A5" s="2" t="s">
        <v>107</v>
      </c>
      <c r="B5" s="2" t="s">
        <v>108</v>
      </c>
      <c r="C5" s="2" t="s">
        <v>109</v>
      </c>
      <c r="D5" s="2" t="s">
        <v>29</v>
      </c>
      <c r="E5" s="2">
        <v>35.0</v>
      </c>
      <c r="F5" s="2" t="s">
        <v>30</v>
      </c>
      <c r="G5" s="2">
        <v>16.5</v>
      </c>
      <c r="I5" s="2">
        <v>20.0</v>
      </c>
      <c r="K5" s="2">
        <v>0.0</v>
      </c>
      <c r="L5" s="2">
        <v>0.0</v>
      </c>
      <c r="M5" s="2" t="s">
        <v>34</v>
      </c>
      <c r="N5" s="2">
        <v>0.9946</v>
      </c>
      <c r="O5" s="2">
        <v>0.0</v>
      </c>
      <c r="P5" s="2">
        <v>1.4611</v>
      </c>
      <c r="Q5" s="2">
        <v>5.0E-4</v>
      </c>
      <c r="R5" s="2">
        <v>0.2254</v>
      </c>
      <c r="S5" s="2">
        <v>53.55</v>
      </c>
      <c r="T5" s="2">
        <v>68.0</v>
      </c>
      <c r="V5" s="2">
        <f t="shared" si="2"/>
        <v>18.55677724</v>
      </c>
      <c r="W5" s="2">
        <f t="shared" si="3"/>
        <v>3.632071061</v>
      </c>
      <c r="X5" s="2">
        <f t="shared" si="4"/>
        <v>3.514984218</v>
      </c>
      <c r="Y5" s="2">
        <f t="shared" ref="Y5:Z5" si="8">_xlfn.NORM.S.DIST(W5)</f>
        <v>0.9998594222</v>
      </c>
      <c r="Z5" s="2">
        <f t="shared" si="8"/>
        <v>0.9997801099</v>
      </c>
      <c r="AA5" s="2">
        <f t="shared" si="6"/>
        <v>18.25</v>
      </c>
    </row>
    <row r="6" ht="14.25" customHeight="1">
      <c r="A6" s="2" t="s">
        <v>107</v>
      </c>
      <c r="B6" s="2" t="s">
        <v>108</v>
      </c>
      <c r="C6" s="2" t="s">
        <v>109</v>
      </c>
      <c r="D6" s="2" t="s">
        <v>29</v>
      </c>
      <c r="E6" s="2">
        <v>35.0</v>
      </c>
      <c r="F6" s="2" t="s">
        <v>30</v>
      </c>
      <c r="G6" s="2">
        <v>16.0</v>
      </c>
      <c r="I6" s="2">
        <v>19.9</v>
      </c>
      <c r="K6" s="2">
        <v>0.0</v>
      </c>
      <c r="L6" s="2">
        <v>0.0</v>
      </c>
      <c r="M6" s="2" t="s">
        <v>35</v>
      </c>
      <c r="N6" s="2">
        <v>0.9947</v>
      </c>
      <c r="O6" s="2">
        <v>0.0</v>
      </c>
      <c r="P6" s="2">
        <v>1.4537</v>
      </c>
      <c r="Q6" s="2">
        <v>7.0E-4</v>
      </c>
      <c r="R6" s="2">
        <v>0.2254</v>
      </c>
      <c r="S6" s="2">
        <v>53.26</v>
      </c>
      <c r="T6" s="2">
        <v>67.0</v>
      </c>
      <c r="V6" s="2">
        <f t="shared" si="2"/>
        <v>18.26669239</v>
      </c>
      <c r="W6" s="2">
        <f t="shared" si="3"/>
        <v>3.612353175</v>
      </c>
      <c r="X6" s="2">
        <f t="shared" si="4"/>
        <v>3.496130453</v>
      </c>
      <c r="Y6" s="2">
        <f t="shared" ref="Y6:Z6" si="9">_xlfn.NORM.S.DIST(W6)</f>
        <v>0.9998482845</v>
      </c>
      <c r="Z6" s="2">
        <f t="shared" si="9"/>
        <v>0.9997639711</v>
      </c>
      <c r="AA6" s="2">
        <f t="shared" si="6"/>
        <v>17.95</v>
      </c>
    </row>
    <row r="7" ht="14.25" customHeight="1">
      <c r="A7" s="2" t="s">
        <v>107</v>
      </c>
      <c r="B7" s="2" t="s">
        <v>108</v>
      </c>
      <c r="C7" s="2" t="s">
        <v>109</v>
      </c>
      <c r="D7" s="2" t="s">
        <v>29</v>
      </c>
      <c r="E7" s="2">
        <v>35.0</v>
      </c>
      <c r="F7" s="2" t="s">
        <v>30</v>
      </c>
      <c r="G7" s="2">
        <v>16.0</v>
      </c>
      <c r="I7" s="2">
        <v>20.0</v>
      </c>
      <c r="K7" s="2">
        <v>0.0</v>
      </c>
      <c r="L7" s="2">
        <v>0.0</v>
      </c>
      <c r="M7" s="2" t="s">
        <v>36</v>
      </c>
      <c r="N7" s="2">
        <v>0.9383</v>
      </c>
      <c r="O7" s="2">
        <v>0.0076</v>
      </c>
      <c r="P7" s="2">
        <v>-3.3563</v>
      </c>
      <c r="Q7" s="2">
        <v>2.5362</v>
      </c>
      <c r="R7" s="2">
        <v>0.6691</v>
      </c>
      <c r="S7" s="2">
        <v>52.89</v>
      </c>
      <c r="T7" s="2">
        <v>66.0</v>
      </c>
      <c r="V7" s="2">
        <f t="shared" si="2"/>
        <v>18.65722949</v>
      </c>
      <c r="W7" s="2">
        <f t="shared" si="3"/>
        <v>1.205720452</v>
      </c>
      <c r="X7" s="2">
        <f t="shared" si="4"/>
        <v>0.86329761</v>
      </c>
      <c r="Y7" s="2">
        <f t="shared" ref="Y7:Z7" si="10">_xlfn.NORM.S.DIST(W7)</f>
        <v>0.8860373518</v>
      </c>
      <c r="Z7" s="2">
        <f t="shared" si="10"/>
        <v>0.806013071</v>
      </c>
      <c r="AA7" s="2">
        <f t="shared" si="6"/>
        <v>18</v>
      </c>
    </row>
    <row r="8" ht="14.25" customHeight="1">
      <c r="A8" s="2" t="s">
        <v>107</v>
      </c>
      <c r="B8" s="2" t="s">
        <v>108</v>
      </c>
      <c r="C8" s="2" t="s">
        <v>109</v>
      </c>
      <c r="D8" s="2" t="s">
        <v>29</v>
      </c>
      <c r="E8" s="2">
        <v>35.0</v>
      </c>
      <c r="F8" s="2" t="s">
        <v>30</v>
      </c>
      <c r="G8" s="2">
        <v>16.3</v>
      </c>
      <c r="I8" s="2">
        <v>20.1</v>
      </c>
      <c r="K8" s="2">
        <v>0.0</v>
      </c>
      <c r="L8" s="2">
        <v>0.0</v>
      </c>
      <c r="M8" s="2" t="s">
        <v>37</v>
      </c>
      <c r="N8" s="2">
        <v>0.9947</v>
      </c>
      <c r="O8" s="2">
        <v>0.0</v>
      </c>
      <c r="P8" s="2">
        <v>1.5086</v>
      </c>
      <c r="Q8" s="2">
        <v>0.0</v>
      </c>
      <c r="R8" s="2">
        <v>0.2019</v>
      </c>
      <c r="S8" s="2">
        <v>53.6</v>
      </c>
      <c r="T8" s="2">
        <v>65.0</v>
      </c>
      <c r="V8" s="2">
        <f t="shared" si="2"/>
        <v>18.60633391</v>
      </c>
      <c r="W8" s="2">
        <f t="shared" si="3"/>
        <v>4.156442187</v>
      </c>
      <c r="X8" s="2">
        <f t="shared" si="4"/>
        <v>4.053902326</v>
      </c>
      <c r="Y8" s="2">
        <f t="shared" ref="Y8:Z8" si="11">_xlfn.NORM.S.DIST(W8)</f>
        <v>0.9999838379</v>
      </c>
      <c r="Z8" s="2">
        <f t="shared" si="11"/>
        <v>0.9999748149</v>
      </c>
      <c r="AA8" s="2">
        <f t="shared" si="6"/>
        <v>18.2</v>
      </c>
    </row>
    <row r="9" ht="14.25" customHeight="1">
      <c r="A9" s="2" t="s">
        <v>107</v>
      </c>
      <c r="B9" s="2" t="s">
        <v>108</v>
      </c>
      <c r="C9" s="2" t="s">
        <v>109</v>
      </c>
      <c r="D9" s="2" t="s">
        <v>29</v>
      </c>
      <c r="E9" s="2">
        <v>35.0</v>
      </c>
      <c r="F9" s="2" t="s">
        <v>30</v>
      </c>
      <c r="G9" s="2">
        <v>16.0</v>
      </c>
      <c r="I9" s="2">
        <v>19.9</v>
      </c>
      <c r="K9" s="2">
        <v>0.0</v>
      </c>
      <c r="L9" s="2">
        <v>0.0</v>
      </c>
      <c r="M9" s="2" t="s">
        <v>38</v>
      </c>
      <c r="N9" s="2">
        <v>0.994</v>
      </c>
      <c r="O9" s="2">
        <v>4.0E-4</v>
      </c>
      <c r="P9" s="2">
        <v>1.4377</v>
      </c>
      <c r="Q9" s="2">
        <v>0.0568</v>
      </c>
      <c r="R9" s="2">
        <v>0.3194</v>
      </c>
      <c r="S9" s="2">
        <v>53.18</v>
      </c>
      <c r="T9" s="2">
        <v>64.0</v>
      </c>
      <c r="V9" s="2">
        <f t="shared" si="2"/>
        <v>18.19599676</v>
      </c>
      <c r="W9" s="2">
        <f t="shared" si="3"/>
        <v>2.598955668</v>
      </c>
      <c r="X9" s="2">
        <f t="shared" si="4"/>
        <v>2.437993198</v>
      </c>
      <c r="Y9" s="2">
        <f t="shared" ref="Y9:Z9" si="12">_xlfn.NORM.S.DIST(W9)</f>
        <v>0.9953246076</v>
      </c>
      <c r="Z9" s="2">
        <f t="shared" si="12"/>
        <v>0.992615474</v>
      </c>
      <c r="AA9" s="2">
        <f t="shared" si="6"/>
        <v>17.95</v>
      </c>
    </row>
    <row r="10" ht="14.25" customHeight="1">
      <c r="A10" s="2" t="s">
        <v>107</v>
      </c>
      <c r="B10" s="2" t="s">
        <v>108</v>
      </c>
      <c r="C10" s="2" t="s">
        <v>109</v>
      </c>
      <c r="D10" s="2" t="s">
        <v>29</v>
      </c>
      <c r="E10" s="2">
        <v>35.0</v>
      </c>
      <c r="F10" s="2" t="s">
        <v>30</v>
      </c>
      <c r="G10" s="2">
        <v>15.7</v>
      </c>
      <c r="I10" s="2">
        <v>19.7</v>
      </c>
      <c r="K10" s="2">
        <v>0.0</v>
      </c>
      <c r="L10" s="2">
        <v>0.0</v>
      </c>
      <c r="M10" s="2" t="s">
        <v>39</v>
      </c>
      <c r="N10" s="2">
        <v>0.995</v>
      </c>
      <c r="O10" s="2">
        <v>0.0</v>
      </c>
      <c r="P10" s="2">
        <v>1.5017</v>
      </c>
      <c r="Q10" s="2">
        <v>9.0E-4</v>
      </c>
      <c r="R10" s="2">
        <v>0.2389</v>
      </c>
      <c r="S10" s="2">
        <v>52.95</v>
      </c>
      <c r="T10" s="2">
        <v>61.0</v>
      </c>
      <c r="V10" s="2">
        <f t="shared" si="2"/>
        <v>17.95619038</v>
      </c>
      <c r="W10" s="2">
        <f t="shared" si="3"/>
        <v>3.522244952</v>
      </c>
      <c r="X10" s="2">
        <f t="shared" si="4"/>
        <v>3.404706275</v>
      </c>
      <c r="Y10" s="2">
        <f t="shared" ref="Y10:Z10" si="13">_xlfn.NORM.S.DIST(W10)</f>
        <v>0.9997860457</v>
      </c>
      <c r="Z10" s="2">
        <f t="shared" si="13"/>
        <v>0.9996688237</v>
      </c>
      <c r="AA10" s="2">
        <f t="shared" si="6"/>
        <v>17.7</v>
      </c>
    </row>
    <row r="11" ht="14.25" customHeight="1">
      <c r="A11" s="2" t="s">
        <v>107</v>
      </c>
      <c r="B11" s="2" t="s">
        <v>108</v>
      </c>
      <c r="C11" s="2" t="s">
        <v>109</v>
      </c>
      <c r="D11" s="2" t="s">
        <v>29</v>
      </c>
      <c r="E11" s="2">
        <v>35.0</v>
      </c>
      <c r="F11" s="2" t="s">
        <v>30</v>
      </c>
      <c r="G11" s="2">
        <v>15.9</v>
      </c>
      <c r="I11" s="2">
        <v>19.7</v>
      </c>
      <c r="K11" s="2">
        <v>0.0</v>
      </c>
      <c r="L11" s="2">
        <v>0.0</v>
      </c>
      <c r="M11" s="2" t="s">
        <v>40</v>
      </c>
      <c r="N11" s="2">
        <v>0.995</v>
      </c>
      <c r="O11" s="2">
        <v>0.0</v>
      </c>
      <c r="P11" s="2">
        <v>1.5194</v>
      </c>
      <c r="Q11" s="2">
        <v>1.0E-4</v>
      </c>
      <c r="R11" s="2">
        <v>0.2172</v>
      </c>
      <c r="S11" s="2">
        <v>53.31</v>
      </c>
      <c r="T11" s="2">
        <v>60.0</v>
      </c>
      <c r="V11" s="2">
        <f t="shared" si="2"/>
        <v>18.31586867</v>
      </c>
      <c r="W11" s="2">
        <f t="shared" si="3"/>
        <v>3.97022985</v>
      </c>
      <c r="X11" s="2">
        <f t="shared" si="4"/>
        <v>3.864247102</v>
      </c>
      <c r="Y11" s="2">
        <f t="shared" ref="Y11:Z11" si="14">_xlfn.NORM.S.DIST(W11)</f>
        <v>0.9999640983</v>
      </c>
      <c r="Z11" s="2">
        <f t="shared" si="14"/>
        <v>0.9999442838</v>
      </c>
      <c r="AA11" s="2">
        <f t="shared" si="6"/>
        <v>17.8</v>
      </c>
    </row>
    <row r="12" ht="14.25" customHeight="1">
      <c r="A12" s="2" t="s">
        <v>107</v>
      </c>
      <c r="B12" s="2" t="s">
        <v>108</v>
      </c>
      <c r="C12" s="2" t="s">
        <v>109</v>
      </c>
      <c r="D12" s="2" t="s">
        <v>29</v>
      </c>
      <c r="E12" s="2">
        <v>35.0</v>
      </c>
      <c r="F12" s="2" t="s">
        <v>30</v>
      </c>
      <c r="G12" s="2">
        <v>16.3</v>
      </c>
      <c r="I12" s="2">
        <v>20.2</v>
      </c>
      <c r="K12" s="2">
        <v>0.0</v>
      </c>
      <c r="L12" s="2">
        <v>0.0</v>
      </c>
      <c r="M12" s="2" t="s">
        <v>41</v>
      </c>
      <c r="N12" s="2">
        <v>0.995</v>
      </c>
      <c r="O12" s="2">
        <v>0.0</v>
      </c>
      <c r="P12" s="2">
        <v>1.5761</v>
      </c>
      <c r="Q12" s="2">
        <v>0.0</v>
      </c>
      <c r="R12" s="2">
        <v>0.2154</v>
      </c>
      <c r="S12" s="2">
        <v>53.54</v>
      </c>
      <c r="T12" s="2">
        <v>59.0</v>
      </c>
      <c r="V12" s="2">
        <f t="shared" si="2"/>
        <v>18.54575742</v>
      </c>
      <c r="W12" s="2">
        <f t="shared" si="3"/>
        <v>4.078497827</v>
      </c>
      <c r="X12" s="2">
        <f t="shared" si="4"/>
        <v>3.97427294</v>
      </c>
      <c r="Y12" s="2">
        <f t="shared" ref="Y12:Z12" si="15">_xlfn.NORM.S.DIST(W12)</f>
        <v>0.9999773362</v>
      </c>
      <c r="Z12" s="2">
        <f t="shared" si="15"/>
        <v>0.9999647027</v>
      </c>
      <c r="AA12" s="2">
        <f t="shared" si="6"/>
        <v>18.25</v>
      </c>
    </row>
    <row r="13" ht="14.25" customHeight="1">
      <c r="A13" s="2" t="s">
        <v>107</v>
      </c>
      <c r="B13" s="2" t="s">
        <v>108</v>
      </c>
      <c r="C13" s="2" t="s">
        <v>109</v>
      </c>
      <c r="D13" s="2" t="s">
        <v>29</v>
      </c>
      <c r="E13" s="2">
        <v>35.0</v>
      </c>
      <c r="F13" s="2" t="s">
        <v>30</v>
      </c>
      <c r="G13" s="2">
        <v>16.6</v>
      </c>
      <c r="I13" s="2">
        <v>20.1</v>
      </c>
      <c r="K13" s="2">
        <v>0.0</v>
      </c>
      <c r="L13" s="2">
        <v>0.0</v>
      </c>
      <c r="M13" s="2" t="s">
        <v>42</v>
      </c>
      <c r="N13" s="2">
        <v>0.9949</v>
      </c>
      <c r="O13" s="2">
        <v>0.0</v>
      </c>
      <c r="P13" s="2">
        <v>1.6326</v>
      </c>
      <c r="Q13" s="2">
        <v>0.0</v>
      </c>
      <c r="R13" s="2">
        <v>0.1938</v>
      </c>
      <c r="S13" s="2">
        <v>53.62</v>
      </c>
      <c r="T13" s="2">
        <v>58.0</v>
      </c>
      <c r="V13" s="2">
        <f t="shared" si="2"/>
        <v>18.62564017</v>
      </c>
      <c r="W13" s="2">
        <f t="shared" si="3"/>
        <v>4.588037457</v>
      </c>
      <c r="X13" s="2">
        <f t="shared" si="4"/>
        <v>4.495062176</v>
      </c>
      <c r="Y13" s="2">
        <f t="shared" ref="Y13:Z13" si="16">_xlfn.NORM.S.DIST(W13)</f>
        <v>0.9999977628</v>
      </c>
      <c r="Z13" s="2">
        <f t="shared" si="16"/>
        <v>0.9999965225</v>
      </c>
      <c r="AA13" s="2">
        <f t="shared" si="6"/>
        <v>18.35</v>
      </c>
    </row>
    <row r="14" ht="14.25" customHeight="1">
      <c r="A14" s="2" t="s">
        <v>107</v>
      </c>
      <c r="B14" s="2" t="s">
        <v>108</v>
      </c>
      <c r="C14" s="2" t="s">
        <v>109</v>
      </c>
      <c r="D14" s="2" t="s">
        <v>29</v>
      </c>
      <c r="E14" s="2">
        <v>35.0</v>
      </c>
      <c r="F14" s="2" t="s">
        <v>30</v>
      </c>
      <c r="G14" s="2">
        <v>16.4</v>
      </c>
      <c r="I14" s="2">
        <v>20.3</v>
      </c>
      <c r="K14" s="2">
        <v>0.0</v>
      </c>
      <c r="L14" s="2">
        <v>0.0</v>
      </c>
      <c r="M14" s="2" t="s">
        <v>43</v>
      </c>
      <c r="N14" s="2">
        <v>0.9948</v>
      </c>
      <c r="O14" s="2">
        <v>0.001</v>
      </c>
      <c r="P14" s="2">
        <v>0.5353</v>
      </c>
      <c r="Q14" s="2">
        <v>0.1729</v>
      </c>
      <c r="R14" s="2">
        <v>0.394</v>
      </c>
      <c r="S14" s="2">
        <v>53.48</v>
      </c>
      <c r="T14" s="2">
        <v>57.0</v>
      </c>
      <c r="V14" s="2">
        <f t="shared" si="2"/>
        <v>18.51717028</v>
      </c>
      <c r="W14" s="2">
        <f t="shared" si="3"/>
        <v>2.262513543</v>
      </c>
      <c r="X14" s="2">
        <f t="shared" si="4"/>
        <v>2.075129166</v>
      </c>
      <c r="Y14" s="2">
        <f t="shared" ref="Y14:Z14" si="17">_xlfn.NORM.S.DIST(W14)</f>
        <v>0.9881671535</v>
      </c>
      <c r="Z14" s="2">
        <f t="shared" si="17"/>
        <v>0.9810127173</v>
      </c>
      <c r="AA14" s="2">
        <f t="shared" si="6"/>
        <v>18.35</v>
      </c>
    </row>
    <row r="15" ht="14.25" customHeight="1">
      <c r="A15" s="2" t="s">
        <v>107</v>
      </c>
      <c r="B15" s="2" t="s">
        <v>108</v>
      </c>
      <c r="C15" s="2" t="s">
        <v>109</v>
      </c>
      <c r="D15" s="2" t="s">
        <v>29</v>
      </c>
      <c r="E15" s="2">
        <v>35.0</v>
      </c>
      <c r="F15" s="2" t="s">
        <v>30</v>
      </c>
      <c r="G15" s="2">
        <v>16.6</v>
      </c>
      <c r="I15" s="2">
        <v>20.5</v>
      </c>
      <c r="K15" s="2">
        <v>0.0</v>
      </c>
      <c r="L15" s="2">
        <v>0.0</v>
      </c>
      <c r="M15" s="2" t="s">
        <v>44</v>
      </c>
      <c r="N15" s="2">
        <v>1.0</v>
      </c>
      <c r="O15" s="2">
        <v>0.0</v>
      </c>
      <c r="P15" s="2">
        <v>-0.1059</v>
      </c>
      <c r="Q15" s="2">
        <v>0.0</v>
      </c>
      <c r="R15" s="2">
        <v>0.1451</v>
      </c>
      <c r="S15" s="2">
        <v>53.9</v>
      </c>
      <c r="T15" s="2">
        <v>53.0</v>
      </c>
      <c r="V15" s="2">
        <f t="shared" si="2"/>
        <v>18.9051524</v>
      </c>
      <c r="W15" s="2">
        <f t="shared" si="3"/>
        <v>6.488732575</v>
      </c>
      <c r="X15" s="2">
        <f t="shared" si="4"/>
        <v>6.422189161</v>
      </c>
      <c r="Y15" s="2">
        <f t="shared" ref="Y15:Z15" si="18">_xlfn.NORM.S.DIST(W15)</f>
        <v>1</v>
      </c>
      <c r="Z15" s="2">
        <f t="shared" si="18"/>
        <v>0.9999999999</v>
      </c>
      <c r="AA15" s="2">
        <f t="shared" si="6"/>
        <v>18.55</v>
      </c>
    </row>
    <row r="16" ht="14.25" customHeight="1">
      <c r="A16" s="2" t="s">
        <v>107</v>
      </c>
      <c r="B16" s="2" t="s">
        <v>108</v>
      </c>
      <c r="C16" s="2" t="s">
        <v>109</v>
      </c>
      <c r="D16" s="2" t="s">
        <v>29</v>
      </c>
      <c r="E16" s="2">
        <v>35.0</v>
      </c>
      <c r="F16" s="2" t="s">
        <v>30</v>
      </c>
      <c r="G16" s="2">
        <v>16.7</v>
      </c>
      <c r="I16" s="2">
        <v>20.3</v>
      </c>
      <c r="K16" s="2">
        <v>0.0</v>
      </c>
      <c r="L16" s="2">
        <v>0.0</v>
      </c>
      <c r="M16" s="2" t="s">
        <v>45</v>
      </c>
      <c r="N16" s="2">
        <v>1.0</v>
      </c>
      <c r="O16" s="2">
        <v>0.0</v>
      </c>
      <c r="P16" s="2">
        <v>-0.1059</v>
      </c>
      <c r="Q16" s="2">
        <v>0.0</v>
      </c>
      <c r="R16" s="2">
        <v>0.1845</v>
      </c>
      <c r="S16" s="2">
        <v>53.73</v>
      </c>
      <c r="T16" s="2">
        <v>52.0</v>
      </c>
      <c r="V16" s="2">
        <f t="shared" si="2"/>
        <v>18.73505529</v>
      </c>
      <c r="W16" s="2">
        <f t="shared" si="3"/>
        <v>5.114205193</v>
      </c>
      <c r="X16" s="2">
        <f t="shared" si="4"/>
        <v>5.03039482</v>
      </c>
      <c r="Y16" s="2">
        <f t="shared" ref="Y16:Z16" si="19">_xlfn.NORM.S.DIST(W16)</f>
        <v>0.9999998425</v>
      </c>
      <c r="Z16" s="2">
        <f t="shared" si="19"/>
        <v>0.9999997553</v>
      </c>
      <c r="AA16" s="2">
        <f t="shared" si="6"/>
        <v>18.5</v>
      </c>
    </row>
    <row r="17" ht="14.25" customHeight="1">
      <c r="A17" s="2" t="s">
        <v>107</v>
      </c>
      <c r="B17" s="2" t="s">
        <v>108</v>
      </c>
      <c r="C17" s="2" t="s">
        <v>109</v>
      </c>
      <c r="D17" s="2" t="s">
        <v>29</v>
      </c>
      <c r="E17" s="2">
        <v>35.0</v>
      </c>
      <c r="F17" s="2" t="s">
        <v>30</v>
      </c>
      <c r="G17" s="2">
        <v>17.3</v>
      </c>
      <c r="I17" s="2">
        <v>20.6</v>
      </c>
      <c r="K17" s="2">
        <v>0.0</v>
      </c>
      <c r="L17" s="2">
        <v>0.0</v>
      </c>
      <c r="M17" s="2" t="s">
        <v>46</v>
      </c>
      <c r="N17" s="2">
        <v>1.0</v>
      </c>
      <c r="O17" s="2">
        <v>0.0</v>
      </c>
      <c r="P17" s="2">
        <v>-0.1059</v>
      </c>
      <c r="Q17" s="2">
        <v>0.0</v>
      </c>
      <c r="R17" s="2">
        <v>0.1628</v>
      </c>
      <c r="S17" s="2">
        <v>53.95</v>
      </c>
      <c r="T17" s="2">
        <v>51.0</v>
      </c>
      <c r="V17" s="2">
        <f t="shared" si="2"/>
        <v>18.95495798</v>
      </c>
      <c r="W17" s="2">
        <f t="shared" si="3"/>
        <v>5.908229307</v>
      </c>
      <c r="X17" s="2">
        <f t="shared" si="4"/>
        <v>5.834990845</v>
      </c>
      <c r="Y17" s="2">
        <f t="shared" ref="Y17:Z17" si="20">_xlfn.NORM.S.DIST(W17)</f>
        <v>0.9999999983</v>
      </c>
      <c r="Z17" s="2">
        <f t="shared" si="20"/>
        <v>0.9999999973</v>
      </c>
      <c r="AA17" s="2">
        <f t="shared" si="6"/>
        <v>18.95</v>
      </c>
    </row>
    <row r="18" ht="14.25" customHeight="1">
      <c r="A18" s="2" t="s">
        <v>107</v>
      </c>
      <c r="B18" s="2" t="s">
        <v>108</v>
      </c>
      <c r="C18" s="2" t="s">
        <v>109</v>
      </c>
      <c r="D18" s="2" t="s">
        <v>29</v>
      </c>
      <c r="E18" s="2">
        <v>35.0</v>
      </c>
      <c r="F18" s="2" t="s">
        <v>30</v>
      </c>
      <c r="G18" s="2">
        <v>17.4</v>
      </c>
      <c r="I18" s="2">
        <v>20.4</v>
      </c>
      <c r="K18" s="2">
        <v>0.0</v>
      </c>
      <c r="L18" s="2">
        <v>0.0</v>
      </c>
      <c r="M18" s="2" t="s">
        <v>47</v>
      </c>
      <c r="N18" s="2">
        <v>0.9974</v>
      </c>
      <c r="O18" s="2">
        <v>0.0</v>
      </c>
      <c r="P18" s="2">
        <v>0.94</v>
      </c>
      <c r="Q18" s="2">
        <v>0.0</v>
      </c>
      <c r="R18" s="2">
        <v>0.1954</v>
      </c>
      <c r="S18" s="2">
        <v>54.12</v>
      </c>
      <c r="T18" s="2">
        <v>50.0</v>
      </c>
      <c r="V18" s="2">
        <f t="shared" si="2"/>
        <v>19.12486096</v>
      </c>
      <c r="W18" s="2">
        <f t="shared" si="3"/>
        <v>5.007644389</v>
      </c>
      <c r="X18" s="2">
        <f t="shared" si="4"/>
        <v>4.920606311</v>
      </c>
      <c r="Y18" s="2">
        <f t="shared" ref="Y18:Z18" si="21">_xlfn.NORM.S.DIST(W18)</f>
        <v>0.9999997245</v>
      </c>
      <c r="Z18" s="2">
        <f t="shared" si="21"/>
        <v>0.9999995686</v>
      </c>
      <c r="AA18" s="2">
        <f t="shared" si="6"/>
        <v>18.9</v>
      </c>
    </row>
    <row r="19" ht="14.25" customHeight="1">
      <c r="A19" s="2" t="s">
        <v>107</v>
      </c>
      <c r="B19" s="2" t="s">
        <v>108</v>
      </c>
      <c r="C19" s="2" t="s">
        <v>109</v>
      </c>
      <c r="D19" s="2" t="s">
        <v>29</v>
      </c>
      <c r="E19" s="2">
        <v>35.0</v>
      </c>
      <c r="F19" s="2" t="s">
        <v>30</v>
      </c>
      <c r="G19" s="2">
        <v>17.2</v>
      </c>
      <c r="I19" s="2">
        <v>20.4</v>
      </c>
      <c r="K19" s="2">
        <v>0.0</v>
      </c>
      <c r="L19" s="2">
        <v>0.0</v>
      </c>
      <c r="M19" s="2" t="s">
        <v>48</v>
      </c>
      <c r="N19" s="2">
        <v>0.9943</v>
      </c>
      <c r="O19" s="2">
        <v>2.0E-4</v>
      </c>
      <c r="P19" s="2">
        <v>2.1333</v>
      </c>
      <c r="Q19" s="2">
        <v>0.0258</v>
      </c>
      <c r="R19" s="2">
        <v>0.3633</v>
      </c>
      <c r="S19" s="2">
        <v>53.89</v>
      </c>
      <c r="T19" s="2">
        <v>47.0</v>
      </c>
      <c r="V19" s="2">
        <f t="shared" si="2"/>
        <v>18.90042293</v>
      </c>
      <c r="W19" s="2">
        <f t="shared" si="3"/>
        <v>2.750833031</v>
      </c>
      <c r="X19" s="2">
        <f t="shared" si="4"/>
        <v>2.593936241</v>
      </c>
      <c r="Y19" s="2">
        <f t="shared" ref="Y19:Z19" si="22">_xlfn.NORM.S.DIST(W19)</f>
        <v>0.9970278033</v>
      </c>
      <c r="Z19" s="2">
        <f t="shared" si="22"/>
        <v>0.9952557959</v>
      </c>
      <c r="AA19" s="2">
        <f t="shared" si="6"/>
        <v>18.8</v>
      </c>
    </row>
    <row r="20" ht="14.25" customHeight="1">
      <c r="A20" s="2" t="s">
        <v>107</v>
      </c>
      <c r="B20" s="2" t="s">
        <v>108</v>
      </c>
      <c r="C20" s="2" t="s">
        <v>109</v>
      </c>
      <c r="D20" s="2" t="s">
        <v>29</v>
      </c>
      <c r="E20" s="2">
        <v>35.0</v>
      </c>
      <c r="F20" s="2" t="s">
        <v>30</v>
      </c>
      <c r="G20" s="2">
        <v>17.1</v>
      </c>
      <c r="I20" s="2">
        <v>20.4</v>
      </c>
      <c r="K20" s="2">
        <v>0.0</v>
      </c>
      <c r="L20" s="2">
        <v>0.0</v>
      </c>
      <c r="M20" s="2" t="s">
        <v>49</v>
      </c>
      <c r="N20" s="2">
        <v>0.9947</v>
      </c>
      <c r="O20" s="2">
        <v>0.0</v>
      </c>
      <c r="P20" s="2">
        <v>2.17</v>
      </c>
      <c r="Q20" s="2">
        <v>0.0013</v>
      </c>
      <c r="R20" s="2">
        <v>0.2949</v>
      </c>
      <c r="S20" s="2">
        <v>53.92</v>
      </c>
      <c r="T20" s="2">
        <v>46.0</v>
      </c>
      <c r="V20" s="2">
        <f t="shared" si="2"/>
        <v>18.92487719</v>
      </c>
      <c r="W20" s="2">
        <f t="shared" si="3"/>
        <v>3.429924192</v>
      </c>
      <c r="X20" s="2">
        <f t="shared" si="4"/>
        <v>3.30392916</v>
      </c>
      <c r="Y20" s="2">
        <f t="shared" ref="Y20:Z20" si="23">_xlfn.NORM.S.DIST(W20)</f>
        <v>0.999698125</v>
      </c>
      <c r="Z20" s="2">
        <f t="shared" si="23"/>
        <v>0.9995233004</v>
      </c>
      <c r="AA20" s="2">
        <f t="shared" si="6"/>
        <v>18.75</v>
      </c>
    </row>
    <row r="21" ht="14.25" customHeight="1">
      <c r="A21" s="2" t="s">
        <v>107</v>
      </c>
      <c r="B21" s="2" t="s">
        <v>108</v>
      </c>
      <c r="C21" s="2" t="s">
        <v>109</v>
      </c>
      <c r="D21" s="2" t="s">
        <v>29</v>
      </c>
      <c r="E21" s="2">
        <v>35.0</v>
      </c>
      <c r="F21" s="2" t="s">
        <v>30</v>
      </c>
      <c r="G21" s="2">
        <v>17.2</v>
      </c>
      <c r="I21" s="2">
        <v>20.6</v>
      </c>
      <c r="K21" s="2">
        <v>0.0</v>
      </c>
      <c r="L21" s="2">
        <v>0.0</v>
      </c>
      <c r="M21" s="2" t="s">
        <v>50</v>
      </c>
      <c r="N21" s="2">
        <v>0.9901</v>
      </c>
      <c r="O21" s="2">
        <v>0.0015</v>
      </c>
      <c r="P21" s="2">
        <v>1.6404</v>
      </c>
      <c r="Q21" s="2">
        <v>0.2596</v>
      </c>
      <c r="R21" s="2">
        <v>0.4907</v>
      </c>
      <c r="S21" s="2">
        <v>53.94</v>
      </c>
      <c r="T21" s="2">
        <v>45.0</v>
      </c>
      <c r="V21" s="2">
        <f t="shared" si="2"/>
        <v>19.00205868</v>
      </c>
      <c r="W21" s="2">
        <f t="shared" si="3"/>
        <v>2.085875694</v>
      </c>
      <c r="X21" s="2">
        <f t="shared" si="4"/>
        <v>1.878517098</v>
      </c>
      <c r="Y21" s="2">
        <f t="shared" ref="Y21:Z21" si="24">_xlfn.NORM.S.DIST(W21)</f>
        <v>0.9815050577</v>
      </c>
      <c r="Z21" s="2">
        <f t="shared" si="24"/>
        <v>0.9698447698</v>
      </c>
      <c r="AA21" s="2">
        <f t="shared" si="6"/>
        <v>18.9</v>
      </c>
    </row>
    <row r="22" ht="14.25" customHeight="1">
      <c r="A22" s="2" t="s">
        <v>107</v>
      </c>
      <c r="B22" s="2" t="s">
        <v>108</v>
      </c>
      <c r="C22" s="2" t="s">
        <v>109</v>
      </c>
      <c r="D22" s="2" t="s">
        <v>29</v>
      </c>
      <c r="E22" s="2">
        <v>35.0</v>
      </c>
      <c r="F22" s="2" t="s">
        <v>30</v>
      </c>
      <c r="G22" s="2">
        <v>17.0</v>
      </c>
      <c r="I22" s="2">
        <v>20.3</v>
      </c>
      <c r="K22" s="2">
        <v>0.0</v>
      </c>
      <c r="L22" s="2">
        <v>0.0</v>
      </c>
      <c r="M22" s="2" t="s">
        <v>51</v>
      </c>
      <c r="N22" s="2">
        <v>0.9946</v>
      </c>
      <c r="O22" s="2">
        <v>2.0E-4</v>
      </c>
      <c r="P22" s="2">
        <v>2.1391</v>
      </c>
      <c r="Q22" s="2">
        <v>0.0248</v>
      </c>
      <c r="R22" s="2">
        <v>0.3752</v>
      </c>
      <c r="S22" s="2">
        <v>53.83</v>
      </c>
      <c r="T22" s="2">
        <v>44.0</v>
      </c>
      <c r="V22" s="2">
        <f t="shared" si="2"/>
        <v>18.84022468</v>
      </c>
      <c r="W22" s="2">
        <f t="shared" si="3"/>
        <v>2.745787844</v>
      </c>
      <c r="X22" s="2">
        <f t="shared" si="4"/>
        <v>2.58900848</v>
      </c>
      <c r="Y22" s="2">
        <f t="shared" ref="Y22:Z22" si="25">_xlfn.NORM.S.DIST(W22)</f>
        <v>0.9969817107</v>
      </c>
      <c r="Z22" s="2">
        <f t="shared" si="25"/>
        <v>0.9951873638</v>
      </c>
      <c r="AA22" s="2">
        <f t="shared" si="6"/>
        <v>18.65</v>
      </c>
    </row>
    <row r="23" ht="14.25" customHeight="1">
      <c r="A23" s="2" t="s">
        <v>107</v>
      </c>
      <c r="B23" s="2" t="s">
        <v>108</v>
      </c>
      <c r="C23" s="2" t="s">
        <v>110</v>
      </c>
      <c r="D23" s="2" t="s">
        <v>29</v>
      </c>
      <c r="E23" s="2">
        <v>35.0</v>
      </c>
      <c r="F23" s="2" t="s">
        <v>30</v>
      </c>
      <c r="G23" s="2">
        <v>18.1</v>
      </c>
      <c r="I23" s="2">
        <v>21.2</v>
      </c>
      <c r="K23" s="2">
        <v>0.0</v>
      </c>
      <c r="L23" s="2">
        <v>0.0</v>
      </c>
      <c r="M23" s="2" t="s">
        <v>53</v>
      </c>
      <c r="N23" s="2">
        <v>0.9945</v>
      </c>
      <c r="O23" s="2">
        <v>2.0E-4</v>
      </c>
      <c r="P23" s="2">
        <v>2.161</v>
      </c>
      <c r="Q23" s="2">
        <v>0.0357</v>
      </c>
      <c r="R23" s="2">
        <v>0.4074</v>
      </c>
      <c r="S23" s="2">
        <v>54.73</v>
      </c>
      <c r="T23" s="2">
        <v>43.0</v>
      </c>
      <c r="V23" s="2">
        <f t="shared" si="2"/>
        <v>19.74276742</v>
      </c>
      <c r="W23" s="2">
        <f t="shared" si="3"/>
        <v>2.656529621</v>
      </c>
      <c r="X23" s="2">
        <f t="shared" si="4"/>
        <v>2.488240911</v>
      </c>
      <c r="Y23" s="2">
        <f t="shared" ref="Y23:Z23" si="26">_xlfn.NORM.S.DIST(W23)</f>
        <v>0.9960525243</v>
      </c>
      <c r="Z23" s="2">
        <f t="shared" si="26"/>
        <v>0.9935811631</v>
      </c>
      <c r="AA23" s="2">
        <f t="shared" si="6"/>
        <v>19.65</v>
      </c>
    </row>
    <row r="24" ht="14.25" customHeight="1">
      <c r="A24" s="2" t="s">
        <v>107</v>
      </c>
      <c r="B24" s="2" t="s">
        <v>108</v>
      </c>
      <c r="C24" s="2" t="s">
        <v>110</v>
      </c>
      <c r="D24" s="2" t="s">
        <v>29</v>
      </c>
      <c r="E24" s="2">
        <v>35.0</v>
      </c>
      <c r="F24" s="2" t="s">
        <v>30</v>
      </c>
      <c r="G24" s="2">
        <v>17.4</v>
      </c>
      <c r="I24" s="2">
        <v>20.5</v>
      </c>
      <c r="K24" s="2">
        <v>0.0</v>
      </c>
      <c r="L24" s="2">
        <v>0.0</v>
      </c>
      <c r="M24" s="2" t="s">
        <v>54</v>
      </c>
      <c r="N24" s="2">
        <v>0.9953</v>
      </c>
      <c r="O24" s="2">
        <v>0.0</v>
      </c>
      <c r="P24" s="2">
        <v>2.2443</v>
      </c>
      <c r="Q24" s="2">
        <v>4.0E-4</v>
      </c>
      <c r="R24" s="2">
        <v>0.3001</v>
      </c>
      <c r="S24" s="2">
        <v>54.06</v>
      </c>
      <c r="T24" s="2">
        <v>40.0</v>
      </c>
      <c r="V24" s="2">
        <f t="shared" si="2"/>
        <v>19.06405728</v>
      </c>
      <c r="W24" s="2">
        <f t="shared" si="3"/>
        <v>3.636137964</v>
      </c>
      <c r="X24" s="2">
        <f t="shared" si="4"/>
        <v>3.516575262</v>
      </c>
      <c r="Y24" s="2">
        <f t="shared" ref="Y24:Z24" si="27">_xlfn.NORM.S.DIST(W24)</f>
        <v>0.9998616219</v>
      </c>
      <c r="Z24" s="2">
        <f t="shared" si="27"/>
        <v>0.9997814236</v>
      </c>
      <c r="AA24" s="2">
        <f t="shared" si="6"/>
        <v>18.95</v>
      </c>
    </row>
    <row r="25" ht="14.25" customHeight="1">
      <c r="A25" s="2" t="s">
        <v>107</v>
      </c>
      <c r="B25" s="2" t="s">
        <v>108</v>
      </c>
      <c r="C25" s="2" t="s">
        <v>110</v>
      </c>
      <c r="D25" s="2" t="s">
        <v>29</v>
      </c>
      <c r="E25" s="2">
        <v>35.0</v>
      </c>
      <c r="F25" s="2" t="s">
        <v>30</v>
      </c>
      <c r="G25" s="2">
        <v>18.3</v>
      </c>
      <c r="I25" s="2">
        <v>21.3</v>
      </c>
      <c r="K25" s="2">
        <v>0.0</v>
      </c>
      <c r="L25" s="2">
        <v>0.0</v>
      </c>
      <c r="M25" s="2" t="s">
        <v>55</v>
      </c>
      <c r="N25" s="2">
        <v>0.9951</v>
      </c>
      <c r="O25" s="2">
        <v>2.0E-4</v>
      </c>
      <c r="P25" s="2">
        <v>2.2602</v>
      </c>
      <c r="Q25" s="2">
        <v>0.0214</v>
      </c>
      <c r="R25" s="2">
        <v>0.4149</v>
      </c>
      <c r="S25" s="2">
        <v>54.9</v>
      </c>
      <c r="T25" s="2">
        <v>39.0</v>
      </c>
      <c r="V25" s="2">
        <f t="shared" si="2"/>
        <v>19.90977532</v>
      </c>
      <c r="W25" s="2">
        <f t="shared" si="3"/>
        <v>2.758014435</v>
      </c>
      <c r="X25" s="2">
        <f t="shared" si="4"/>
        <v>2.594793648</v>
      </c>
      <c r="Y25" s="2">
        <f t="shared" ref="Y25:Z25" si="28">_xlfn.NORM.S.DIST(W25)</f>
        <v>0.9970923185</v>
      </c>
      <c r="Z25" s="2">
        <f t="shared" si="28"/>
        <v>0.9952676138</v>
      </c>
      <c r="AA25" s="2">
        <f t="shared" si="6"/>
        <v>19.8</v>
      </c>
    </row>
    <row r="26" ht="14.25" customHeight="1">
      <c r="A26" s="2" t="s">
        <v>107</v>
      </c>
      <c r="B26" s="2" t="s">
        <v>108</v>
      </c>
      <c r="C26" s="2" t="s">
        <v>110</v>
      </c>
      <c r="D26" s="2" t="s">
        <v>29</v>
      </c>
      <c r="E26" s="2">
        <v>35.0</v>
      </c>
      <c r="F26" s="2" t="s">
        <v>30</v>
      </c>
      <c r="G26" s="2">
        <v>18.2</v>
      </c>
      <c r="I26" s="2">
        <v>21.5</v>
      </c>
      <c r="K26" s="2">
        <v>0.0</v>
      </c>
      <c r="L26" s="2">
        <v>0.0</v>
      </c>
      <c r="M26" s="2" t="s">
        <v>56</v>
      </c>
      <c r="N26" s="2">
        <v>0.9782</v>
      </c>
      <c r="O26" s="2">
        <v>0.0035</v>
      </c>
      <c r="P26" s="2">
        <v>-0.3053</v>
      </c>
      <c r="Q26" s="2">
        <v>0.7519</v>
      </c>
      <c r="R26" s="2">
        <v>0.6973</v>
      </c>
      <c r="S26" s="2">
        <v>55.04</v>
      </c>
      <c r="T26" s="2">
        <v>38.0</v>
      </c>
      <c r="V26" s="2">
        <f t="shared" si="2"/>
        <v>20.26214573</v>
      </c>
      <c r="W26" s="2">
        <f t="shared" si="3"/>
        <v>1.671902473</v>
      </c>
      <c r="X26" s="2">
        <f t="shared" si="4"/>
        <v>1.401125834</v>
      </c>
      <c r="Y26" s="2">
        <f t="shared" ref="Y26:Z26" si="29">_xlfn.NORM.S.DIST(W26)</f>
        <v>0.9527282224</v>
      </c>
      <c r="Z26" s="2">
        <f t="shared" si="29"/>
        <v>0.9194117762</v>
      </c>
      <c r="AA26" s="2">
        <f t="shared" si="6"/>
        <v>19.85</v>
      </c>
    </row>
    <row r="27" ht="14.25" customHeight="1">
      <c r="A27" s="2" t="s">
        <v>107</v>
      </c>
      <c r="B27" s="2" t="s">
        <v>108</v>
      </c>
      <c r="C27" s="2" t="s">
        <v>110</v>
      </c>
      <c r="D27" s="2" t="s">
        <v>29</v>
      </c>
      <c r="E27" s="2">
        <v>35.0</v>
      </c>
      <c r="F27" s="2" t="s">
        <v>30</v>
      </c>
      <c r="G27" s="2">
        <v>18.1</v>
      </c>
      <c r="I27" s="2">
        <v>21.4</v>
      </c>
      <c r="K27" s="2">
        <v>0.0</v>
      </c>
      <c r="L27" s="2">
        <v>0.0</v>
      </c>
      <c r="M27" s="2" t="s">
        <v>57</v>
      </c>
      <c r="N27" s="2">
        <v>0.9853</v>
      </c>
      <c r="O27" s="2">
        <v>0.0025</v>
      </c>
      <c r="P27" s="2">
        <v>0.7834</v>
      </c>
      <c r="Q27" s="2">
        <v>0.4724</v>
      </c>
      <c r="R27" s="2">
        <v>0.6371</v>
      </c>
      <c r="S27" s="2">
        <v>54.84</v>
      </c>
      <c r="T27" s="2">
        <v>37.0</v>
      </c>
      <c r="V27" s="2">
        <f t="shared" si="2"/>
        <v>19.97401131</v>
      </c>
      <c r="W27" s="2">
        <f t="shared" si="3"/>
        <v>1.839532989</v>
      </c>
      <c r="X27" s="2">
        <f t="shared" si="4"/>
        <v>1.595410271</v>
      </c>
      <c r="Y27" s="2">
        <f t="shared" ref="Y27:Z27" si="30">_xlfn.NORM.S.DIST(W27)</f>
        <v>0.9670815848</v>
      </c>
      <c r="Z27" s="2">
        <f t="shared" si="30"/>
        <v>0.9446897396</v>
      </c>
      <c r="AA27" s="2">
        <f t="shared" si="6"/>
        <v>19.75</v>
      </c>
    </row>
    <row r="28" ht="14.25" customHeight="1">
      <c r="A28" s="2" t="s">
        <v>107</v>
      </c>
      <c r="B28" s="2" t="s">
        <v>108</v>
      </c>
      <c r="C28" s="2" t="s">
        <v>110</v>
      </c>
      <c r="D28" s="2" t="s">
        <v>29</v>
      </c>
      <c r="E28" s="2">
        <v>35.0</v>
      </c>
      <c r="F28" s="2" t="s">
        <v>30</v>
      </c>
      <c r="G28" s="2">
        <v>18.3</v>
      </c>
      <c r="I28" s="2">
        <v>21.5</v>
      </c>
      <c r="K28" s="2">
        <v>0.0</v>
      </c>
      <c r="L28" s="2">
        <v>0.0</v>
      </c>
      <c r="M28" s="2" t="s">
        <v>58</v>
      </c>
      <c r="N28" s="2">
        <v>0.9941</v>
      </c>
      <c r="O28" s="2">
        <v>5.0E-4</v>
      </c>
      <c r="P28" s="2">
        <v>2.1126</v>
      </c>
      <c r="Q28" s="2">
        <v>0.0892</v>
      </c>
      <c r="R28" s="2">
        <v>0.5016</v>
      </c>
      <c r="S28" s="2">
        <v>55.0</v>
      </c>
      <c r="T28" s="2">
        <v>36.0</v>
      </c>
      <c r="V28" s="2">
        <f t="shared" si="2"/>
        <v>20.02609787</v>
      </c>
      <c r="W28" s="2">
        <f t="shared" si="3"/>
        <v>2.384051503</v>
      </c>
      <c r="X28" s="2">
        <f t="shared" si="4"/>
        <v>2.194464523</v>
      </c>
      <c r="Y28" s="2">
        <f t="shared" ref="Y28:Z28" si="31">_xlfn.NORM.S.DIST(W28)</f>
        <v>0.9914383971</v>
      </c>
      <c r="Z28" s="2">
        <f t="shared" si="31"/>
        <v>0.9858989841</v>
      </c>
      <c r="AA28" s="2">
        <f t="shared" si="6"/>
        <v>19.9</v>
      </c>
    </row>
    <row r="29" ht="14.25" customHeight="1">
      <c r="A29" s="2" t="s">
        <v>107</v>
      </c>
      <c r="B29" s="2" t="s">
        <v>108</v>
      </c>
      <c r="C29" s="2" t="s">
        <v>110</v>
      </c>
      <c r="D29" s="2" t="s">
        <v>29</v>
      </c>
      <c r="E29" s="2">
        <v>35.0</v>
      </c>
      <c r="F29" s="2" t="s">
        <v>30</v>
      </c>
      <c r="G29" s="2">
        <v>17.9</v>
      </c>
      <c r="I29" s="2">
        <v>21.8</v>
      </c>
      <c r="K29" s="2">
        <v>0.0</v>
      </c>
      <c r="L29" s="2">
        <v>0.0</v>
      </c>
      <c r="M29" s="2" t="s">
        <v>59</v>
      </c>
      <c r="N29" s="2">
        <v>0.9959</v>
      </c>
      <c r="O29" s="2">
        <v>0.0</v>
      </c>
      <c r="P29" s="2">
        <v>2.4253</v>
      </c>
      <c r="Q29" s="2">
        <v>0.0</v>
      </c>
      <c r="R29" s="2">
        <v>0.2701</v>
      </c>
      <c r="S29" s="2">
        <v>55.13</v>
      </c>
      <c r="T29" s="2">
        <v>33.0</v>
      </c>
      <c r="V29" s="2">
        <f t="shared" si="2"/>
        <v>20.13320955</v>
      </c>
      <c r="W29" s="2">
        <f t="shared" si="3"/>
        <v>4.648420391</v>
      </c>
      <c r="X29" s="2">
        <f t="shared" si="4"/>
        <v>4.550678377</v>
      </c>
      <c r="Y29" s="2">
        <f t="shared" ref="Y29:Z29" si="32">_xlfn.NORM.S.DIST(W29)</f>
        <v>0.9999983276</v>
      </c>
      <c r="Z29" s="2">
        <f t="shared" si="32"/>
        <v>0.9999973263</v>
      </c>
      <c r="AA29" s="2">
        <f t="shared" si="6"/>
        <v>19.85</v>
      </c>
    </row>
    <row r="30" ht="14.25" customHeight="1">
      <c r="A30" s="2" t="s">
        <v>107</v>
      </c>
      <c r="B30" s="2" t="s">
        <v>108</v>
      </c>
      <c r="C30" s="2" t="s">
        <v>110</v>
      </c>
      <c r="D30" s="2" t="s">
        <v>29</v>
      </c>
      <c r="E30" s="2">
        <v>35.0</v>
      </c>
      <c r="F30" s="2" t="s">
        <v>30</v>
      </c>
      <c r="G30" s="2">
        <v>18.4</v>
      </c>
      <c r="I30" s="2">
        <v>22.4</v>
      </c>
      <c r="K30" s="2">
        <v>0.0</v>
      </c>
      <c r="L30" s="2">
        <v>0.0</v>
      </c>
      <c r="M30" s="2" t="s">
        <v>60</v>
      </c>
      <c r="N30" s="2">
        <v>0.996</v>
      </c>
      <c r="O30" s="2">
        <v>0.0</v>
      </c>
      <c r="P30" s="2">
        <v>2.523</v>
      </c>
      <c r="Q30" s="2">
        <v>0.0</v>
      </c>
      <c r="R30" s="2">
        <v>0.1631</v>
      </c>
      <c r="S30" s="2">
        <v>55.71</v>
      </c>
      <c r="T30" s="2">
        <v>32.0</v>
      </c>
      <c r="V30" s="2">
        <f t="shared" si="2"/>
        <v>20.71311097</v>
      </c>
      <c r="W30" s="2">
        <f t="shared" si="3"/>
        <v>7.997390096</v>
      </c>
      <c r="X30" s="2">
        <f t="shared" si="4"/>
        <v>7.939269684</v>
      </c>
      <c r="Y30" s="2">
        <f t="shared" ref="Y30:Z30" si="33">_xlfn.NORM.S.DIST(W30)</f>
        <v>1</v>
      </c>
      <c r="Z30" s="2">
        <f t="shared" si="33"/>
        <v>1</v>
      </c>
      <c r="AA30" s="2">
        <f t="shared" si="6"/>
        <v>20.4</v>
      </c>
    </row>
    <row r="31" ht="14.25" customHeight="1">
      <c r="A31" s="2" t="s">
        <v>107</v>
      </c>
      <c r="B31" s="2" t="s">
        <v>108</v>
      </c>
      <c r="C31" s="2" t="s">
        <v>110</v>
      </c>
      <c r="D31" s="2" t="s">
        <v>29</v>
      </c>
      <c r="E31" s="2">
        <v>35.0</v>
      </c>
      <c r="F31" s="2" t="s">
        <v>30</v>
      </c>
      <c r="G31" s="2">
        <v>18.5</v>
      </c>
      <c r="I31" s="2">
        <v>22.4</v>
      </c>
      <c r="K31" s="2">
        <v>0.0</v>
      </c>
      <c r="L31" s="2">
        <v>0.0</v>
      </c>
      <c r="M31" s="2" t="s">
        <v>61</v>
      </c>
      <c r="N31" s="2">
        <v>0.9909</v>
      </c>
      <c r="O31" s="2">
        <v>0.0018</v>
      </c>
      <c r="P31" s="2">
        <v>8.0E-4</v>
      </c>
      <c r="Q31" s="2">
        <v>0.3136</v>
      </c>
      <c r="R31" s="2">
        <v>0.6726</v>
      </c>
      <c r="S31" s="2">
        <v>55.38</v>
      </c>
      <c r="T31" s="2">
        <v>31.0</v>
      </c>
      <c r="V31" s="2">
        <f t="shared" si="2"/>
        <v>20.47933065</v>
      </c>
      <c r="W31" s="2">
        <f t="shared" si="3"/>
        <v>1.94514803</v>
      </c>
      <c r="X31" s="2">
        <f t="shared" si="4"/>
        <v>1.70924287</v>
      </c>
      <c r="Y31" s="2">
        <f t="shared" ref="Y31:Z31" si="34">_xlfn.NORM.S.DIST(W31)</f>
        <v>0.9741214177</v>
      </c>
      <c r="Z31" s="2">
        <f t="shared" si="34"/>
        <v>0.9562970146</v>
      </c>
      <c r="AA31" s="2">
        <f t="shared" si="6"/>
        <v>20.45</v>
      </c>
    </row>
    <row r="32" ht="14.25" customHeight="1">
      <c r="A32" s="2" t="s">
        <v>107</v>
      </c>
      <c r="B32" s="2" t="s">
        <v>108</v>
      </c>
      <c r="C32" s="2" t="s">
        <v>110</v>
      </c>
      <c r="D32" s="2" t="s">
        <v>29</v>
      </c>
      <c r="E32" s="2">
        <v>35.0</v>
      </c>
      <c r="F32" s="2" t="s">
        <v>30</v>
      </c>
      <c r="G32" s="2">
        <v>18.2</v>
      </c>
      <c r="I32" s="2">
        <v>22.1</v>
      </c>
      <c r="K32" s="2">
        <v>0.0</v>
      </c>
      <c r="L32" s="2">
        <v>0.0</v>
      </c>
      <c r="M32" s="2" t="s">
        <v>62</v>
      </c>
      <c r="N32" s="2">
        <v>0.996</v>
      </c>
      <c r="O32" s="2">
        <v>0.0</v>
      </c>
      <c r="P32" s="2">
        <v>2.6579</v>
      </c>
      <c r="Q32" s="2">
        <v>0.0</v>
      </c>
      <c r="R32" s="2">
        <v>0.1327</v>
      </c>
      <c r="S32" s="2">
        <v>55.47</v>
      </c>
      <c r="T32" s="2">
        <v>30.0</v>
      </c>
      <c r="V32" s="2">
        <f t="shared" si="2"/>
        <v>20.47291655</v>
      </c>
      <c r="W32" s="2">
        <f t="shared" si="3"/>
        <v>10.05756744</v>
      </c>
      <c r="X32" s="2">
        <f t="shared" si="4"/>
        <v>10.01178159</v>
      </c>
      <c r="Y32" s="2">
        <f t="shared" ref="Y32:Z32" si="35">_xlfn.NORM.S.DIST(W32)</f>
        <v>1</v>
      </c>
      <c r="Z32" s="2">
        <f t="shared" si="35"/>
        <v>1</v>
      </c>
      <c r="AA32" s="2">
        <f t="shared" si="6"/>
        <v>20.15</v>
      </c>
    </row>
    <row r="33" ht="14.25" customHeight="1">
      <c r="A33" s="2" t="s">
        <v>107</v>
      </c>
      <c r="B33" s="2" t="s">
        <v>108</v>
      </c>
      <c r="C33" s="2" t="s">
        <v>110</v>
      </c>
      <c r="D33" s="2" t="s">
        <v>29</v>
      </c>
      <c r="E33" s="2">
        <v>35.0</v>
      </c>
      <c r="F33" s="2" t="s">
        <v>30</v>
      </c>
      <c r="G33" s="2">
        <v>18.4</v>
      </c>
      <c r="I33" s="2">
        <v>22.2</v>
      </c>
      <c r="K33" s="2">
        <v>0.0</v>
      </c>
      <c r="L33" s="2">
        <v>0.0</v>
      </c>
      <c r="M33" s="2" t="s">
        <v>63</v>
      </c>
      <c r="N33" s="2">
        <v>0.9456</v>
      </c>
      <c r="O33" s="2">
        <v>0.0063</v>
      </c>
      <c r="P33" s="2">
        <v>-8.5093</v>
      </c>
      <c r="Q33" s="2">
        <v>1.5907</v>
      </c>
      <c r="R33" s="2">
        <v>1.0809</v>
      </c>
      <c r="S33" s="2">
        <v>55.11</v>
      </c>
      <c r="T33" s="2">
        <v>29.0</v>
      </c>
      <c r="V33" s="2">
        <f t="shared" si="2"/>
        <v>20.88090501</v>
      </c>
      <c r="W33" s="2">
        <f t="shared" si="3"/>
        <v>1.238099265</v>
      </c>
      <c r="X33" s="2">
        <f t="shared" si="4"/>
        <v>0.8714217792</v>
      </c>
      <c r="Y33" s="2">
        <f t="shared" ref="Y33:Z33" si="36">_xlfn.NORM.S.DIST(W33)</f>
        <v>0.8921603719</v>
      </c>
      <c r="Z33" s="2">
        <f t="shared" si="36"/>
        <v>0.8082380508</v>
      </c>
      <c r="AA33" s="2">
        <f t="shared" si="6"/>
        <v>20.3</v>
      </c>
    </row>
    <row r="34" ht="14.25" customHeight="1">
      <c r="A34" s="2" t="s">
        <v>107</v>
      </c>
      <c r="B34" s="2" t="s">
        <v>108</v>
      </c>
      <c r="C34" s="2" t="s">
        <v>110</v>
      </c>
      <c r="D34" s="2" t="s">
        <v>29</v>
      </c>
      <c r="E34" s="2">
        <v>35.0</v>
      </c>
      <c r="F34" s="2" t="s">
        <v>30</v>
      </c>
      <c r="G34" s="2">
        <v>18.3</v>
      </c>
      <c r="I34" s="2">
        <v>22.4</v>
      </c>
      <c r="K34" s="2">
        <v>0.0</v>
      </c>
      <c r="L34" s="2">
        <v>0.0</v>
      </c>
      <c r="M34" s="2" t="s">
        <v>64</v>
      </c>
      <c r="N34" s="2">
        <v>0.9957</v>
      </c>
      <c r="O34" s="2">
        <v>0.0</v>
      </c>
      <c r="P34" s="2">
        <v>3.4844</v>
      </c>
      <c r="Q34" s="2">
        <v>0.0</v>
      </c>
      <c r="R34" s="2">
        <v>0.3341</v>
      </c>
      <c r="S34" s="2">
        <v>55.46</v>
      </c>
      <c r="T34" s="2">
        <v>25.0</v>
      </c>
      <c r="V34" s="2">
        <f t="shared" si="2"/>
        <v>20.46243614</v>
      </c>
      <c r="W34" s="2">
        <f t="shared" si="3"/>
        <v>4.37429385</v>
      </c>
      <c r="X34" s="2">
        <f t="shared" si="4"/>
        <v>4.269062241</v>
      </c>
      <c r="Y34" s="2">
        <f t="shared" ref="Y34:Z34" si="37">_xlfn.NORM.S.DIST(W34)</f>
        <v>0.9999939087</v>
      </c>
      <c r="Z34" s="2">
        <f t="shared" si="37"/>
        <v>0.9999901852</v>
      </c>
      <c r="AA34" s="2">
        <f t="shared" si="6"/>
        <v>20.35</v>
      </c>
    </row>
    <row r="35" ht="14.25" customHeight="1">
      <c r="A35" s="2" t="s">
        <v>107</v>
      </c>
      <c r="B35" s="2" t="s">
        <v>108</v>
      </c>
      <c r="C35" s="2" t="s">
        <v>110</v>
      </c>
      <c r="D35" s="2" t="s">
        <v>29</v>
      </c>
      <c r="E35" s="2">
        <v>35.0</v>
      </c>
      <c r="F35" s="2" t="s">
        <v>30</v>
      </c>
      <c r="G35" s="2">
        <v>17.8</v>
      </c>
      <c r="I35" s="2">
        <v>21.9</v>
      </c>
      <c r="K35" s="2">
        <v>0.0</v>
      </c>
      <c r="L35" s="2">
        <v>0.0</v>
      </c>
      <c r="M35" s="2" t="s">
        <v>65</v>
      </c>
      <c r="N35" s="2">
        <v>0.9365</v>
      </c>
      <c r="O35" s="2">
        <v>0.0069</v>
      </c>
      <c r="P35" s="2">
        <v>-12.4713</v>
      </c>
      <c r="Q35" s="2">
        <v>1.6252</v>
      </c>
      <c r="R35" s="2">
        <v>1.238</v>
      </c>
      <c r="S35" s="2">
        <v>54.54</v>
      </c>
      <c r="T35" s="2">
        <v>24.0</v>
      </c>
      <c r="V35" s="2">
        <f t="shared" si="2"/>
        <v>20.47342459</v>
      </c>
      <c r="W35" s="2">
        <f t="shared" si="3"/>
        <v>1.161053268</v>
      </c>
      <c r="X35" s="2">
        <f t="shared" si="4"/>
        <v>0.7789981732</v>
      </c>
      <c r="Y35" s="2">
        <f t="shared" ref="Y35:Z35" si="38">_xlfn.NORM.S.DIST(W35)</f>
        <v>0.8771898812</v>
      </c>
      <c r="Z35" s="2">
        <f t="shared" si="38"/>
        <v>0.7820096046</v>
      </c>
      <c r="AA35" s="2">
        <f t="shared" si="6"/>
        <v>19.85</v>
      </c>
    </row>
    <row r="36" ht="14.25" customHeight="1">
      <c r="A36" s="2" t="s">
        <v>107</v>
      </c>
      <c r="B36" s="2" t="s">
        <v>108</v>
      </c>
      <c r="C36" s="2" t="s">
        <v>110</v>
      </c>
      <c r="D36" s="2" t="s">
        <v>29</v>
      </c>
      <c r="E36" s="2">
        <v>35.0</v>
      </c>
      <c r="F36" s="2" t="s">
        <v>30</v>
      </c>
      <c r="G36" s="2">
        <v>17.0</v>
      </c>
      <c r="I36" s="2">
        <v>21.1</v>
      </c>
      <c r="K36" s="2">
        <v>0.0</v>
      </c>
      <c r="L36" s="2">
        <v>0.0</v>
      </c>
      <c r="M36" s="2" t="s">
        <v>66</v>
      </c>
      <c r="N36" s="2">
        <v>0.9895</v>
      </c>
      <c r="O36" s="2">
        <v>0.0019</v>
      </c>
      <c r="P36" s="2">
        <v>2.0411</v>
      </c>
      <c r="Q36" s="2">
        <v>0.24</v>
      </c>
      <c r="R36" s="2">
        <v>0.7254</v>
      </c>
      <c r="S36" s="2">
        <v>53.87</v>
      </c>
      <c r="T36" s="2">
        <v>23.0</v>
      </c>
      <c r="V36" s="2">
        <f t="shared" si="2"/>
        <v>18.95602429</v>
      </c>
      <c r="W36" s="2">
        <f t="shared" si="3"/>
        <v>1.967720508</v>
      </c>
      <c r="X36" s="2">
        <f t="shared" si="4"/>
        <v>1.748570648</v>
      </c>
      <c r="Y36" s="2">
        <f t="shared" ref="Y36:Z36" si="39">_xlfn.NORM.S.DIST(W36)</f>
        <v>0.9754498976</v>
      </c>
      <c r="Z36" s="2">
        <f t="shared" si="39"/>
        <v>0.9598173681</v>
      </c>
      <c r="AA36" s="2">
        <f t="shared" si="6"/>
        <v>19.05</v>
      </c>
    </row>
    <row r="37" ht="14.25" customHeight="1">
      <c r="A37" s="2" t="s">
        <v>107</v>
      </c>
      <c r="B37" s="2" t="s">
        <v>108</v>
      </c>
      <c r="C37" s="2" t="s">
        <v>110</v>
      </c>
      <c r="D37" s="2" t="s">
        <v>29</v>
      </c>
      <c r="E37" s="2">
        <v>35.0</v>
      </c>
      <c r="F37" s="2" t="s">
        <v>30</v>
      </c>
      <c r="G37" s="2">
        <v>17.0</v>
      </c>
      <c r="I37" s="2">
        <v>21.6</v>
      </c>
      <c r="K37" s="2">
        <v>0.0</v>
      </c>
      <c r="L37" s="2">
        <v>0.0</v>
      </c>
      <c r="M37" s="2" t="s">
        <v>67</v>
      </c>
      <c r="N37" s="2">
        <v>0.9961</v>
      </c>
      <c r="O37" s="2">
        <v>0.0</v>
      </c>
      <c r="P37" s="2">
        <v>3.4932</v>
      </c>
      <c r="Q37" s="2">
        <v>0.0</v>
      </c>
      <c r="R37" s="2">
        <v>0.201</v>
      </c>
      <c r="S37" s="2">
        <v>54.5</v>
      </c>
      <c r="T37" s="2">
        <v>22.0</v>
      </c>
      <c r="V37" s="2">
        <f t="shared" si="2"/>
        <v>19.50213882</v>
      </c>
      <c r="W37" s="2">
        <f t="shared" si="3"/>
        <v>7.456793403</v>
      </c>
      <c r="X37" s="2">
        <f t="shared" si="4"/>
        <v>7.39740425</v>
      </c>
      <c r="Y37" s="2">
        <f t="shared" ref="Y37:Z37" si="40">_xlfn.NORM.S.DIST(W37)</f>
        <v>1</v>
      </c>
      <c r="Z37" s="2">
        <f t="shared" si="40"/>
        <v>1</v>
      </c>
      <c r="AA37" s="2">
        <f t="shared" si="6"/>
        <v>19.3</v>
      </c>
    </row>
    <row r="38" ht="14.25" customHeight="1">
      <c r="A38" s="2" t="s">
        <v>107</v>
      </c>
      <c r="B38" s="2" t="s">
        <v>108</v>
      </c>
      <c r="C38" s="2" t="s">
        <v>110</v>
      </c>
      <c r="D38" s="2" t="s">
        <v>29</v>
      </c>
      <c r="E38" s="2">
        <v>35.0</v>
      </c>
      <c r="F38" s="2" t="s">
        <v>30</v>
      </c>
      <c r="G38" s="2">
        <v>16.2</v>
      </c>
      <c r="I38" s="2">
        <v>20.4</v>
      </c>
      <c r="K38" s="2">
        <v>0.0</v>
      </c>
      <c r="L38" s="2">
        <v>0.0</v>
      </c>
      <c r="M38" s="2" t="s">
        <v>68</v>
      </c>
      <c r="N38" s="2">
        <v>0.9386</v>
      </c>
      <c r="O38" s="2">
        <v>0.0076</v>
      </c>
      <c r="P38" s="2">
        <v>-14.4101</v>
      </c>
      <c r="Q38" s="2">
        <v>1.3772</v>
      </c>
      <c r="R38" s="2">
        <v>1.2897</v>
      </c>
      <c r="S38" s="2">
        <v>53.02</v>
      </c>
      <c r="T38" s="2">
        <v>19.0</v>
      </c>
      <c r="V38" s="2">
        <f t="shared" si="2"/>
        <v>18.86291151</v>
      </c>
      <c r="W38" s="2">
        <f t="shared" si="3"/>
        <v>1.172786091</v>
      </c>
      <c r="X38" s="2">
        <f t="shared" si="4"/>
        <v>0.8186540443</v>
      </c>
      <c r="Y38" s="2">
        <f t="shared" ref="Y38:Z38" si="41">_xlfn.NORM.S.DIST(W38)</f>
        <v>0.8795592015</v>
      </c>
      <c r="Z38" s="2">
        <f t="shared" si="41"/>
        <v>0.7935080884</v>
      </c>
      <c r="AA38" s="2">
        <f t="shared" si="6"/>
        <v>18.3</v>
      </c>
    </row>
    <row r="39" ht="14.25" customHeight="1">
      <c r="A39" s="2" t="s">
        <v>107</v>
      </c>
      <c r="B39" s="2" t="s">
        <v>108</v>
      </c>
      <c r="C39" s="2" t="s">
        <v>110</v>
      </c>
      <c r="D39" s="2" t="s">
        <v>29</v>
      </c>
      <c r="E39" s="2">
        <v>35.0</v>
      </c>
      <c r="F39" s="2" t="s">
        <v>30</v>
      </c>
      <c r="G39" s="2">
        <v>16.1</v>
      </c>
      <c r="I39" s="2">
        <v>20.0</v>
      </c>
      <c r="K39" s="2">
        <v>0.0</v>
      </c>
      <c r="L39" s="2">
        <v>0.0</v>
      </c>
      <c r="M39" s="2" t="s">
        <v>69</v>
      </c>
      <c r="N39" s="2">
        <v>0.9968</v>
      </c>
      <c r="O39" s="2">
        <v>0.0</v>
      </c>
      <c r="P39" s="2">
        <v>3.5273</v>
      </c>
      <c r="Q39" s="2">
        <v>0.0</v>
      </c>
      <c r="R39" s="2">
        <v>0.3932</v>
      </c>
      <c r="S39" s="2">
        <v>53.28</v>
      </c>
      <c r="T39" s="2">
        <v>18.0</v>
      </c>
      <c r="V39" s="2">
        <f t="shared" si="2"/>
        <v>18.28178147</v>
      </c>
      <c r="W39" s="2">
        <f t="shared" si="3"/>
        <v>3.998710436</v>
      </c>
      <c r="X39" s="2">
        <f t="shared" si="4"/>
        <v>3.893623316</v>
      </c>
      <c r="Y39" s="2">
        <f t="shared" ref="Y39:Z39" si="42">_xlfn.NORM.S.DIST(W39)</f>
        <v>0.9999681557</v>
      </c>
      <c r="Z39" s="2">
        <f t="shared" si="42"/>
        <v>0.999950621</v>
      </c>
      <c r="AA39" s="2">
        <f t="shared" si="6"/>
        <v>18.05</v>
      </c>
    </row>
    <row r="40" ht="14.25" customHeight="1">
      <c r="A40" s="2" t="s">
        <v>107</v>
      </c>
      <c r="B40" s="2" t="s">
        <v>108</v>
      </c>
      <c r="C40" s="2" t="s">
        <v>110</v>
      </c>
      <c r="D40" s="2" t="s">
        <v>29</v>
      </c>
      <c r="E40" s="2">
        <v>35.0</v>
      </c>
      <c r="F40" s="2" t="s">
        <v>30</v>
      </c>
      <c r="G40" s="2">
        <v>16.4</v>
      </c>
      <c r="I40" s="2">
        <v>20.6</v>
      </c>
      <c r="K40" s="2">
        <v>0.0</v>
      </c>
      <c r="L40" s="2">
        <v>0.0</v>
      </c>
      <c r="M40" s="2" t="s">
        <v>70</v>
      </c>
      <c r="N40" s="2">
        <v>0.9968</v>
      </c>
      <c r="O40" s="2">
        <v>0.0</v>
      </c>
      <c r="P40" s="2">
        <v>3.7515</v>
      </c>
      <c r="Q40" s="2">
        <v>0.0</v>
      </c>
      <c r="R40" s="2">
        <v>0.2044</v>
      </c>
      <c r="S40" s="2">
        <v>54.03</v>
      </c>
      <c r="T40" s="2">
        <v>17.0</v>
      </c>
      <c r="V40" s="2">
        <f t="shared" si="2"/>
        <v>19.03165274</v>
      </c>
      <c r="W40" s="2">
        <f t="shared" si="3"/>
        <v>8.178546397</v>
      </c>
      <c r="X40" s="2">
        <f t="shared" si="4"/>
        <v>8.125457331</v>
      </c>
      <c r="Y40" s="2">
        <f t="shared" ref="Y40:Z40" si="43">_xlfn.NORM.S.DIST(W40)</f>
        <v>1</v>
      </c>
      <c r="Z40" s="2">
        <f t="shared" si="43"/>
        <v>1</v>
      </c>
      <c r="AA40" s="2">
        <f t="shared" si="6"/>
        <v>18.5</v>
      </c>
    </row>
    <row r="41" ht="14.25" customHeight="1">
      <c r="A41" s="2" t="s">
        <v>107</v>
      </c>
      <c r="B41" s="2" t="s">
        <v>108</v>
      </c>
      <c r="C41" s="2" t="s">
        <v>110</v>
      </c>
      <c r="D41" s="2" t="s">
        <v>29</v>
      </c>
      <c r="E41" s="2">
        <v>35.0</v>
      </c>
      <c r="F41" s="2" t="s">
        <v>30</v>
      </c>
      <c r="G41" s="2">
        <v>17.1</v>
      </c>
      <c r="I41" s="2">
        <v>21.2</v>
      </c>
      <c r="K41" s="2">
        <v>0.0</v>
      </c>
      <c r="L41" s="2">
        <v>0.0</v>
      </c>
      <c r="M41" s="2" t="s">
        <v>71</v>
      </c>
      <c r="N41" s="2">
        <v>0.9967</v>
      </c>
      <c r="O41" s="2">
        <v>1.0E-4</v>
      </c>
      <c r="P41" s="2">
        <v>3.897</v>
      </c>
      <c r="Q41" s="2">
        <v>0.0054</v>
      </c>
      <c r="R41" s="2">
        <v>0.5877</v>
      </c>
      <c r="S41" s="2">
        <v>53.98</v>
      </c>
      <c r="T41" s="2">
        <v>16.0</v>
      </c>
      <c r="V41" s="2">
        <f t="shared" si="2"/>
        <v>18.98462113</v>
      </c>
      <c r="W41" s="2">
        <f t="shared" si="3"/>
        <v>2.925760303</v>
      </c>
      <c r="X41" s="2">
        <f t="shared" si="4"/>
        <v>2.777673822</v>
      </c>
      <c r="Y41" s="2">
        <f t="shared" ref="Y41:Z41" si="44">_xlfn.NORM.S.DIST(W41)</f>
        <v>0.9982819221</v>
      </c>
      <c r="Z41" s="2">
        <f t="shared" si="44"/>
        <v>0.9972625226</v>
      </c>
      <c r="AA41" s="2">
        <f t="shared" si="6"/>
        <v>19.15</v>
      </c>
    </row>
    <row r="42" ht="14.25" customHeight="1">
      <c r="A42" s="2" t="s">
        <v>107</v>
      </c>
      <c r="B42" s="2" t="s">
        <v>108</v>
      </c>
      <c r="C42" s="2" t="s">
        <v>110</v>
      </c>
      <c r="D42" s="2" t="s">
        <v>29</v>
      </c>
      <c r="E42" s="2">
        <v>35.0</v>
      </c>
      <c r="F42" s="2" t="s">
        <v>30</v>
      </c>
      <c r="G42" s="2">
        <v>16.7</v>
      </c>
      <c r="I42" s="2">
        <v>20.8</v>
      </c>
      <c r="K42" s="2">
        <v>0.0</v>
      </c>
      <c r="L42" s="2">
        <v>0.0</v>
      </c>
      <c r="M42" s="2" t="s">
        <v>72</v>
      </c>
      <c r="N42" s="2">
        <v>0.9971</v>
      </c>
      <c r="O42" s="2">
        <v>0.0</v>
      </c>
      <c r="P42" s="2">
        <v>3.9647</v>
      </c>
      <c r="Q42" s="2">
        <v>0.0</v>
      </c>
      <c r="R42" s="2">
        <v>0.1476</v>
      </c>
      <c r="S42" s="2">
        <v>54.15</v>
      </c>
      <c r="T42" s="2">
        <v>15.0</v>
      </c>
      <c r="V42" s="2">
        <f t="shared" si="2"/>
        <v>19.1514583</v>
      </c>
      <c r="W42" s="2">
        <f t="shared" si="3"/>
        <v>12.11889128</v>
      </c>
      <c r="X42" s="2">
        <f t="shared" si="4"/>
        <v>12.08288057</v>
      </c>
      <c r="Y42" s="2">
        <f t="shared" ref="Y42:Z42" si="45">_xlfn.NORM.S.DIST(W42)</f>
        <v>1</v>
      </c>
      <c r="Z42" s="2">
        <f t="shared" si="45"/>
        <v>1</v>
      </c>
      <c r="AA42" s="2">
        <f t="shared" si="6"/>
        <v>18.75</v>
      </c>
    </row>
    <row r="43" ht="14.25" customHeight="1">
      <c r="A43" s="2" t="s">
        <v>107</v>
      </c>
      <c r="B43" s="2" t="s">
        <v>108</v>
      </c>
      <c r="C43" s="2" t="s">
        <v>110</v>
      </c>
      <c r="D43" s="2" t="s">
        <v>29</v>
      </c>
      <c r="E43" s="2">
        <v>35.0</v>
      </c>
      <c r="F43" s="2" t="s">
        <v>30</v>
      </c>
      <c r="G43" s="2">
        <v>17.3</v>
      </c>
      <c r="I43" s="2">
        <v>21.4</v>
      </c>
      <c r="K43" s="2">
        <v>0.0</v>
      </c>
      <c r="L43" s="2">
        <v>0.0</v>
      </c>
      <c r="M43" s="2" t="s">
        <v>73</v>
      </c>
      <c r="N43" s="2">
        <v>0.9976</v>
      </c>
      <c r="O43" s="2">
        <v>0.0</v>
      </c>
      <c r="P43" s="2">
        <v>4.0641</v>
      </c>
      <c r="Q43" s="2">
        <v>0.0</v>
      </c>
      <c r="R43" s="2">
        <v>0.1918</v>
      </c>
      <c r="S43" s="2">
        <v>54.79</v>
      </c>
      <c r="T43" s="2">
        <v>12.0</v>
      </c>
      <c r="V43" s="2">
        <f t="shared" si="2"/>
        <v>19.79116665</v>
      </c>
      <c r="W43" s="2">
        <f t="shared" si="3"/>
        <v>10.70764049</v>
      </c>
      <c r="X43" s="2">
        <f t="shared" si="4"/>
        <v>10.6657863</v>
      </c>
      <c r="Y43" s="2">
        <f t="shared" ref="Y43:Z43" si="46">_xlfn.NORM.S.DIST(W43)</f>
        <v>1</v>
      </c>
      <c r="Z43" s="2">
        <f t="shared" si="46"/>
        <v>1</v>
      </c>
      <c r="AA43" s="2">
        <f t="shared" si="6"/>
        <v>19.35</v>
      </c>
    </row>
    <row r="44" ht="14.25" customHeight="1">
      <c r="A44" s="2" t="s">
        <v>107</v>
      </c>
      <c r="B44" s="2" t="s">
        <v>108</v>
      </c>
      <c r="C44" s="2" t="s">
        <v>110</v>
      </c>
      <c r="D44" s="2" t="s">
        <v>29</v>
      </c>
      <c r="E44" s="2">
        <v>35.0</v>
      </c>
      <c r="F44" s="2" t="s">
        <v>30</v>
      </c>
      <c r="G44" s="2">
        <v>18.5</v>
      </c>
      <c r="I44" s="2">
        <v>21.6</v>
      </c>
      <c r="K44" s="2">
        <v>0.0</v>
      </c>
      <c r="L44" s="2">
        <v>0.0</v>
      </c>
      <c r="M44" s="2" t="s">
        <v>74</v>
      </c>
      <c r="N44" s="2">
        <v>0.9979</v>
      </c>
      <c r="O44" s="2">
        <v>0.0</v>
      </c>
      <c r="P44" s="2">
        <v>4.0371</v>
      </c>
      <c r="Q44" s="2">
        <v>0.0</v>
      </c>
      <c r="R44" s="2">
        <v>0.2413</v>
      </c>
      <c r="S44" s="2">
        <v>55.0</v>
      </c>
      <c r="T44" s="2">
        <v>11.0</v>
      </c>
      <c r="V44" s="2">
        <f t="shared" si="2"/>
        <v>20.00106943</v>
      </c>
      <c r="W44" s="2">
        <f t="shared" si="3"/>
        <v>8.965422216</v>
      </c>
      <c r="X44" s="2">
        <f t="shared" si="4"/>
        <v>8.915007956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20.05</v>
      </c>
    </row>
    <row r="45" ht="14.25" customHeight="1">
      <c r="A45" s="2" t="s">
        <v>107</v>
      </c>
      <c r="B45" s="2" t="s">
        <v>108</v>
      </c>
      <c r="C45" s="2" t="s">
        <v>110</v>
      </c>
      <c r="D45" s="2" t="s">
        <v>29</v>
      </c>
      <c r="E45" s="2">
        <v>35.0</v>
      </c>
      <c r="F45" s="2" t="s">
        <v>30</v>
      </c>
      <c r="G45" s="2">
        <v>18.8</v>
      </c>
      <c r="I45" s="2">
        <v>22.2</v>
      </c>
      <c r="K45" s="2">
        <v>0.0</v>
      </c>
      <c r="L45" s="2">
        <v>0.0</v>
      </c>
      <c r="M45" s="2" t="s">
        <v>75</v>
      </c>
      <c r="N45" s="2">
        <v>0.9989</v>
      </c>
      <c r="O45" s="2">
        <v>0.0</v>
      </c>
      <c r="P45" s="2">
        <v>2.1351</v>
      </c>
      <c r="Q45" s="2">
        <v>8.0E-4</v>
      </c>
      <c r="R45" s="2">
        <v>0.714</v>
      </c>
      <c r="S45" s="2">
        <v>55.59</v>
      </c>
      <c r="T45" s="2">
        <v>10.0</v>
      </c>
      <c r="V45" s="2">
        <f t="shared" si="2"/>
        <v>20.59188629</v>
      </c>
      <c r="W45" s="2">
        <f t="shared" si="3"/>
        <v>3.252816541</v>
      </c>
      <c r="X45" s="2">
        <f t="shared" si="4"/>
        <v>3.110584336</v>
      </c>
      <c r="Y45" s="2">
        <f t="shared" ref="Y45:Z45" si="48">_xlfn.NORM.S.DIST(W45)</f>
        <v>0.9994286638</v>
      </c>
      <c r="Z45" s="2">
        <f t="shared" si="48"/>
        <v>0.9990664122</v>
      </c>
      <c r="AA45" s="2">
        <f t="shared" si="6"/>
        <v>20.5</v>
      </c>
    </row>
    <row r="46" ht="14.25" customHeight="1">
      <c r="A46" s="2" t="s">
        <v>107</v>
      </c>
      <c r="B46" s="2" t="s">
        <v>108</v>
      </c>
      <c r="C46" s="2" t="s">
        <v>110</v>
      </c>
      <c r="D46" s="2" t="s">
        <v>29</v>
      </c>
      <c r="E46" s="2">
        <v>35.0</v>
      </c>
      <c r="F46" s="2" t="s">
        <v>30</v>
      </c>
      <c r="G46" s="2">
        <v>19.7</v>
      </c>
      <c r="I46" s="2">
        <v>22.8</v>
      </c>
      <c r="K46" s="2">
        <v>0.0</v>
      </c>
      <c r="L46" s="2">
        <v>0.0</v>
      </c>
      <c r="M46" s="2" t="s">
        <v>76</v>
      </c>
      <c r="N46" s="2">
        <v>1.0</v>
      </c>
      <c r="O46" s="2">
        <v>0.0</v>
      </c>
      <c r="P46" s="2">
        <v>-0.0987</v>
      </c>
      <c r="Q46" s="2">
        <v>0.0</v>
      </c>
      <c r="R46" s="2">
        <v>0.2527</v>
      </c>
      <c r="S46" s="2">
        <v>56.27</v>
      </c>
      <c r="T46" s="2">
        <v>9.0</v>
      </c>
      <c r="V46" s="2">
        <f t="shared" si="2"/>
        <v>21.27087499</v>
      </c>
      <c r="W46" s="2">
        <f t="shared" si="3"/>
        <v>9.942527629</v>
      </c>
      <c r="X46" s="2">
        <f t="shared" si="4"/>
        <v>9.894771818</v>
      </c>
      <c r="Y46" s="2">
        <f t="shared" ref="Y46:Z46" si="49">_xlfn.NORM.S.DIST(W46)</f>
        <v>1</v>
      </c>
      <c r="Z46" s="2">
        <f t="shared" si="49"/>
        <v>1</v>
      </c>
      <c r="AA46" s="2">
        <f t="shared" si="6"/>
        <v>21.25</v>
      </c>
    </row>
    <row r="47" ht="14.25" customHeight="1">
      <c r="A47" s="2" t="s">
        <v>107</v>
      </c>
      <c r="B47" s="2" t="s">
        <v>108</v>
      </c>
      <c r="C47" s="2" t="s">
        <v>110</v>
      </c>
      <c r="D47" s="2" t="s">
        <v>29</v>
      </c>
      <c r="E47" s="2">
        <v>35.0</v>
      </c>
      <c r="F47" s="2" t="s">
        <v>30</v>
      </c>
      <c r="G47" s="2">
        <v>19.9</v>
      </c>
      <c r="I47" s="2">
        <v>23.1</v>
      </c>
      <c r="K47" s="2">
        <v>0.0</v>
      </c>
      <c r="L47" s="2">
        <v>0.0</v>
      </c>
      <c r="M47" s="2" t="s">
        <v>77</v>
      </c>
      <c r="N47" s="2">
        <v>1.0</v>
      </c>
      <c r="O47" s="2">
        <v>0.0</v>
      </c>
      <c r="P47" s="2">
        <v>-0.0987</v>
      </c>
      <c r="Q47" s="2">
        <v>0.0</v>
      </c>
      <c r="R47" s="2">
        <v>0.3032</v>
      </c>
      <c r="S47" s="2">
        <v>56.59</v>
      </c>
      <c r="T47" s="2">
        <v>8.0</v>
      </c>
      <c r="V47" s="2">
        <f t="shared" si="2"/>
        <v>21.59077777</v>
      </c>
      <c r="W47" s="2">
        <f t="shared" si="3"/>
        <v>8.894165735</v>
      </c>
      <c r="X47" s="2">
        <f t="shared" si="4"/>
        <v>8.840143329</v>
      </c>
      <c r="Y47" s="2">
        <f t="shared" ref="Y47:Z47" si="50">_xlfn.NORM.S.DIST(W47)</f>
        <v>1</v>
      </c>
      <c r="Z47" s="2">
        <f t="shared" si="50"/>
        <v>1</v>
      </c>
      <c r="AA47" s="2">
        <f t="shared" si="6"/>
        <v>21.5</v>
      </c>
    </row>
    <row r="48" ht="14.25" customHeight="1">
      <c r="A48" s="2" t="s">
        <v>107</v>
      </c>
      <c r="B48" s="2" t="s">
        <v>108</v>
      </c>
      <c r="C48" s="2" t="s">
        <v>110</v>
      </c>
      <c r="D48" s="2" t="s">
        <v>29</v>
      </c>
      <c r="E48" s="2">
        <v>35.0</v>
      </c>
      <c r="F48" s="2" t="s">
        <v>30</v>
      </c>
      <c r="G48" s="2">
        <v>19.9</v>
      </c>
      <c r="I48" s="2">
        <v>23.9</v>
      </c>
      <c r="K48" s="2">
        <v>0.0</v>
      </c>
      <c r="L48" s="2">
        <v>0.0</v>
      </c>
      <c r="M48" s="2" t="s">
        <v>78</v>
      </c>
      <c r="N48" s="2">
        <v>1.0</v>
      </c>
      <c r="O48" s="2">
        <v>0.0</v>
      </c>
      <c r="P48" s="2">
        <v>-0.0987</v>
      </c>
      <c r="Q48" s="2">
        <v>0.0</v>
      </c>
      <c r="R48" s="2">
        <v>0.2905</v>
      </c>
      <c r="S48" s="2">
        <v>57.11</v>
      </c>
      <c r="T48" s="2">
        <v>5.0</v>
      </c>
      <c r="V48" s="2">
        <f t="shared" si="2"/>
        <v>22.11048611</v>
      </c>
      <c r="W48" s="2">
        <f t="shared" si="3"/>
        <v>11.96570219</v>
      </c>
      <c r="X48" s="2">
        <f t="shared" si="4"/>
        <v>11.92478264</v>
      </c>
      <c r="Y48" s="2">
        <f t="shared" ref="Y48:Z48" si="51">_xlfn.NORM.S.DIST(W48)</f>
        <v>1</v>
      </c>
      <c r="Z48" s="2">
        <f t="shared" si="51"/>
        <v>1</v>
      </c>
      <c r="AA48" s="2">
        <f t="shared" si="6"/>
        <v>21.9</v>
      </c>
    </row>
    <row r="49" ht="14.25" customHeight="1">
      <c r="A49" s="2" t="s">
        <v>107</v>
      </c>
      <c r="B49" s="2" t="s">
        <v>108</v>
      </c>
      <c r="C49" s="2" t="s">
        <v>110</v>
      </c>
      <c r="D49" s="2" t="s">
        <v>29</v>
      </c>
      <c r="E49" s="2">
        <v>35.0</v>
      </c>
      <c r="F49" s="2" t="s">
        <v>30</v>
      </c>
      <c r="G49" s="2">
        <v>20.1</v>
      </c>
      <c r="I49" s="2">
        <v>23.7</v>
      </c>
      <c r="K49" s="2">
        <v>0.0</v>
      </c>
      <c r="L49" s="2">
        <v>0.0</v>
      </c>
      <c r="M49" s="2" t="s">
        <v>79</v>
      </c>
      <c r="N49" s="2">
        <v>0.9867</v>
      </c>
      <c r="O49" s="2">
        <v>0.0026</v>
      </c>
      <c r="P49" s="2">
        <v>-24.2929</v>
      </c>
      <c r="Q49" s="2">
        <v>0.1844</v>
      </c>
      <c r="R49" s="2">
        <v>2.3961</v>
      </c>
      <c r="S49" s="2">
        <v>56.69</v>
      </c>
      <c r="T49" s="2">
        <v>4.0</v>
      </c>
      <c r="V49" s="2">
        <f t="shared" si="2"/>
        <v>21.98238773</v>
      </c>
      <c r="W49" s="2">
        <f t="shared" si="3"/>
        <v>1.597487108</v>
      </c>
      <c r="X49" s="2">
        <f t="shared" si="4"/>
        <v>1.295606883</v>
      </c>
      <c r="Y49" s="2">
        <f t="shared" ref="Y49:Z49" si="52">_xlfn.NORM.S.DIST(W49)</f>
        <v>0.9449214154</v>
      </c>
      <c r="Z49" s="2">
        <f t="shared" si="52"/>
        <v>0.9024445217</v>
      </c>
      <c r="AA49" s="2">
        <f t="shared" si="6"/>
        <v>21.9</v>
      </c>
    </row>
    <row r="50" ht="14.25" customHeight="1">
      <c r="A50" s="2" t="s">
        <v>107</v>
      </c>
      <c r="B50" s="2" t="s">
        <v>108</v>
      </c>
      <c r="C50" s="2" t="s">
        <v>110</v>
      </c>
      <c r="D50" s="2" t="s">
        <v>29</v>
      </c>
      <c r="E50" s="2">
        <v>35.0</v>
      </c>
      <c r="F50" s="2" t="s">
        <v>30</v>
      </c>
      <c r="G50" s="2">
        <v>19.5</v>
      </c>
      <c r="I50" s="2">
        <v>24.0</v>
      </c>
      <c r="K50" s="2">
        <v>0.0</v>
      </c>
      <c r="L50" s="2">
        <v>0.0</v>
      </c>
      <c r="M50" s="2" t="s">
        <v>80</v>
      </c>
      <c r="N50" s="2">
        <v>1.0</v>
      </c>
      <c r="O50" s="2">
        <v>0.0</v>
      </c>
      <c r="P50" s="2">
        <v>-0.0987</v>
      </c>
      <c r="Q50" s="2">
        <v>0.0</v>
      </c>
      <c r="R50" s="2">
        <v>0.3516</v>
      </c>
      <c r="S50" s="2">
        <v>56.95</v>
      </c>
      <c r="T50" s="2">
        <v>3.0</v>
      </c>
      <c r="V50" s="2">
        <f t="shared" si="2"/>
        <v>21.95029167</v>
      </c>
      <c r="W50" s="2">
        <f t="shared" si="3"/>
        <v>12.69007561</v>
      </c>
      <c r="X50" s="2">
        <f t="shared" si="4"/>
        <v>12.65171291</v>
      </c>
      <c r="Y50" s="2">
        <f t="shared" ref="Y50:Z50" si="53">_xlfn.NORM.S.DIST(W50)</f>
        <v>1</v>
      </c>
      <c r="Z50" s="2">
        <f t="shared" si="53"/>
        <v>1</v>
      </c>
      <c r="AA50" s="2">
        <f t="shared" si="6"/>
        <v>21.75</v>
      </c>
    </row>
    <row r="51" ht="14.25" customHeight="1">
      <c r="A51" s="2" t="s">
        <v>107</v>
      </c>
      <c r="B51" s="2" t="s">
        <v>108</v>
      </c>
      <c r="C51" s="2" t="s">
        <v>110</v>
      </c>
      <c r="D51" s="2" t="s">
        <v>29</v>
      </c>
      <c r="E51" s="2">
        <v>35.0</v>
      </c>
      <c r="F51" s="2" t="s">
        <v>30</v>
      </c>
      <c r="G51" s="2">
        <v>19.8</v>
      </c>
      <c r="I51" s="2">
        <v>24.4</v>
      </c>
      <c r="K51" s="2">
        <v>0.0</v>
      </c>
      <c r="L51" s="2">
        <v>0.0</v>
      </c>
      <c r="M51" s="2" t="s">
        <v>81</v>
      </c>
      <c r="N51" s="2">
        <v>1.0</v>
      </c>
      <c r="O51" s="2">
        <v>0.0</v>
      </c>
      <c r="P51" s="2">
        <v>-0.0987</v>
      </c>
      <c r="Q51" s="2">
        <v>0.0</v>
      </c>
      <c r="R51" s="2">
        <v>0.791</v>
      </c>
      <c r="S51" s="2">
        <v>57.27</v>
      </c>
      <c r="T51" s="2">
        <v>2.0</v>
      </c>
      <c r="V51" s="2">
        <f t="shared" si="2"/>
        <v>22.27019444</v>
      </c>
      <c r="W51" s="2">
        <f t="shared" si="3"/>
        <v>6.987990265</v>
      </c>
      <c r="X51" s="2">
        <f t="shared" si="4"/>
        <v>6.917522384</v>
      </c>
      <c r="Y51" s="2">
        <f t="shared" ref="Y51:Z51" si="54">_xlfn.NORM.S.DIST(W51)</f>
        <v>1</v>
      </c>
      <c r="Z51" s="2">
        <f t="shared" si="54"/>
        <v>1</v>
      </c>
      <c r="AA51" s="2">
        <f t="shared" si="6"/>
        <v>22.1</v>
      </c>
    </row>
    <row r="52" ht="14.25" customHeight="1">
      <c r="A52" s="2" t="s">
        <v>107</v>
      </c>
      <c r="B52" s="2" t="s">
        <v>108</v>
      </c>
      <c r="C52" s="2" t="s">
        <v>110</v>
      </c>
      <c r="D52" s="2" t="s">
        <v>29</v>
      </c>
      <c r="E52" s="2">
        <v>35.0</v>
      </c>
      <c r="F52" s="2" t="s">
        <v>30</v>
      </c>
      <c r="G52" s="2">
        <v>19.8</v>
      </c>
      <c r="I52" s="2">
        <v>24.4</v>
      </c>
      <c r="K52" s="2">
        <v>0.0</v>
      </c>
      <c r="L52" s="2">
        <v>0.0</v>
      </c>
      <c r="M52" s="2" t="s">
        <v>82</v>
      </c>
      <c r="N52" s="2">
        <v>1.0</v>
      </c>
      <c r="O52" s="2">
        <v>0.0</v>
      </c>
      <c r="P52" s="2">
        <v>-0.0987</v>
      </c>
      <c r="Q52" s="2">
        <v>0.0</v>
      </c>
      <c r="R52" s="2">
        <v>1.2595</v>
      </c>
      <c r="S52" s="2">
        <v>57.52</v>
      </c>
      <c r="T52" s="2">
        <v>1.0</v>
      </c>
      <c r="V52" s="2">
        <f t="shared" si="2"/>
        <v>22.52009722</v>
      </c>
      <c r="W52" s="2">
        <f t="shared" si="3"/>
        <v>6.261382981</v>
      </c>
      <c r="X52" s="2">
        <f t="shared" si="4"/>
        <v>6.182041939</v>
      </c>
      <c r="Y52" s="2">
        <f t="shared" ref="Y52:Z52" si="55">_xlfn.NORM.S.DIST(W52)</f>
        <v>0.9999999998</v>
      </c>
      <c r="Z52" s="2">
        <f t="shared" si="55"/>
        <v>0.9999999997</v>
      </c>
      <c r="AA52" s="2">
        <f t="shared" si="6"/>
        <v>22.1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0.71"/>
    <col customWidth="1" min="14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111</v>
      </c>
      <c r="B2" s="2" t="s">
        <v>112</v>
      </c>
      <c r="C2" s="2" t="s">
        <v>109</v>
      </c>
      <c r="D2" s="2" t="s">
        <v>29</v>
      </c>
      <c r="E2" s="2">
        <v>75.0</v>
      </c>
      <c r="F2" s="2" t="s">
        <v>30</v>
      </c>
      <c r="G2" s="2">
        <v>58.15</v>
      </c>
      <c r="I2" s="2">
        <v>58.5</v>
      </c>
      <c r="K2" s="2">
        <v>0.0</v>
      </c>
      <c r="L2" s="2">
        <v>0.0</v>
      </c>
      <c r="M2" s="2" t="s">
        <v>31</v>
      </c>
      <c r="N2" s="2">
        <v>1.0</v>
      </c>
      <c r="O2" s="2">
        <v>0.0</v>
      </c>
      <c r="P2" s="2">
        <v>-0.227</v>
      </c>
      <c r="Q2" s="2">
        <v>0.0</v>
      </c>
      <c r="R2" s="2">
        <v>0.1009</v>
      </c>
      <c r="S2" s="2">
        <v>134.13</v>
      </c>
      <c r="T2" s="2">
        <v>73.0</v>
      </c>
      <c r="V2" s="2">
        <f t="shared" ref="V2:V52" si="2">S2*Y2 - E2*Z2*exp(-0.0007*T2/252)</f>
        <v>59.14520679</v>
      </c>
      <c r="W2" s="2">
        <f t="shared" ref="W2:W52" si="3">((LN(S2/E2) + (0.0007 + (R2^2)/2) * U2/$AB$2)) / (R2 * SQRT(T2/252))</f>
        <v>10.70444017</v>
      </c>
      <c r="X2" s="2">
        <f t="shared" ref="X2:X52" si="4">W2-(R2*SQRT(T2/$AB$2))</f>
        <v>10.6501336</v>
      </c>
      <c r="Y2" s="2">
        <f t="shared" ref="Y2:Z2" si="1">_xlfn.NORM.S.DIST(W2)</f>
        <v>1</v>
      </c>
      <c r="Z2" s="2">
        <f t="shared" si="1"/>
        <v>1</v>
      </c>
      <c r="AA2" s="2">
        <f t="shared" ref="AA2:AA52" si="6">0.5*(G2+I2)</f>
        <v>58.325</v>
      </c>
      <c r="AB2" s="2">
        <v>252.0</v>
      </c>
    </row>
    <row r="3" ht="14.25" customHeight="1">
      <c r="A3" s="2" t="s">
        <v>111</v>
      </c>
      <c r="B3" s="2" t="s">
        <v>112</v>
      </c>
      <c r="C3" s="2" t="s">
        <v>109</v>
      </c>
      <c r="D3" s="2" t="s">
        <v>29</v>
      </c>
      <c r="E3" s="2">
        <v>75.0</v>
      </c>
      <c r="F3" s="2" t="s">
        <v>30</v>
      </c>
      <c r="G3" s="2">
        <v>57.9</v>
      </c>
      <c r="I3" s="2">
        <v>58.3</v>
      </c>
      <c r="K3" s="2">
        <v>0.0</v>
      </c>
      <c r="L3" s="2">
        <v>0.0</v>
      </c>
      <c r="M3" s="2" t="s">
        <v>32</v>
      </c>
      <c r="N3" s="2">
        <v>1.0</v>
      </c>
      <c r="O3" s="2">
        <v>0.0</v>
      </c>
      <c r="P3" s="2">
        <v>-0.227</v>
      </c>
      <c r="Q3" s="2">
        <v>0.0</v>
      </c>
      <c r="R3" s="2">
        <v>0.1031</v>
      </c>
      <c r="S3" s="2">
        <v>133.91</v>
      </c>
      <c r="T3" s="2">
        <v>72.0</v>
      </c>
      <c r="V3" s="2">
        <f t="shared" si="2"/>
        <v>58.9249985</v>
      </c>
      <c r="W3" s="2">
        <f t="shared" si="3"/>
        <v>10.51873558</v>
      </c>
      <c r="X3" s="2">
        <f t="shared" si="4"/>
        <v>10.46362631</v>
      </c>
      <c r="Y3" s="2">
        <f t="shared" ref="Y3:Z3" si="5">_xlfn.NORM.S.DIST(W3)</f>
        <v>1</v>
      </c>
      <c r="Z3" s="2">
        <f t="shared" si="5"/>
        <v>1</v>
      </c>
      <c r="AA3" s="2">
        <f t="shared" si="6"/>
        <v>58.1</v>
      </c>
    </row>
    <row r="4" ht="14.25" customHeight="1">
      <c r="A4" s="2" t="s">
        <v>111</v>
      </c>
      <c r="B4" s="2" t="s">
        <v>112</v>
      </c>
      <c r="C4" s="2" t="s">
        <v>109</v>
      </c>
      <c r="D4" s="2" t="s">
        <v>29</v>
      </c>
      <c r="E4" s="2">
        <v>75.0</v>
      </c>
      <c r="F4" s="2" t="s">
        <v>30</v>
      </c>
      <c r="G4" s="2">
        <v>58.4</v>
      </c>
      <c r="I4" s="2">
        <v>58.75</v>
      </c>
      <c r="K4" s="2">
        <v>0.0</v>
      </c>
      <c r="L4" s="2">
        <v>0.0</v>
      </c>
      <c r="M4" s="2" t="s">
        <v>33</v>
      </c>
      <c r="N4" s="2">
        <v>1.0</v>
      </c>
      <c r="O4" s="2">
        <v>0.0</v>
      </c>
      <c r="P4" s="2">
        <v>-0.227</v>
      </c>
      <c r="Q4" s="2">
        <v>0.0</v>
      </c>
      <c r="R4" s="2">
        <v>0.1028</v>
      </c>
      <c r="S4" s="2">
        <v>134.35</v>
      </c>
      <c r="T4" s="2">
        <v>71.0</v>
      </c>
      <c r="V4" s="2">
        <f t="shared" si="2"/>
        <v>59.36479021</v>
      </c>
      <c r="W4" s="2">
        <f t="shared" si="3"/>
        <v>10.68358237</v>
      </c>
      <c r="X4" s="2">
        <f t="shared" si="4"/>
        <v>10.62901639</v>
      </c>
      <c r="Y4" s="2">
        <f t="shared" ref="Y4:Z4" si="7">_xlfn.NORM.S.DIST(W4)</f>
        <v>1</v>
      </c>
      <c r="Z4" s="2">
        <f t="shared" si="7"/>
        <v>1</v>
      </c>
      <c r="AA4" s="2">
        <f t="shared" si="6"/>
        <v>58.575</v>
      </c>
      <c r="AB4" s="2">
        <f>average(R2:R52)</f>
        <v>0.1852588235</v>
      </c>
    </row>
    <row r="5" ht="14.25" customHeight="1">
      <c r="A5" s="2" t="s">
        <v>111</v>
      </c>
      <c r="B5" s="2" t="s">
        <v>112</v>
      </c>
      <c r="C5" s="2" t="s">
        <v>109</v>
      </c>
      <c r="D5" s="2" t="s">
        <v>29</v>
      </c>
      <c r="E5" s="2">
        <v>75.0</v>
      </c>
      <c r="F5" s="2" t="s">
        <v>30</v>
      </c>
      <c r="G5" s="2">
        <v>57.95</v>
      </c>
      <c r="I5" s="2">
        <v>58.25</v>
      </c>
      <c r="K5" s="2">
        <v>0.0</v>
      </c>
      <c r="L5" s="2">
        <v>0.0</v>
      </c>
      <c r="M5" s="2" t="s">
        <v>34</v>
      </c>
      <c r="N5" s="2">
        <v>1.0</v>
      </c>
      <c r="O5" s="2">
        <v>0.0</v>
      </c>
      <c r="P5" s="2">
        <v>-0.227</v>
      </c>
      <c r="Q5" s="2">
        <v>0.0</v>
      </c>
      <c r="R5" s="2">
        <v>0.1041</v>
      </c>
      <c r="S5" s="2">
        <v>133.84</v>
      </c>
      <c r="T5" s="2">
        <v>68.0</v>
      </c>
      <c r="V5" s="2">
        <f t="shared" si="2"/>
        <v>58.85416533</v>
      </c>
      <c r="W5" s="2">
        <f t="shared" si="3"/>
        <v>10.71004638</v>
      </c>
      <c r="X5" s="2">
        <f t="shared" si="4"/>
        <v>10.65597034</v>
      </c>
      <c r="Y5" s="2">
        <f t="shared" ref="Y5:Z5" si="8">_xlfn.NORM.S.DIST(W5)</f>
        <v>1</v>
      </c>
      <c r="Z5" s="2">
        <f t="shared" si="8"/>
        <v>1</v>
      </c>
      <c r="AA5" s="2">
        <f t="shared" si="6"/>
        <v>58.1</v>
      </c>
    </row>
    <row r="6" ht="14.25" customHeight="1">
      <c r="A6" s="2" t="s">
        <v>111</v>
      </c>
      <c r="B6" s="2" t="s">
        <v>112</v>
      </c>
      <c r="C6" s="2" t="s">
        <v>109</v>
      </c>
      <c r="D6" s="2" t="s">
        <v>29</v>
      </c>
      <c r="E6" s="2">
        <v>75.0</v>
      </c>
      <c r="F6" s="2" t="s">
        <v>30</v>
      </c>
      <c r="G6" s="2">
        <v>57.5</v>
      </c>
      <c r="I6" s="2">
        <v>57.85</v>
      </c>
      <c r="K6" s="2">
        <v>0.0</v>
      </c>
      <c r="L6" s="2">
        <v>0.0</v>
      </c>
      <c r="M6" s="2" t="s">
        <v>35</v>
      </c>
      <c r="N6" s="2">
        <v>1.0</v>
      </c>
      <c r="O6" s="2">
        <v>0.0</v>
      </c>
      <c r="P6" s="2">
        <v>-0.227</v>
      </c>
      <c r="Q6" s="2">
        <v>0.0</v>
      </c>
      <c r="R6" s="2">
        <v>0.1098</v>
      </c>
      <c r="S6" s="2">
        <v>133.29</v>
      </c>
      <c r="T6" s="2">
        <v>67.0</v>
      </c>
      <c r="V6" s="2">
        <f t="shared" si="2"/>
        <v>58.30395703</v>
      </c>
      <c r="W6" s="2">
        <f t="shared" si="3"/>
        <v>10.15682334</v>
      </c>
      <c r="X6" s="2">
        <f t="shared" si="4"/>
        <v>10.1002073</v>
      </c>
      <c r="Y6" s="2">
        <f t="shared" ref="Y6:Z6" si="9">_xlfn.NORM.S.DIST(W6)</f>
        <v>1</v>
      </c>
      <c r="Z6" s="2">
        <f t="shared" si="9"/>
        <v>1</v>
      </c>
      <c r="AA6" s="2">
        <f t="shared" si="6"/>
        <v>57.675</v>
      </c>
    </row>
    <row r="7" ht="14.25" customHeight="1">
      <c r="A7" s="2" t="s">
        <v>111</v>
      </c>
      <c r="B7" s="2" t="s">
        <v>112</v>
      </c>
      <c r="C7" s="2" t="s">
        <v>109</v>
      </c>
      <c r="D7" s="2" t="s">
        <v>29</v>
      </c>
      <c r="E7" s="2">
        <v>75.0</v>
      </c>
      <c r="F7" s="2" t="s">
        <v>30</v>
      </c>
      <c r="G7" s="2">
        <v>58.05</v>
      </c>
      <c r="I7" s="2">
        <v>58.35</v>
      </c>
      <c r="K7" s="2">
        <v>0.0</v>
      </c>
      <c r="L7" s="2">
        <v>0.0</v>
      </c>
      <c r="M7" s="2" t="s">
        <v>36</v>
      </c>
      <c r="N7" s="2">
        <v>0.9973</v>
      </c>
      <c r="O7" s="2">
        <v>0.0</v>
      </c>
      <c r="P7" s="2">
        <v>1.8038</v>
      </c>
      <c r="Q7" s="2">
        <v>0.0</v>
      </c>
      <c r="R7" s="2">
        <v>0.1388</v>
      </c>
      <c r="S7" s="2">
        <v>133.91</v>
      </c>
      <c r="T7" s="2">
        <v>66.0</v>
      </c>
      <c r="V7" s="2">
        <f t="shared" si="2"/>
        <v>58.92374874</v>
      </c>
      <c r="W7" s="2">
        <f t="shared" si="3"/>
        <v>8.160692573</v>
      </c>
      <c r="X7" s="2">
        <f t="shared" si="4"/>
        <v>8.089659408</v>
      </c>
      <c r="Y7" s="2">
        <f t="shared" ref="Y7:Z7" si="10">_xlfn.NORM.S.DIST(W7)</f>
        <v>1</v>
      </c>
      <c r="Z7" s="2">
        <f t="shared" si="10"/>
        <v>1</v>
      </c>
      <c r="AA7" s="2">
        <f t="shared" si="6"/>
        <v>58.2</v>
      </c>
    </row>
    <row r="8" ht="14.25" customHeight="1">
      <c r="A8" s="2" t="s">
        <v>111</v>
      </c>
      <c r="B8" s="2" t="s">
        <v>112</v>
      </c>
      <c r="C8" s="2" t="s">
        <v>109</v>
      </c>
      <c r="D8" s="2" t="s">
        <v>29</v>
      </c>
      <c r="E8" s="2">
        <v>75.0</v>
      </c>
      <c r="F8" s="2" t="s">
        <v>30</v>
      </c>
      <c r="G8" s="2">
        <v>58.75</v>
      </c>
      <c r="I8" s="2">
        <v>59.2</v>
      </c>
      <c r="K8" s="2">
        <v>0.0</v>
      </c>
      <c r="L8" s="2">
        <v>0.0</v>
      </c>
      <c r="M8" s="2" t="s">
        <v>37</v>
      </c>
      <c r="N8" s="2">
        <v>0.9972</v>
      </c>
      <c r="O8" s="2">
        <v>0.0</v>
      </c>
      <c r="P8" s="2">
        <v>1.9236</v>
      </c>
      <c r="Q8" s="2">
        <v>0.0</v>
      </c>
      <c r="R8" s="2">
        <v>0.1204</v>
      </c>
      <c r="S8" s="2">
        <v>134.71</v>
      </c>
      <c r="T8" s="2">
        <v>65.0</v>
      </c>
      <c r="V8" s="2">
        <f t="shared" si="2"/>
        <v>59.72354044</v>
      </c>
      <c r="W8" s="2">
        <f t="shared" si="3"/>
        <v>9.57734261</v>
      </c>
      <c r="X8" s="2">
        <f t="shared" si="4"/>
        <v>9.51619452</v>
      </c>
      <c r="Y8" s="2">
        <f t="shared" ref="Y8:Z8" si="11">_xlfn.NORM.S.DIST(W8)</f>
        <v>1</v>
      </c>
      <c r="Z8" s="2">
        <f t="shared" si="11"/>
        <v>1</v>
      </c>
      <c r="AA8" s="2">
        <f t="shared" si="6"/>
        <v>58.975</v>
      </c>
    </row>
    <row r="9" ht="14.25" customHeight="1">
      <c r="A9" s="2" t="s">
        <v>111</v>
      </c>
      <c r="B9" s="2" t="s">
        <v>112</v>
      </c>
      <c r="C9" s="2" t="s">
        <v>109</v>
      </c>
      <c r="D9" s="2" t="s">
        <v>29</v>
      </c>
      <c r="E9" s="2">
        <v>75.0</v>
      </c>
      <c r="F9" s="2" t="s">
        <v>30</v>
      </c>
      <c r="G9" s="2">
        <v>59.0</v>
      </c>
      <c r="I9" s="2">
        <v>59.35</v>
      </c>
      <c r="K9" s="2">
        <v>0.0</v>
      </c>
      <c r="L9" s="2">
        <v>0.0</v>
      </c>
      <c r="M9" s="2" t="s">
        <v>38</v>
      </c>
      <c r="N9" s="2">
        <v>0.9945</v>
      </c>
      <c r="O9" s="2">
        <v>0.0</v>
      </c>
      <c r="P9" s="2">
        <v>4.0678</v>
      </c>
      <c r="Q9" s="2">
        <v>0.0</v>
      </c>
      <c r="R9" s="2">
        <v>0.2102</v>
      </c>
      <c r="S9" s="2">
        <v>134.88</v>
      </c>
      <c r="T9" s="2">
        <v>64.0</v>
      </c>
      <c r="V9" s="2">
        <f t="shared" si="2"/>
        <v>59.89333217</v>
      </c>
      <c r="W9" s="2">
        <f t="shared" si="3"/>
        <v>5.540382426</v>
      </c>
      <c r="X9" s="2">
        <f t="shared" si="4"/>
        <v>5.434451583</v>
      </c>
      <c r="Y9" s="2">
        <f t="shared" ref="Y9:Z9" si="12">_xlfn.NORM.S.DIST(W9)</f>
        <v>0.9999999849</v>
      </c>
      <c r="Z9" s="2">
        <f t="shared" si="12"/>
        <v>0.9999999725</v>
      </c>
      <c r="AA9" s="2">
        <f t="shared" si="6"/>
        <v>59.175</v>
      </c>
    </row>
    <row r="10" ht="14.25" customHeight="1">
      <c r="A10" s="2" t="s">
        <v>111</v>
      </c>
      <c r="B10" s="2" t="s">
        <v>112</v>
      </c>
      <c r="C10" s="2" t="s">
        <v>109</v>
      </c>
      <c r="D10" s="2" t="s">
        <v>29</v>
      </c>
      <c r="E10" s="2">
        <v>75.0</v>
      </c>
      <c r="F10" s="2" t="s">
        <v>30</v>
      </c>
      <c r="G10" s="2">
        <v>59.15</v>
      </c>
      <c r="I10" s="2">
        <v>59.45</v>
      </c>
      <c r="K10" s="2">
        <v>0.0</v>
      </c>
      <c r="L10" s="2">
        <v>0.0</v>
      </c>
      <c r="M10" s="2" t="s">
        <v>39</v>
      </c>
      <c r="N10" s="2">
        <v>0.9946</v>
      </c>
      <c r="O10" s="2">
        <v>0.0</v>
      </c>
      <c r="P10" s="2">
        <v>4.1796</v>
      </c>
      <c r="Q10" s="2">
        <v>0.0</v>
      </c>
      <c r="R10" s="2">
        <v>0.1772</v>
      </c>
      <c r="S10" s="2">
        <v>135.07</v>
      </c>
      <c r="T10" s="2">
        <v>61.0</v>
      </c>
      <c r="V10" s="2">
        <f t="shared" si="2"/>
        <v>60.08270726</v>
      </c>
      <c r="W10" s="2">
        <f t="shared" si="3"/>
        <v>6.747986592</v>
      </c>
      <c r="X10" s="2">
        <f t="shared" si="4"/>
        <v>6.660804284</v>
      </c>
      <c r="Y10" s="2">
        <f t="shared" ref="Y10:Z10" si="13">_xlfn.NORM.S.DIST(W10)</f>
        <v>1</v>
      </c>
      <c r="Z10" s="2">
        <f t="shared" si="13"/>
        <v>1</v>
      </c>
      <c r="AA10" s="2">
        <f t="shared" si="6"/>
        <v>59.3</v>
      </c>
    </row>
    <row r="11" ht="14.25" customHeight="1">
      <c r="A11" s="2" t="s">
        <v>111</v>
      </c>
      <c r="B11" s="2" t="s">
        <v>112</v>
      </c>
      <c r="C11" s="2" t="s">
        <v>109</v>
      </c>
      <c r="D11" s="2" t="s">
        <v>29</v>
      </c>
      <c r="E11" s="2">
        <v>75.0</v>
      </c>
      <c r="F11" s="2" t="s">
        <v>30</v>
      </c>
      <c r="G11" s="2">
        <v>59.4</v>
      </c>
      <c r="I11" s="2">
        <v>59.85</v>
      </c>
      <c r="K11" s="2">
        <v>0.0</v>
      </c>
      <c r="L11" s="2">
        <v>0.0</v>
      </c>
      <c r="M11" s="2" t="s">
        <v>40</v>
      </c>
      <c r="N11" s="2">
        <v>0.9947</v>
      </c>
      <c r="O11" s="2">
        <v>0.0</v>
      </c>
      <c r="P11" s="2">
        <v>4.213</v>
      </c>
      <c r="Q11" s="2">
        <v>0.0</v>
      </c>
      <c r="R11" s="2">
        <v>0.1826</v>
      </c>
      <c r="S11" s="2">
        <v>135.35</v>
      </c>
      <c r="T11" s="2">
        <v>60.0</v>
      </c>
      <c r="V11" s="2">
        <f t="shared" si="2"/>
        <v>60.36249896</v>
      </c>
      <c r="W11" s="2">
        <f t="shared" si="3"/>
        <v>6.626016217</v>
      </c>
      <c r="X11" s="2">
        <f t="shared" si="4"/>
        <v>6.536916541</v>
      </c>
      <c r="Y11" s="2">
        <f t="shared" ref="Y11:Z11" si="14">_xlfn.NORM.S.DIST(W11)</f>
        <v>1</v>
      </c>
      <c r="Z11" s="2">
        <f t="shared" si="14"/>
        <v>1</v>
      </c>
      <c r="AA11" s="2">
        <f t="shared" si="6"/>
        <v>59.625</v>
      </c>
    </row>
    <row r="12" ht="14.25" customHeight="1">
      <c r="A12" s="2" t="s">
        <v>111</v>
      </c>
      <c r="B12" s="2" t="s">
        <v>112</v>
      </c>
      <c r="C12" s="2" t="s">
        <v>109</v>
      </c>
      <c r="D12" s="2" t="s">
        <v>29</v>
      </c>
      <c r="E12" s="2">
        <v>75.0</v>
      </c>
      <c r="F12" s="2" t="s">
        <v>30</v>
      </c>
      <c r="G12" s="2">
        <v>59.25</v>
      </c>
      <c r="I12" s="2">
        <v>59.55</v>
      </c>
      <c r="K12" s="2">
        <v>0.0</v>
      </c>
      <c r="L12" s="2">
        <v>0.0</v>
      </c>
      <c r="M12" s="2" t="s">
        <v>41</v>
      </c>
      <c r="N12" s="2">
        <v>0.9947</v>
      </c>
      <c r="O12" s="2">
        <v>0.0</v>
      </c>
      <c r="P12" s="2">
        <v>4.2331</v>
      </c>
      <c r="Q12" s="2">
        <v>0.0</v>
      </c>
      <c r="R12" s="2">
        <v>0.18</v>
      </c>
      <c r="S12" s="2">
        <v>135.11</v>
      </c>
      <c r="T12" s="2">
        <v>59.0</v>
      </c>
      <c r="V12" s="2">
        <f t="shared" si="2"/>
        <v>60.12229066</v>
      </c>
      <c r="W12" s="2">
        <f t="shared" si="3"/>
        <v>6.758072775</v>
      </c>
      <c r="X12" s="2">
        <f t="shared" si="4"/>
        <v>6.670976769</v>
      </c>
      <c r="Y12" s="2">
        <f t="shared" ref="Y12:Z12" si="15">_xlfn.NORM.S.DIST(W12)</f>
        <v>1</v>
      </c>
      <c r="Z12" s="2">
        <f t="shared" si="15"/>
        <v>1</v>
      </c>
      <c r="AA12" s="2">
        <f t="shared" si="6"/>
        <v>59.4</v>
      </c>
    </row>
    <row r="13" ht="14.25" customHeight="1">
      <c r="A13" s="2" t="s">
        <v>111</v>
      </c>
      <c r="B13" s="2" t="s">
        <v>112</v>
      </c>
      <c r="C13" s="2" t="s">
        <v>109</v>
      </c>
      <c r="D13" s="2" t="s">
        <v>29</v>
      </c>
      <c r="E13" s="2">
        <v>75.0</v>
      </c>
      <c r="F13" s="2" t="s">
        <v>30</v>
      </c>
      <c r="G13" s="2">
        <v>60.25</v>
      </c>
      <c r="I13" s="2">
        <v>60.55</v>
      </c>
      <c r="K13" s="2">
        <v>0.0</v>
      </c>
      <c r="L13" s="2">
        <v>0.0</v>
      </c>
      <c r="M13" s="2" t="s">
        <v>42</v>
      </c>
      <c r="N13" s="2">
        <v>0.9948</v>
      </c>
      <c r="O13" s="2">
        <v>0.0</v>
      </c>
      <c r="P13" s="2">
        <v>4.2893</v>
      </c>
      <c r="Q13" s="2">
        <v>0.0</v>
      </c>
      <c r="R13" s="2">
        <v>0.2786</v>
      </c>
      <c r="S13" s="2">
        <v>135.96</v>
      </c>
      <c r="T13" s="2">
        <v>58.0</v>
      </c>
      <c r="V13" s="2">
        <f t="shared" si="2"/>
        <v>60.97209342</v>
      </c>
      <c r="W13" s="2">
        <f t="shared" si="3"/>
        <v>4.45070834</v>
      </c>
      <c r="X13" s="2">
        <f t="shared" si="4"/>
        <v>4.317050377</v>
      </c>
      <c r="Y13" s="2">
        <f t="shared" ref="Y13:Z13" si="16">_xlfn.NORM.S.DIST(W13)</f>
        <v>0.9999957206</v>
      </c>
      <c r="Z13" s="2">
        <f t="shared" si="16"/>
        <v>0.9999920936</v>
      </c>
      <c r="AA13" s="2">
        <f t="shared" si="6"/>
        <v>60.4</v>
      </c>
    </row>
    <row r="14" ht="14.25" customHeight="1">
      <c r="A14" s="2" t="s">
        <v>111</v>
      </c>
      <c r="B14" s="2" t="s">
        <v>112</v>
      </c>
      <c r="C14" s="2" t="s">
        <v>109</v>
      </c>
      <c r="D14" s="2" t="s">
        <v>29</v>
      </c>
      <c r="E14" s="2">
        <v>75.0</v>
      </c>
      <c r="F14" s="2" t="s">
        <v>30</v>
      </c>
      <c r="G14" s="2">
        <v>60.5</v>
      </c>
      <c r="I14" s="2">
        <v>60.85</v>
      </c>
      <c r="K14" s="2">
        <v>0.0</v>
      </c>
      <c r="L14" s="2">
        <v>0.0</v>
      </c>
      <c r="M14" s="2" t="s">
        <v>43</v>
      </c>
      <c r="N14" s="2">
        <v>0.9949</v>
      </c>
      <c r="O14" s="2">
        <v>0.0</v>
      </c>
      <c r="P14" s="2">
        <v>4.2798</v>
      </c>
      <c r="Q14" s="2">
        <v>0.0</v>
      </c>
      <c r="R14" s="2">
        <v>0.1444</v>
      </c>
      <c r="S14" s="2">
        <v>136.5</v>
      </c>
      <c r="T14" s="2">
        <v>57.0</v>
      </c>
      <c r="V14" s="2">
        <f t="shared" si="2"/>
        <v>61.51187406</v>
      </c>
      <c r="W14" s="2">
        <f t="shared" si="3"/>
        <v>8.719747588</v>
      </c>
      <c r="X14" s="2">
        <f t="shared" si="4"/>
        <v>8.651071689</v>
      </c>
      <c r="Y14" s="2">
        <f t="shared" ref="Y14:Z14" si="17">_xlfn.NORM.S.DIST(W14)</f>
        <v>1</v>
      </c>
      <c r="Z14" s="2">
        <f t="shared" si="17"/>
        <v>1</v>
      </c>
      <c r="AA14" s="2">
        <f t="shared" si="6"/>
        <v>60.675</v>
      </c>
    </row>
    <row r="15" ht="14.25" customHeight="1">
      <c r="A15" s="2" t="s">
        <v>111</v>
      </c>
      <c r="B15" s="2" t="s">
        <v>112</v>
      </c>
      <c r="C15" s="2" t="s">
        <v>109</v>
      </c>
      <c r="D15" s="2" t="s">
        <v>29</v>
      </c>
      <c r="E15" s="2">
        <v>75.0</v>
      </c>
      <c r="F15" s="2" t="s">
        <v>30</v>
      </c>
      <c r="G15" s="2">
        <v>61.1</v>
      </c>
      <c r="I15" s="2">
        <v>61.5</v>
      </c>
      <c r="K15" s="2">
        <v>0.0</v>
      </c>
      <c r="L15" s="2">
        <v>0.0</v>
      </c>
      <c r="M15" s="2" t="s">
        <v>44</v>
      </c>
      <c r="N15" s="2">
        <v>1.0</v>
      </c>
      <c r="O15" s="2">
        <v>0.0</v>
      </c>
      <c r="P15" s="2">
        <v>-0.227</v>
      </c>
      <c r="Q15" s="2">
        <v>0.0</v>
      </c>
      <c r="R15" s="2">
        <v>0.0777</v>
      </c>
      <c r="S15" s="2">
        <v>137.12</v>
      </c>
      <c r="T15" s="2">
        <v>53.0</v>
      </c>
      <c r="V15" s="2">
        <f t="shared" si="2"/>
        <v>62.13104085</v>
      </c>
      <c r="W15" s="2">
        <f t="shared" si="3"/>
        <v>16.93260728</v>
      </c>
      <c r="X15" s="2">
        <f t="shared" si="4"/>
        <v>16.89697376</v>
      </c>
      <c r="Y15" s="2">
        <f t="shared" ref="Y15:Z15" si="18">_xlfn.NORM.S.DIST(W15)</f>
        <v>1</v>
      </c>
      <c r="Z15" s="2">
        <f t="shared" si="18"/>
        <v>1</v>
      </c>
      <c r="AA15" s="2">
        <f t="shared" si="6"/>
        <v>61.3</v>
      </c>
    </row>
    <row r="16" ht="14.25" customHeight="1">
      <c r="A16" s="2" t="s">
        <v>111</v>
      </c>
      <c r="B16" s="2" t="s">
        <v>112</v>
      </c>
      <c r="C16" s="2" t="s">
        <v>109</v>
      </c>
      <c r="D16" s="2" t="s">
        <v>29</v>
      </c>
      <c r="E16" s="2">
        <v>75.0</v>
      </c>
      <c r="F16" s="2" t="s">
        <v>30</v>
      </c>
      <c r="G16" s="2">
        <v>62.0</v>
      </c>
      <c r="I16" s="2">
        <v>62.3</v>
      </c>
      <c r="K16" s="2">
        <v>0.0</v>
      </c>
      <c r="L16" s="2">
        <v>0.0</v>
      </c>
      <c r="M16" s="2" t="s">
        <v>45</v>
      </c>
      <c r="N16" s="2">
        <v>1.0</v>
      </c>
      <c r="O16" s="2">
        <v>0.0</v>
      </c>
      <c r="P16" s="2">
        <v>-0.227</v>
      </c>
      <c r="Q16" s="2">
        <v>0.0</v>
      </c>
      <c r="R16" s="2">
        <v>0.0832</v>
      </c>
      <c r="S16" s="2">
        <v>137.79</v>
      </c>
      <c r="T16" s="2">
        <v>52.0</v>
      </c>
      <c r="V16" s="2">
        <f t="shared" si="2"/>
        <v>62.80083255</v>
      </c>
      <c r="W16" s="2">
        <f t="shared" si="3"/>
        <v>16.0935613</v>
      </c>
      <c r="X16" s="2">
        <f t="shared" si="4"/>
        <v>16.05576714</v>
      </c>
      <c r="Y16" s="2">
        <f t="shared" ref="Y16:Z16" si="19">_xlfn.NORM.S.DIST(W16)</f>
        <v>1</v>
      </c>
      <c r="Z16" s="2">
        <f t="shared" si="19"/>
        <v>1</v>
      </c>
      <c r="AA16" s="2">
        <f t="shared" si="6"/>
        <v>62.15</v>
      </c>
    </row>
    <row r="17" ht="14.25" customHeight="1">
      <c r="A17" s="2" t="s">
        <v>111</v>
      </c>
      <c r="B17" s="2" t="s">
        <v>112</v>
      </c>
      <c r="C17" s="2" t="s">
        <v>109</v>
      </c>
      <c r="D17" s="2" t="s">
        <v>29</v>
      </c>
      <c r="E17" s="2">
        <v>75.0</v>
      </c>
      <c r="F17" s="2" t="s">
        <v>30</v>
      </c>
      <c r="G17" s="2">
        <v>62.5</v>
      </c>
      <c r="I17" s="2">
        <v>62.85</v>
      </c>
      <c r="K17" s="2">
        <v>0.0</v>
      </c>
      <c r="L17" s="2">
        <v>0.0</v>
      </c>
      <c r="M17" s="2" t="s">
        <v>46</v>
      </c>
      <c r="N17" s="2">
        <v>1.0</v>
      </c>
      <c r="O17" s="2">
        <v>0.0</v>
      </c>
      <c r="P17" s="2">
        <v>-0.227</v>
      </c>
      <c r="Q17" s="2">
        <v>0.0</v>
      </c>
      <c r="R17" s="2">
        <v>0.0864</v>
      </c>
      <c r="S17" s="2">
        <v>138.25</v>
      </c>
      <c r="T17" s="2">
        <v>51.0</v>
      </c>
      <c r="V17" s="2">
        <f t="shared" si="2"/>
        <v>63.26062425</v>
      </c>
      <c r="W17" s="2">
        <f t="shared" si="3"/>
        <v>15.73444896</v>
      </c>
      <c r="X17" s="2">
        <f t="shared" si="4"/>
        <v>15.69558039</v>
      </c>
      <c r="Y17" s="2">
        <f t="shared" ref="Y17:Z17" si="20">_xlfn.NORM.S.DIST(W17)</f>
        <v>1</v>
      </c>
      <c r="Z17" s="2">
        <f t="shared" si="20"/>
        <v>1</v>
      </c>
      <c r="AA17" s="2">
        <f t="shared" si="6"/>
        <v>62.675</v>
      </c>
    </row>
    <row r="18" ht="14.25" customHeight="1">
      <c r="A18" s="2" t="s">
        <v>111</v>
      </c>
      <c r="B18" s="2" t="s">
        <v>112</v>
      </c>
      <c r="C18" s="2" t="s">
        <v>109</v>
      </c>
      <c r="D18" s="2" t="s">
        <v>29</v>
      </c>
      <c r="E18" s="2">
        <v>75.0</v>
      </c>
      <c r="F18" s="2" t="s">
        <v>30</v>
      </c>
      <c r="G18" s="2">
        <v>63.1</v>
      </c>
      <c r="I18" s="2">
        <v>63.4</v>
      </c>
      <c r="K18" s="2">
        <v>0.0</v>
      </c>
      <c r="L18" s="2">
        <v>0.0</v>
      </c>
      <c r="M18" s="2" t="s">
        <v>47</v>
      </c>
      <c r="N18" s="2">
        <v>0.9976</v>
      </c>
      <c r="O18" s="2">
        <v>0.0</v>
      </c>
      <c r="P18" s="2">
        <v>2.2746</v>
      </c>
      <c r="Q18" s="2">
        <v>0.0</v>
      </c>
      <c r="R18" s="2">
        <v>0.1004</v>
      </c>
      <c r="S18" s="2">
        <v>138.96</v>
      </c>
      <c r="T18" s="2">
        <v>50.0</v>
      </c>
      <c r="V18" s="2">
        <f t="shared" si="2"/>
        <v>63.97041594</v>
      </c>
      <c r="W18" s="2">
        <f t="shared" si="3"/>
        <v>13.78967724</v>
      </c>
      <c r="X18" s="2">
        <f t="shared" si="4"/>
        <v>13.74495553</v>
      </c>
      <c r="Y18" s="2">
        <f t="shared" ref="Y18:Z18" si="21">_xlfn.NORM.S.DIST(W18)</f>
        <v>1</v>
      </c>
      <c r="Z18" s="2">
        <f t="shared" si="21"/>
        <v>1</v>
      </c>
      <c r="AA18" s="2">
        <f t="shared" si="6"/>
        <v>63.25</v>
      </c>
    </row>
    <row r="19" ht="14.25" customHeight="1">
      <c r="A19" s="2" t="s">
        <v>111</v>
      </c>
      <c r="B19" s="2" t="s">
        <v>112</v>
      </c>
      <c r="C19" s="2" t="s">
        <v>109</v>
      </c>
      <c r="D19" s="2" t="s">
        <v>29</v>
      </c>
      <c r="E19" s="2">
        <v>75.0</v>
      </c>
      <c r="F19" s="2" t="s">
        <v>30</v>
      </c>
      <c r="G19" s="2">
        <v>63.15</v>
      </c>
      <c r="I19" s="2">
        <v>63.45</v>
      </c>
      <c r="K19" s="2">
        <v>0.0</v>
      </c>
      <c r="L19" s="2">
        <v>0.0</v>
      </c>
      <c r="M19" s="2" t="s">
        <v>48</v>
      </c>
      <c r="N19" s="2">
        <v>0.9954</v>
      </c>
      <c r="O19" s="2">
        <v>0.0</v>
      </c>
      <c r="P19" s="2">
        <v>4.741</v>
      </c>
      <c r="Q19" s="2">
        <v>0.0</v>
      </c>
      <c r="R19" s="2">
        <v>0.2302</v>
      </c>
      <c r="S19" s="2">
        <v>138.82</v>
      </c>
      <c r="T19" s="2">
        <v>47.0</v>
      </c>
      <c r="V19" s="2">
        <f t="shared" si="2"/>
        <v>63.82979103</v>
      </c>
      <c r="W19" s="2">
        <f t="shared" si="3"/>
        <v>6.193100584</v>
      </c>
      <c r="X19" s="2">
        <f t="shared" si="4"/>
        <v>6.093685112</v>
      </c>
      <c r="Y19" s="2">
        <f t="shared" ref="Y19:Z19" si="22">_xlfn.NORM.S.DIST(W19)</f>
        <v>0.9999999997</v>
      </c>
      <c r="Z19" s="2">
        <f t="shared" si="22"/>
        <v>0.9999999994</v>
      </c>
      <c r="AA19" s="2">
        <f t="shared" si="6"/>
        <v>63.3</v>
      </c>
    </row>
    <row r="20" ht="14.25" customHeight="1">
      <c r="A20" s="2" t="s">
        <v>111</v>
      </c>
      <c r="B20" s="2" t="s">
        <v>112</v>
      </c>
      <c r="C20" s="2" t="s">
        <v>109</v>
      </c>
      <c r="D20" s="2" t="s">
        <v>29</v>
      </c>
      <c r="E20" s="2">
        <v>75.0</v>
      </c>
      <c r="F20" s="2" t="s">
        <v>30</v>
      </c>
      <c r="G20" s="2">
        <v>63.8</v>
      </c>
      <c r="I20" s="2">
        <v>64.1</v>
      </c>
      <c r="K20" s="2">
        <v>0.0</v>
      </c>
      <c r="L20" s="2">
        <v>0.0</v>
      </c>
      <c r="M20" s="2" t="s">
        <v>49</v>
      </c>
      <c r="N20" s="2">
        <v>0.9955</v>
      </c>
      <c r="O20" s="2">
        <v>0.0</v>
      </c>
      <c r="P20" s="2">
        <v>4.7868</v>
      </c>
      <c r="Q20" s="2">
        <v>0.0</v>
      </c>
      <c r="R20" s="2">
        <v>0.1973</v>
      </c>
      <c r="S20" s="2">
        <v>139.54</v>
      </c>
      <c r="T20" s="2">
        <v>46.0</v>
      </c>
      <c r="V20" s="2">
        <f t="shared" si="2"/>
        <v>64.54958272</v>
      </c>
      <c r="W20" s="2">
        <f t="shared" si="3"/>
        <v>7.365295535</v>
      </c>
      <c r="X20" s="2">
        <f t="shared" si="4"/>
        <v>7.280999775</v>
      </c>
      <c r="Y20" s="2">
        <f t="shared" ref="Y20:Z20" si="23">_xlfn.NORM.S.DIST(W20)</f>
        <v>1</v>
      </c>
      <c r="Z20" s="2">
        <f t="shared" si="23"/>
        <v>1</v>
      </c>
      <c r="AA20" s="2">
        <f t="shared" si="6"/>
        <v>63.95</v>
      </c>
    </row>
    <row r="21" ht="14.25" customHeight="1">
      <c r="A21" s="2" t="s">
        <v>111</v>
      </c>
      <c r="B21" s="2" t="s">
        <v>112</v>
      </c>
      <c r="C21" s="2" t="s">
        <v>109</v>
      </c>
      <c r="D21" s="2" t="s">
        <v>29</v>
      </c>
      <c r="E21" s="2">
        <v>75.0</v>
      </c>
      <c r="F21" s="2" t="s">
        <v>30</v>
      </c>
      <c r="G21" s="2">
        <v>63.25</v>
      </c>
      <c r="I21" s="2">
        <v>63.6</v>
      </c>
      <c r="K21" s="2">
        <v>0.0</v>
      </c>
      <c r="L21" s="2">
        <v>0.0</v>
      </c>
      <c r="M21" s="2" t="s">
        <v>50</v>
      </c>
      <c r="N21" s="2">
        <v>0.9956</v>
      </c>
      <c r="O21" s="2">
        <v>0.0</v>
      </c>
      <c r="P21" s="2">
        <v>4.7526</v>
      </c>
      <c r="Q21" s="2">
        <v>0.0</v>
      </c>
      <c r="R21" s="2">
        <v>0.1608</v>
      </c>
      <c r="S21" s="2">
        <v>139.1</v>
      </c>
      <c r="T21" s="2">
        <v>45.0</v>
      </c>
      <c r="V21" s="2">
        <f t="shared" si="2"/>
        <v>64.10937441</v>
      </c>
      <c r="W21" s="2">
        <f t="shared" si="3"/>
        <v>9.090527303</v>
      </c>
      <c r="X21" s="2">
        <f t="shared" si="4"/>
        <v>9.022576901</v>
      </c>
      <c r="Y21" s="2">
        <f t="shared" ref="Y21:Z21" si="24">_xlfn.NORM.S.DIST(W21)</f>
        <v>1</v>
      </c>
      <c r="Z21" s="2">
        <f t="shared" si="24"/>
        <v>1</v>
      </c>
      <c r="AA21" s="2">
        <f t="shared" si="6"/>
        <v>63.425</v>
      </c>
    </row>
    <row r="22" ht="14.25" customHeight="1">
      <c r="A22" s="2" t="s">
        <v>111</v>
      </c>
      <c r="B22" s="2" t="s">
        <v>112</v>
      </c>
      <c r="C22" s="2" t="s">
        <v>109</v>
      </c>
      <c r="D22" s="2" t="s">
        <v>29</v>
      </c>
      <c r="E22" s="2">
        <v>75.0</v>
      </c>
      <c r="F22" s="2" t="s">
        <v>30</v>
      </c>
      <c r="G22" s="2">
        <v>62.95</v>
      </c>
      <c r="I22" s="2">
        <v>63.3</v>
      </c>
      <c r="K22" s="2">
        <v>0.0</v>
      </c>
      <c r="L22" s="2">
        <v>0.0</v>
      </c>
      <c r="M22" s="2" t="s">
        <v>51</v>
      </c>
      <c r="N22" s="2">
        <v>0.9957</v>
      </c>
      <c r="O22" s="2">
        <v>0.0</v>
      </c>
      <c r="P22" s="2">
        <v>4.7355</v>
      </c>
      <c r="Q22" s="2">
        <v>0.0</v>
      </c>
      <c r="R22" s="2">
        <v>0.2306</v>
      </c>
      <c r="S22" s="2">
        <v>138.61</v>
      </c>
      <c r="T22" s="2">
        <v>44.0</v>
      </c>
      <c r="V22" s="2">
        <f t="shared" si="2"/>
        <v>63.61916611</v>
      </c>
      <c r="W22" s="2">
        <f t="shared" si="3"/>
        <v>6.373933911</v>
      </c>
      <c r="X22" s="2">
        <f t="shared" si="4"/>
        <v>6.277576445</v>
      </c>
      <c r="Y22" s="2">
        <f t="shared" ref="Y22:Z22" si="25">_xlfn.NORM.S.DIST(W22)</f>
        <v>0.9999999999</v>
      </c>
      <c r="Z22" s="2">
        <f t="shared" si="25"/>
        <v>0.9999999998</v>
      </c>
      <c r="AA22" s="2">
        <f t="shared" si="6"/>
        <v>63.125</v>
      </c>
    </row>
    <row r="23" ht="14.25" customHeight="1">
      <c r="A23" s="2" t="s">
        <v>111</v>
      </c>
      <c r="B23" s="2" t="s">
        <v>112</v>
      </c>
      <c r="C23" s="2" t="s">
        <v>110</v>
      </c>
      <c r="D23" s="2" t="s">
        <v>29</v>
      </c>
      <c r="E23" s="2">
        <v>75.0</v>
      </c>
      <c r="F23" s="2" t="s">
        <v>30</v>
      </c>
      <c r="G23" s="2">
        <v>64.25</v>
      </c>
      <c r="I23" s="2">
        <v>64.55</v>
      </c>
      <c r="K23" s="2">
        <v>0.0</v>
      </c>
      <c r="L23" s="2">
        <v>0.0</v>
      </c>
      <c r="M23" s="2" t="s">
        <v>53</v>
      </c>
      <c r="N23" s="2">
        <v>0.9958</v>
      </c>
      <c r="O23" s="2">
        <v>0.0</v>
      </c>
      <c r="P23" s="2">
        <v>4.8188</v>
      </c>
      <c r="Q23" s="2">
        <v>0.0</v>
      </c>
      <c r="R23" s="2">
        <v>0.1332</v>
      </c>
      <c r="S23" s="2">
        <v>140.1</v>
      </c>
      <c r="T23" s="2">
        <v>43.0</v>
      </c>
      <c r="V23" s="2">
        <f t="shared" si="2"/>
        <v>65.1089578</v>
      </c>
      <c r="W23" s="2">
        <f t="shared" si="3"/>
        <v>11.35665254</v>
      </c>
      <c r="X23" s="2">
        <f t="shared" si="4"/>
        <v>11.30163031</v>
      </c>
      <c r="Y23" s="2">
        <f t="shared" ref="Y23:Z23" si="26">_xlfn.NORM.S.DIST(W23)</f>
        <v>1</v>
      </c>
      <c r="Z23" s="2">
        <f t="shared" si="26"/>
        <v>1</v>
      </c>
      <c r="AA23" s="2">
        <f t="shared" si="6"/>
        <v>64.4</v>
      </c>
    </row>
    <row r="24" ht="14.25" customHeight="1">
      <c r="A24" s="2" t="s">
        <v>111</v>
      </c>
      <c r="B24" s="2" t="s">
        <v>112</v>
      </c>
      <c r="C24" s="2" t="s">
        <v>110</v>
      </c>
      <c r="D24" s="2" t="s">
        <v>29</v>
      </c>
      <c r="E24" s="2">
        <v>75.0</v>
      </c>
      <c r="F24" s="2" t="s">
        <v>30</v>
      </c>
      <c r="G24" s="2">
        <v>63.2</v>
      </c>
      <c r="I24" s="2">
        <v>63.5</v>
      </c>
      <c r="K24" s="2">
        <v>0.0</v>
      </c>
      <c r="L24" s="2">
        <v>0.0</v>
      </c>
      <c r="M24" s="2" t="s">
        <v>54</v>
      </c>
      <c r="N24" s="2">
        <v>0.9963</v>
      </c>
      <c r="O24" s="2">
        <v>0.0</v>
      </c>
      <c r="P24" s="2">
        <v>4.5605</v>
      </c>
      <c r="Q24" s="2">
        <v>0.0</v>
      </c>
      <c r="R24" s="2">
        <v>0.2166</v>
      </c>
      <c r="S24" s="2">
        <v>138.8</v>
      </c>
      <c r="T24" s="2">
        <v>40.0</v>
      </c>
      <c r="V24" s="2">
        <f t="shared" si="2"/>
        <v>63.80833287</v>
      </c>
      <c r="W24" s="2">
        <f t="shared" si="3"/>
        <v>7.133001079</v>
      </c>
      <c r="X24" s="2">
        <f t="shared" si="4"/>
        <v>7.046705574</v>
      </c>
      <c r="Y24" s="2">
        <f t="shared" ref="Y24:Z24" si="27">_xlfn.NORM.S.DIST(W24)</f>
        <v>1</v>
      </c>
      <c r="Z24" s="2">
        <f t="shared" si="27"/>
        <v>1</v>
      </c>
      <c r="AA24" s="2">
        <f t="shared" si="6"/>
        <v>63.35</v>
      </c>
    </row>
    <row r="25" ht="14.25" customHeight="1">
      <c r="A25" s="2" t="s">
        <v>111</v>
      </c>
      <c r="B25" s="2" t="s">
        <v>112</v>
      </c>
      <c r="C25" s="2" t="s">
        <v>110</v>
      </c>
      <c r="D25" s="2" t="s">
        <v>29</v>
      </c>
      <c r="E25" s="2">
        <v>75.0</v>
      </c>
      <c r="F25" s="2" t="s">
        <v>30</v>
      </c>
      <c r="G25" s="2">
        <v>63.95</v>
      </c>
      <c r="I25" s="2">
        <v>64.25</v>
      </c>
      <c r="K25" s="2">
        <v>0.0</v>
      </c>
      <c r="L25" s="2">
        <v>0.0</v>
      </c>
      <c r="M25" s="2" t="s">
        <v>55</v>
      </c>
      <c r="N25" s="2">
        <v>0.9964</v>
      </c>
      <c r="O25" s="2">
        <v>0.0</v>
      </c>
      <c r="P25" s="2">
        <v>4.59</v>
      </c>
      <c r="Q25" s="2">
        <v>0.0</v>
      </c>
      <c r="R25" s="2">
        <v>0.1329</v>
      </c>
      <c r="S25" s="2">
        <v>139.79</v>
      </c>
      <c r="T25" s="2">
        <v>39.0</v>
      </c>
      <c r="V25" s="2">
        <f t="shared" si="2"/>
        <v>64.79812456</v>
      </c>
      <c r="W25" s="2">
        <f t="shared" si="3"/>
        <v>11.90938125</v>
      </c>
      <c r="X25" s="2">
        <f t="shared" si="4"/>
        <v>11.85709867</v>
      </c>
      <c r="Y25" s="2">
        <f t="shared" ref="Y25:Z25" si="28">_xlfn.NORM.S.DIST(W25)</f>
        <v>1</v>
      </c>
      <c r="Z25" s="2">
        <f t="shared" si="28"/>
        <v>1</v>
      </c>
      <c r="AA25" s="2">
        <f t="shared" si="6"/>
        <v>64.1</v>
      </c>
    </row>
    <row r="26" ht="14.25" customHeight="1">
      <c r="A26" s="2" t="s">
        <v>111</v>
      </c>
      <c r="B26" s="2" t="s">
        <v>112</v>
      </c>
      <c r="C26" s="2" t="s">
        <v>110</v>
      </c>
      <c r="D26" s="2" t="s">
        <v>29</v>
      </c>
      <c r="E26" s="2">
        <v>75.0</v>
      </c>
      <c r="F26" s="2" t="s">
        <v>30</v>
      </c>
      <c r="G26" s="2">
        <v>64.05</v>
      </c>
      <c r="I26" s="2">
        <v>64.35</v>
      </c>
      <c r="K26" s="2">
        <v>0.0</v>
      </c>
      <c r="L26" s="2">
        <v>0.0</v>
      </c>
      <c r="M26" s="2" t="s">
        <v>56</v>
      </c>
      <c r="N26" s="2">
        <v>0.9982</v>
      </c>
      <c r="O26" s="2">
        <v>0.0</v>
      </c>
      <c r="P26" s="2">
        <v>2.192</v>
      </c>
      <c r="Q26" s="2">
        <v>0.0</v>
      </c>
      <c r="R26" s="2">
        <v>0.0998</v>
      </c>
      <c r="S26" s="2">
        <v>139.87</v>
      </c>
      <c r="T26" s="2">
        <v>38.0</v>
      </c>
      <c r="V26" s="2">
        <f t="shared" si="2"/>
        <v>64.87791625</v>
      </c>
      <c r="W26" s="2">
        <f t="shared" si="3"/>
        <v>16.08136875</v>
      </c>
      <c r="X26" s="2">
        <f t="shared" si="4"/>
        <v>16.04261425</v>
      </c>
      <c r="Y26" s="2">
        <f t="shared" ref="Y26:Z26" si="29">_xlfn.NORM.S.DIST(W26)</f>
        <v>1</v>
      </c>
      <c r="Z26" s="2">
        <f t="shared" si="29"/>
        <v>1</v>
      </c>
      <c r="AA26" s="2">
        <f t="shared" si="6"/>
        <v>64.2</v>
      </c>
    </row>
    <row r="27" ht="14.25" customHeight="1">
      <c r="A27" s="2" t="s">
        <v>111</v>
      </c>
      <c r="B27" s="2" t="s">
        <v>112</v>
      </c>
      <c r="C27" s="2" t="s">
        <v>110</v>
      </c>
      <c r="D27" s="2" t="s">
        <v>29</v>
      </c>
      <c r="E27" s="2">
        <v>75.0</v>
      </c>
      <c r="F27" s="2" t="s">
        <v>30</v>
      </c>
      <c r="G27" s="2">
        <v>63.7</v>
      </c>
      <c r="I27" s="2">
        <v>64.05</v>
      </c>
      <c r="K27" s="2">
        <v>0.0</v>
      </c>
      <c r="L27" s="2">
        <v>0.0</v>
      </c>
      <c r="M27" s="2" t="s">
        <v>57</v>
      </c>
      <c r="N27" s="2">
        <v>0.9966</v>
      </c>
      <c r="O27" s="2">
        <v>0.0</v>
      </c>
      <c r="P27" s="2">
        <v>4.5833</v>
      </c>
      <c r="Q27" s="2">
        <v>0.0</v>
      </c>
      <c r="R27" s="2">
        <v>0.1391</v>
      </c>
      <c r="S27" s="2">
        <v>139.44</v>
      </c>
      <c r="T27" s="2">
        <v>37.0</v>
      </c>
      <c r="V27" s="2">
        <f t="shared" si="2"/>
        <v>64.44770794</v>
      </c>
      <c r="W27" s="2">
        <f t="shared" si="3"/>
        <v>11.63500105</v>
      </c>
      <c r="X27" s="2">
        <f t="shared" si="4"/>
        <v>11.58170098</v>
      </c>
      <c r="Y27" s="2">
        <f t="shared" ref="Y27:Z27" si="30">_xlfn.NORM.S.DIST(W27)</f>
        <v>1</v>
      </c>
      <c r="Z27" s="2">
        <f t="shared" si="30"/>
        <v>1</v>
      </c>
      <c r="AA27" s="2">
        <f t="shared" si="6"/>
        <v>63.875</v>
      </c>
    </row>
    <row r="28" ht="14.25" customHeight="1">
      <c r="A28" s="2" t="s">
        <v>111</v>
      </c>
      <c r="B28" s="2" t="s">
        <v>112</v>
      </c>
      <c r="C28" s="2" t="s">
        <v>110</v>
      </c>
      <c r="D28" s="2" t="s">
        <v>29</v>
      </c>
      <c r="E28" s="2">
        <v>75.0</v>
      </c>
      <c r="F28" s="2" t="s">
        <v>30</v>
      </c>
      <c r="G28" s="2">
        <v>64.05</v>
      </c>
      <c r="I28" s="2">
        <v>64.35</v>
      </c>
      <c r="K28" s="2">
        <v>0.0</v>
      </c>
      <c r="L28" s="2">
        <v>0.0</v>
      </c>
      <c r="M28" s="2" t="s">
        <v>58</v>
      </c>
      <c r="N28" s="2">
        <v>0.9967</v>
      </c>
      <c r="O28" s="2">
        <v>0.0</v>
      </c>
      <c r="P28" s="2">
        <v>4.5963</v>
      </c>
      <c r="Q28" s="2">
        <v>0.0</v>
      </c>
      <c r="R28" s="2">
        <v>0.1117</v>
      </c>
      <c r="S28" s="2">
        <v>139.93</v>
      </c>
      <c r="T28" s="2">
        <v>36.0</v>
      </c>
      <c r="V28" s="2">
        <f t="shared" si="2"/>
        <v>64.93749963</v>
      </c>
      <c r="W28" s="2">
        <f t="shared" si="3"/>
        <v>14.77201321</v>
      </c>
      <c r="X28" s="2">
        <f t="shared" si="4"/>
        <v>14.72979457</v>
      </c>
      <c r="Y28" s="2">
        <f t="shared" ref="Y28:Z28" si="31">_xlfn.NORM.S.DIST(W28)</f>
        <v>1</v>
      </c>
      <c r="Z28" s="2">
        <f t="shared" si="31"/>
        <v>1</v>
      </c>
      <c r="AA28" s="2">
        <f t="shared" si="6"/>
        <v>64.2</v>
      </c>
    </row>
    <row r="29" ht="14.25" customHeight="1">
      <c r="A29" s="2" t="s">
        <v>111</v>
      </c>
      <c r="B29" s="2" t="s">
        <v>112</v>
      </c>
      <c r="C29" s="2" t="s">
        <v>110</v>
      </c>
      <c r="D29" s="2" t="s">
        <v>29</v>
      </c>
      <c r="E29" s="2">
        <v>75.0</v>
      </c>
      <c r="F29" s="2" t="s">
        <v>30</v>
      </c>
      <c r="G29" s="2">
        <v>64.05</v>
      </c>
      <c r="I29" s="2">
        <v>64.4</v>
      </c>
      <c r="K29" s="2">
        <v>0.0</v>
      </c>
      <c r="L29" s="2">
        <v>0.0</v>
      </c>
      <c r="M29" s="2" t="s">
        <v>59</v>
      </c>
      <c r="N29" s="2">
        <v>0.997</v>
      </c>
      <c r="O29" s="2">
        <v>0.0</v>
      </c>
      <c r="P29" s="2">
        <v>4.5451</v>
      </c>
      <c r="Q29" s="2">
        <v>0.0</v>
      </c>
      <c r="R29" s="2">
        <v>0.1457</v>
      </c>
      <c r="S29" s="2">
        <v>139.71</v>
      </c>
      <c r="T29" s="2">
        <v>33.0</v>
      </c>
      <c r="V29" s="2">
        <f t="shared" si="2"/>
        <v>64.71687468</v>
      </c>
      <c r="W29" s="2">
        <f t="shared" si="3"/>
        <v>11.79860057</v>
      </c>
      <c r="X29" s="2">
        <f t="shared" si="4"/>
        <v>11.74587561</v>
      </c>
      <c r="Y29" s="2">
        <f t="shared" ref="Y29:Z29" si="32">_xlfn.NORM.S.DIST(W29)</f>
        <v>1</v>
      </c>
      <c r="Z29" s="2">
        <f t="shared" si="32"/>
        <v>1</v>
      </c>
      <c r="AA29" s="2">
        <f t="shared" si="6"/>
        <v>64.225</v>
      </c>
    </row>
    <row r="30" ht="14.25" customHeight="1">
      <c r="A30" s="2" t="s">
        <v>111</v>
      </c>
      <c r="B30" s="2" t="s">
        <v>112</v>
      </c>
      <c r="C30" s="2" t="s">
        <v>110</v>
      </c>
      <c r="D30" s="2" t="s">
        <v>29</v>
      </c>
      <c r="E30" s="2">
        <v>75.0</v>
      </c>
      <c r="F30" s="2" t="s">
        <v>30</v>
      </c>
      <c r="G30" s="2">
        <v>64.65</v>
      </c>
      <c r="I30" s="2">
        <v>64.95</v>
      </c>
      <c r="K30" s="2">
        <v>0.0</v>
      </c>
      <c r="L30" s="2">
        <v>0.0</v>
      </c>
      <c r="M30" s="2" t="s">
        <v>60</v>
      </c>
      <c r="N30" s="2">
        <v>0.997</v>
      </c>
      <c r="O30" s="2">
        <v>0.0</v>
      </c>
      <c r="P30" s="2">
        <v>4.5978</v>
      </c>
      <c r="Q30" s="2">
        <v>0.0</v>
      </c>
      <c r="R30" s="2">
        <v>0.1711</v>
      </c>
      <c r="S30" s="2">
        <v>140.19</v>
      </c>
      <c r="T30" s="2">
        <v>32.0</v>
      </c>
      <c r="V30" s="2">
        <f t="shared" si="2"/>
        <v>65.19666637</v>
      </c>
      <c r="W30" s="2">
        <f t="shared" si="3"/>
        <v>10.259115</v>
      </c>
      <c r="X30" s="2">
        <f t="shared" si="4"/>
        <v>10.1981438</v>
      </c>
      <c r="Y30" s="2">
        <f t="shared" ref="Y30:Z30" si="33">_xlfn.NORM.S.DIST(W30)</f>
        <v>1</v>
      </c>
      <c r="Z30" s="2">
        <f t="shared" si="33"/>
        <v>1</v>
      </c>
      <c r="AA30" s="2">
        <f t="shared" si="6"/>
        <v>64.8</v>
      </c>
    </row>
    <row r="31" ht="14.25" customHeight="1">
      <c r="A31" s="2" t="s">
        <v>111</v>
      </c>
      <c r="B31" s="2" t="s">
        <v>112</v>
      </c>
      <c r="C31" s="2" t="s">
        <v>110</v>
      </c>
      <c r="D31" s="2" t="s">
        <v>29</v>
      </c>
      <c r="E31" s="2">
        <v>75.0</v>
      </c>
      <c r="F31" s="2" t="s">
        <v>30</v>
      </c>
      <c r="G31" s="2">
        <v>64.4</v>
      </c>
      <c r="I31" s="2">
        <v>64.7</v>
      </c>
      <c r="K31" s="2">
        <v>0.0</v>
      </c>
      <c r="L31" s="2">
        <v>0.0</v>
      </c>
      <c r="M31" s="2" t="s">
        <v>61</v>
      </c>
      <c r="N31" s="2">
        <v>0.9972</v>
      </c>
      <c r="O31" s="2">
        <v>0.0</v>
      </c>
      <c r="P31" s="2">
        <v>4.55</v>
      </c>
      <c r="Q31" s="2">
        <v>0.0</v>
      </c>
      <c r="R31" s="2">
        <v>0.2464</v>
      </c>
      <c r="S31" s="2">
        <v>139.83</v>
      </c>
      <c r="T31" s="2">
        <v>31.0</v>
      </c>
      <c r="V31" s="2">
        <f t="shared" si="2"/>
        <v>64.83645806</v>
      </c>
      <c r="W31" s="2">
        <f t="shared" si="3"/>
        <v>7.208160369</v>
      </c>
      <c r="X31" s="2">
        <f t="shared" si="4"/>
        <v>7.121738973</v>
      </c>
      <c r="Y31" s="2">
        <f t="shared" ref="Y31:Z31" si="34">_xlfn.NORM.S.DIST(W31)</f>
        <v>1</v>
      </c>
      <c r="Z31" s="2">
        <f t="shared" si="34"/>
        <v>1</v>
      </c>
      <c r="AA31" s="2">
        <f t="shared" si="6"/>
        <v>64.55</v>
      </c>
    </row>
    <row r="32" ht="14.25" customHeight="1">
      <c r="A32" s="2" t="s">
        <v>111</v>
      </c>
      <c r="B32" s="2" t="s">
        <v>112</v>
      </c>
      <c r="C32" s="2" t="s">
        <v>110</v>
      </c>
      <c r="D32" s="2" t="s">
        <v>29</v>
      </c>
      <c r="E32" s="2">
        <v>75.0</v>
      </c>
      <c r="F32" s="2" t="s">
        <v>30</v>
      </c>
      <c r="G32" s="2">
        <v>64.3</v>
      </c>
      <c r="I32" s="2">
        <v>64.55</v>
      </c>
      <c r="K32" s="2">
        <v>0.0</v>
      </c>
      <c r="L32" s="2">
        <v>0.0</v>
      </c>
      <c r="M32" s="2" t="s">
        <v>62</v>
      </c>
      <c r="N32" s="2">
        <v>0.9973</v>
      </c>
      <c r="O32" s="2">
        <v>0.0</v>
      </c>
      <c r="P32" s="2">
        <v>4.5113</v>
      </c>
      <c r="Q32" s="2">
        <v>0.0</v>
      </c>
      <c r="R32" s="2">
        <v>0.228</v>
      </c>
      <c r="S32" s="2">
        <v>139.73</v>
      </c>
      <c r="T32" s="2">
        <v>30.0</v>
      </c>
      <c r="V32" s="2">
        <f t="shared" si="2"/>
        <v>64.73624974</v>
      </c>
      <c r="W32" s="2">
        <f t="shared" si="3"/>
        <v>7.909544387</v>
      </c>
      <c r="X32" s="2">
        <f t="shared" si="4"/>
        <v>7.830876913</v>
      </c>
      <c r="Y32" s="2">
        <f t="shared" ref="Y32:Z32" si="35">_xlfn.NORM.S.DIST(W32)</f>
        <v>1</v>
      </c>
      <c r="Z32" s="2">
        <f t="shared" si="35"/>
        <v>1</v>
      </c>
      <c r="AA32" s="2">
        <f t="shared" si="6"/>
        <v>64.425</v>
      </c>
    </row>
    <row r="33" ht="14.25" customHeight="1">
      <c r="A33" s="2" t="s">
        <v>111</v>
      </c>
      <c r="B33" s="2" t="s">
        <v>112</v>
      </c>
      <c r="C33" s="2" t="s">
        <v>110</v>
      </c>
      <c r="D33" s="2" t="s">
        <v>29</v>
      </c>
      <c r="E33" s="2">
        <v>75.0</v>
      </c>
      <c r="F33" s="2" t="s">
        <v>30</v>
      </c>
      <c r="G33" s="2">
        <v>64.35</v>
      </c>
      <c r="I33" s="2">
        <v>64.75</v>
      </c>
      <c r="K33" s="2">
        <v>0.0</v>
      </c>
      <c r="L33" s="2">
        <v>0.0</v>
      </c>
      <c r="M33" s="2" t="s">
        <v>63</v>
      </c>
      <c r="N33" s="2">
        <v>0.9973</v>
      </c>
      <c r="O33" s="2">
        <v>0.0</v>
      </c>
      <c r="P33" s="2">
        <v>4.5506</v>
      </c>
      <c r="Q33" s="2">
        <v>0.0</v>
      </c>
      <c r="R33" s="2">
        <v>0.1926</v>
      </c>
      <c r="S33" s="2">
        <v>139.82</v>
      </c>
      <c r="T33" s="2">
        <v>29.0</v>
      </c>
      <c r="V33" s="2">
        <f t="shared" si="2"/>
        <v>64.82604142</v>
      </c>
      <c r="W33" s="2">
        <f t="shared" si="3"/>
        <v>9.533247013</v>
      </c>
      <c r="X33" s="2">
        <f t="shared" si="4"/>
        <v>9.467910642</v>
      </c>
      <c r="Y33" s="2">
        <f t="shared" ref="Y33:Z33" si="36">_xlfn.NORM.S.DIST(W33)</f>
        <v>1</v>
      </c>
      <c r="Z33" s="2">
        <f t="shared" si="36"/>
        <v>1</v>
      </c>
      <c r="AA33" s="2">
        <f t="shared" si="6"/>
        <v>64.55</v>
      </c>
    </row>
    <row r="34" ht="14.25" customHeight="1">
      <c r="A34" s="2" t="s">
        <v>111</v>
      </c>
      <c r="B34" s="2" t="s">
        <v>112</v>
      </c>
      <c r="C34" s="2" t="s">
        <v>110</v>
      </c>
      <c r="D34" s="2" t="s">
        <v>29</v>
      </c>
      <c r="E34" s="2">
        <v>75.0</v>
      </c>
      <c r="F34" s="2" t="s">
        <v>30</v>
      </c>
      <c r="G34" s="2">
        <v>64.85</v>
      </c>
      <c r="I34" s="2">
        <v>65.25</v>
      </c>
      <c r="K34" s="2">
        <v>0.0</v>
      </c>
      <c r="L34" s="2">
        <v>0.0</v>
      </c>
      <c r="M34" s="2" t="s">
        <v>64</v>
      </c>
      <c r="N34" s="2">
        <v>0.9976</v>
      </c>
      <c r="O34" s="2">
        <v>0.0</v>
      </c>
      <c r="P34" s="2">
        <v>4.7922</v>
      </c>
      <c r="Q34" s="2">
        <v>0.0</v>
      </c>
      <c r="R34" s="2">
        <v>0.1819</v>
      </c>
      <c r="S34" s="2">
        <v>140.36</v>
      </c>
      <c r="T34" s="2">
        <v>25.0</v>
      </c>
      <c r="V34" s="2">
        <f t="shared" si="2"/>
        <v>65.36520815</v>
      </c>
      <c r="W34" s="2">
        <f t="shared" si="3"/>
        <v>10.93887879</v>
      </c>
      <c r="X34" s="2">
        <f t="shared" si="4"/>
        <v>10.88158567</v>
      </c>
      <c r="Y34" s="2">
        <f t="shared" ref="Y34:Z34" si="37">_xlfn.NORM.S.DIST(W34)</f>
        <v>1</v>
      </c>
      <c r="Z34" s="2">
        <f t="shared" si="37"/>
        <v>1</v>
      </c>
      <c r="AA34" s="2">
        <f t="shared" si="6"/>
        <v>65.05</v>
      </c>
    </row>
    <row r="35" ht="14.25" customHeight="1">
      <c r="A35" s="2" t="s">
        <v>111</v>
      </c>
      <c r="B35" s="2" t="s">
        <v>112</v>
      </c>
      <c r="C35" s="2" t="s">
        <v>110</v>
      </c>
      <c r="D35" s="2" t="s">
        <v>29</v>
      </c>
      <c r="E35" s="2">
        <v>75.0</v>
      </c>
      <c r="F35" s="2" t="s">
        <v>30</v>
      </c>
      <c r="G35" s="2">
        <v>63.7</v>
      </c>
      <c r="I35" s="2">
        <v>64.1</v>
      </c>
      <c r="K35" s="2">
        <v>0.0</v>
      </c>
      <c r="L35" s="2">
        <v>0.0</v>
      </c>
      <c r="M35" s="2" t="s">
        <v>65</v>
      </c>
      <c r="N35" s="2">
        <v>0.9976</v>
      </c>
      <c r="O35" s="2">
        <v>0.0</v>
      </c>
      <c r="P35" s="2">
        <v>4.9382</v>
      </c>
      <c r="Q35" s="2">
        <v>0.0</v>
      </c>
      <c r="R35" s="2">
        <v>0.1539</v>
      </c>
      <c r="S35" s="2">
        <v>139.28</v>
      </c>
      <c r="T35" s="2">
        <v>24.0</v>
      </c>
      <c r="V35" s="2">
        <f t="shared" si="2"/>
        <v>64.28499983</v>
      </c>
      <c r="W35" s="2">
        <f t="shared" si="3"/>
        <v>13.03303025</v>
      </c>
      <c r="X35" s="2">
        <f t="shared" si="4"/>
        <v>12.98553568</v>
      </c>
      <c r="Y35" s="2">
        <f t="shared" ref="Y35:Z35" si="38">_xlfn.NORM.S.DIST(W35)</f>
        <v>1</v>
      </c>
      <c r="Z35" s="2">
        <f t="shared" si="38"/>
        <v>1</v>
      </c>
      <c r="AA35" s="2">
        <f t="shared" si="6"/>
        <v>63.9</v>
      </c>
    </row>
    <row r="36" ht="14.25" customHeight="1">
      <c r="A36" s="2" t="s">
        <v>111</v>
      </c>
      <c r="B36" s="2" t="s">
        <v>112</v>
      </c>
      <c r="C36" s="2" t="s">
        <v>110</v>
      </c>
      <c r="D36" s="2" t="s">
        <v>29</v>
      </c>
      <c r="E36" s="2">
        <v>75.0</v>
      </c>
      <c r="F36" s="2" t="s">
        <v>30</v>
      </c>
      <c r="G36" s="2">
        <v>63.45</v>
      </c>
      <c r="I36" s="2">
        <v>63.75</v>
      </c>
      <c r="K36" s="2">
        <v>0.0</v>
      </c>
      <c r="L36" s="2">
        <v>0.0</v>
      </c>
      <c r="M36" s="2" t="s">
        <v>66</v>
      </c>
      <c r="N36" s="2">
        <v>0.9977</v>
      </c>
      <c r="O36" s="2">
        <v>0.0</v>
      </c>
      <c r="P36" s="2">
        <v>4.9212</v>
      </c>
      <c r="Q36" s="2">
        <v>0.0</v>
      </c>
      <c r="R36" s="2">
        <v>0.2725</v>
      </c>
      <c r="S36" s="2">
        <v>138.81</v>
      </c>
      <c r="T36" s="2">
        <v>23.0</v>
      </c>
      <c r="V36" s="2">
        <f t="shared" si="2"/>
        <v>63.81479151</v>
      </c>
      <c r="W36" s="2">
        <f t="shared" si="3"/>
        <v>7.4779256</v>
      </c>
      <c r="X36" s="2">
        <f t="shared" si="4"/>
        <v>7.395600901</v>
      </c>
      <c r="Y36" s="2">
        <f t="shared" ref="Y36:Z36" si="39">_xlfn.NORM.S.DIST(W36)</f>
        <v>1</v>
      </c>
      <c r="Z36" s="2">
        <f t="shared" si="39"/>
        <v>1</v>
      </c>
      <c r="AA36" s="2">
        <f t="shared" si="6"/>
        <v>63.6</v>
      </c>
    </row>
    <row r="37" ht="14.25" customHeight="1">
      <c r="A37" s="2" t="s">
        <v>111</v>
      </c>
      <c r="B37" s="2" t="s">
        <v>112</v>
      </c>
      <c r="C37" s="2" t="s">
        <v>110</v>
      </c>
      <c r="D37" s="2" t="s">
        <v>29</v>
      </c>
      <c r="E37" s="2">
        <v>75.0</v>
      </c>
      <c r="F37" s="2" t="s">
        <v>30</v>
      </c>
      <c r="G37" s="2">
        <v>64.7</v>
      </c>
      <c r="I37" s="2">
        <v>65.0</v>
      </c>
      <c r="K37" s="2">
        <v>0.0</v>
      </c>
      <c r="L37" s="2">
        <v>0.0</v>
      </c>
      <c r="M37" s="2" t="s">
        <v>67</v>
      </c>
      <c r="N37" s="2">
        <v>0.9978</v>
      </c>
      <c r="O37" s="2">
        <v>0.0</v>
      </c>
      <c r="P37" s="2">
        <v>4.9673</v>
      </c>
      <c r="Q37" s="2">
        <v>0.0</v>
      </c>
      <c r="R37" s="2">
        <v>0.2627</v>
      </c>
      <c r="S37" s="2">
        <v>140.01</v>
      </c>
      <c r="T37" s="2">
        <v>22.0</v>
      </c>
      <c r="V37" s="2">
        <f t="shared" si="2"/>
        <v>65.01458319</v>
      </c>
      <c r="W37" s="2">
        <f t="shared" si="3"/>
        <v>8.042119584</v>
      </c>
      <c r="X37" s="2">
        <f t="shared" si="4"/>
        <v>7.96450003</v>
      </c>
      <c r="Y37" s="2">
        <f t="shared" ref="Y37:Z37" si="40">_xlfn.NORM.S.DIST(W37)</f>
        <v>1</v>
      </c>
      <c r="Z37" s="2">
        <f t="shared" si="40"/>
        <v>1</v>
      </c>
      <c r="AA37" s="2">
        <f t="shared" si="6"/>
        <v>64.85</v>
      </c>
    </row>
    <row r="38" ht="14.25" customHeight="1">
      <c r="A38" s="2" t="s">
        <v>111</v>
      </c>
      <c r="B38" s="2" t="s">
        <v>112</v>
      </c>
      <c r="C38" s="2" t="s">
        <v>110</v>
      </c>
      <c r="D38" s="2" t="s">
        <v>29</v>
      </c>
      <c r="E38" s="2">
        <v>75.0</v>
      </c>
      <c r="F38" s="2" t="s">
        <v>30</v>
      </c>
      <c r="G38" s="2">
        <v>62.25</v>
      </c>
      <c r="I38" s="2">
        <v>62.85</v>
      </c>
      <c r="K38" s="2">
        <v>0.0</v>
      </c>
      <c r="L38" s="2">
        <v>0.0</v>
      </c>
      <c r="M38" s="2" t="s">
        <v>68</v>
      </c>
      <c r="N38" s="2">
        <v>0.9981</v>
      </c>
      <c r="O38" s="2">
        <v>0.0</v>
      </c>
      <c r="P38" s="2">
        <v>4.9563</v>
      </c>
      <c r="Q38" s="2">
        <v>0.0</v>
      </c>
      <c r="R38" s="2">
        <v>0.1981</v>
      </c>
      <c r="S38" s="2">
        <v>137.84</v>
      </c>
      <c r="T38" s="2">
        <v>19.0</v>
      </c>
      <c r="V38" s="2">
        <f t="shared" si="2"/>
        <v>62.84395823</v>
      </c>
      <c r="W38" s="2">
        <f t="shared" si="3"/>
        <v>11.18857692</v>
      </c>
      <c r="X38" s="2">
        <f t="shared" si="4"/>
        <v>11.13418167</v>
      </c>
      <c r="Y38" s="2">
        <f t="shared" ref="Y38:Z38" si="41">_xlfn.NORM.S.DIST(W38)</f>
        <v>1</v>
      </c>
      <c r="Z38" s="2">
        <f t="shared" si="41"/>
        <v>1</v>
      </c>
      <c r="AA38" s="2">
        <f t="shared" si="6"/>
        <v>62.55</v>
      </c>
    </row>
    <row r="39" ht="14.25" customHeight="1">
      <c r="A39" s="2" t="s">
        <v>111</v>
      </c>
      <c r="B39" s="2" t="s">
        <v>112</v>
      </c>
      <c r="C39" s="2" t="s">
        <v>110</v>
      </c>
      <c r="D39" s="2" t="s">
        <v>29</v>
      </c>
      <c r="E39" s="2">
        <v>75.0</v>
      </c>
      <c r="F39" s="2" t="s">
        <v>30</v>
      </c>
      <c r="G39" s="2">
        <v>63.6</v>
      </c>
      <c r="I39" s="2">
        <v>63.9</v>
      </c>
      <c r="K39" s="2">
        <v>0.0</v>
      </c>
      <c r="L39" s="2">
        <v>0.0</v>
      </c>
      <c r="M39" s="2" t="s">
        <v>69</v>
      </c>
      <c r="N39" s="2">
        <v>0.9982</v>
      </c>
      <c r="O39" s="2">
        <v>0.0</v>
      </c>
      <c r="P39" s="2">
        <v>5.0698</v>
      </c>
      <c r="Q39" s="2">
        <v>0.0</v>
      </c>
      <c r="R39" s="2">
        <v>0.1918</v>
      </c>
      <c r="S39" s="2">
        <v>139.0</v>
      </c>
      <c r="T39" s="2">
        <v>18.0</v>
      </c>
      <c r="V39" s="2">
        <f t="shared" si="2"/>
        <v>64.00374991</v>
      </c>
      <c r="W39" s="2">
        <f t="shared" si="3"/>
        <v>12.03623331</v>
      </c>
      <c r="X39" s="2">
        <f t="shared" si="4"/>
        <v>11.98497261</v>
      </c>
      <c r="Y39" s="2">
        <f t="shared" ref="Y39:Z39" si="42">_xlfn.NORM.S.DIST(W39)</f>
        <v>1</v>
      </c>
      <c r="Z39" s="2">
        <f t="shared" si="42"/>
        <v>1</v>
      </c>
      <c r="AA39" s="2">
        <f t="shared" si="6"/>
        <v>63.75</v>
      </c>
    </row>
    <row r="40" ht="14.25" customHeight="1">
      <c r="A40" s="2" t="s">
        <v>111</v>
      </c>
      <c r="B40" s="2" t="s">
        <v>112</v>
      </c>
      <c r="C40" s="2" t="s">
        <v>110</v>
      </c>
      <c r="D40" s="2" t="s">
        <v>29</v>
      </c>
      <c r="E40" s="2">
        <v>75.0</v>
      </c>
      <c r="F40" s="2" t="s">
        <v>30</v>
      </c>
      <c r="G40" s="2">
        <v>65.45</v>
      </c>
      <c r="I40" s="2">
        <v>65.75</v>
      </c>
      <c r="K40" s="2">
        <v>0.0</v>
      </c>
      <c r="L40" s="2">
        <v>0.0</v>
      </c>
      <c r="M40" s="2" t="s">
        <v>70</v>
      </c>
      <c r="N40" s="2">
        <v>0.999</v>
      </c>
      <c r="O40" s="2">
        <v>0.0</v>
      </c>
      <c r="P40" s="2">
        <v>2.7807</v>
      </c>
      <c r="Q40" s="2">
        <v>0.0</v>
      </c>
      <c r="R40" s="2">
        <v>0.1668</v>
      </c>
      <c r="S40" s="2">
        <v>140.75</v>
      </c>
      <c r="T40" s="2">
        <v>17.0</v>
      </c>
      <c r="V40" s="2">
        <f t="shared" si="2"/>
        <v>65.75354158</v>
      </c>
      <c r="W40" s="2">
        <f t="shared" si="3"/>
        <v>14.53026497</v>
      </c>
      <c r="X40" s="2">
        <f t="shared" si="4"/>
        <v>14.4869418</v>
      </c>
      <c r="Y40" s="2">
        <f t="shared" ref="Y40:Z40" si="43">_xlfn.NORM.S.DIST(W40)</f>
        <v>1</v>
      </c>
      <c r="Z40" s="2">
        <f t="shared" si="43"/>
        <v>1</v>
      </c>
      <c r="AA40" s="2">
        <f t="shared" si="6"/>
        <v>65.6</v>
      </c>
    </row>
    <row r="41" ht="14.25" customHeight="1">
      <c r="A41" s="2" t="s">
        <v>111</v>
      </c>
      <c r="B41" s="2" t="s">
        <v>112</v>
      </c>
      <c r="C41" s="2" t="s">
        <v>110</v>
      </c>
      <c r="D41" s="2" t="s">
        <v>29</v>
      </c>
      <c r="E41" s="2">
        <v>75.0</v>
      </c>
      <c r="F41" s="2" t="s">
        <v>30</v>
      </c>
      <c r="G41" s="2">
        <v>65.05</v>
      </c>
      <c r="I41" s="2">
        <v>65.45</v>
      </c>
      <c r="K41" s="2">
        <v>0.0</v>
      </c>
      <c r="L41" s="2">
        <v>0.0</v>
      </c>
      <c r="M41" s="2" t="s">
        <v>71</v>
      </c>
      <c r="N41" s="2">
        <v>0.9982</v>
      </c>
      <c r="O41" s="2">
        <v>0.0</v>
      </c>
      <c r="P41" s="2">
        <v>5.7683</v>
      </c>
      <c r="Q41" s="2">
        <v>0.0</v>
      </c>
      <c r="R41" s="2">
        <v>0.1559</v>
      </c>
      <c r="S41" s="2">
        <v>140.54</v>
      </c>
      <c r="T41" s="2">
        <v>16.0</v>
      </c>
      <c r="V41" s="2">
        <f t="shared" si="2"/>
        <v>65.54333326</v>
      </c>
      <c r="W41" s="2">
        <f t="shared" si="3"/>
        <v>15.98661794</v>
      </c>
      <c r="X41" s="2">
        <f t="shared" si="4"/>
        <v>15.94733484</v>
      </c>
      <c r="Y41" s="2">
        <f t="shared" ref="Y41:Z41" si="44">_xlfn.NORM.S.DIST(W41)</f>
        <v>1</v>
      </c>
      <c r="Z41" s="2">
        <f t="shared" si="44"/>
        <v>1</v>
      </c>
      <c r="AA41" s="2">
        <f t="shared" si="6"/>
        <v>65.25</v>
      </c>
    </row>
    <row r="42" ht="14.25" customHeight="1">
      <c r="A42" s="2" t="s">
        <v>111</v>
      </c>
      <c r="B42" s="2" t="s">
        <v>112</v>
      </c>
      <c r="C42" s="2" t="s">
        <v>110</v>
      </c>
      <c r="D42" s="2" t="s">
        <v>29</v>
      </c>
      <c r="E42" s="2">
        <v>75.0</v>
      </c>
      <c r="F42" s="2" t="s">
        <v>30</v>
      </c>
      <c r="G42" s="2">
        <v>65.45</v>
      </c>
      <c r="I42" s="2">
        <v>65.95</v>
      </c>
      <c r="K42" s="2">
        <v>0.0</v>
      </c>
      <c r="L42" s="2">
        <v>0.0</v>
      </c>
      <c r="M42" s="2" t="s">
        <v>72</v>
      </c>
      <c r="N42" s="2">
        <v>0.9983</v>
      </c>
      <c r="O42" s="2">
        <v>0.0</v>
      </c>
      <c r="P42" s="2">
        <v>5.7877</v>
      </c>
      <c r="Q42" s="2">
        <v>0.0</v>
      </c>
      <c r="R42" s="2">
        <v>0.1748</v>
      </c>
      <c r="S42" s="2">
        <v>140.9</v>
      </c>
      <c r="T42" s="2">
        <v>15.0</v>
      </c>
      <c r="V42" s="2">
        <f t="shared" si="2"/>
        <v>65.90312493</v>
      </c>
      <c r="W42" s="2">
        <f t="shared" si="3"/>
        <v>14.78567711</v>
      </c>
      <c r="X42" s="2">
        <f t="shared" si="4"/>
        <v>14.74303028</v>
      </c>
      <c r="Y42" s="2">
        <f t="shared" ref="Y42:Z42" si="45">_xlfn.NORM.S.DIST(W42)</f>
        <v>1</v>
      </c>
      <c r="Z42" s="2">
        <f t="shared" si="45"/>
        <v>1</v>
      </c>
      <c r="AA42" s="2">
        <f t="shared" si="6"/>
        <v>65.7</v>
      </c>
    </row>
    <row r="43" ht="14.25" customHeight="1">
      <c r="A43" s="2" t="s">
        <v>111</v>
      </c>
      <c r="B43" s="2" t="s">
        <v>112</v>
      </c>
      <c r="C43" s="2" t="s">
        <v>110</v>
      </c>
      <c r="D43" s="2" t="s">
        <v>29</v>
      </c>
      <c r="E43" s="2">
        <v>75.0</v>
      </c>
      <c r="F43" s="2" t="s">
        <v>30</v>
      </c>
      <c r="G43" s="2">
        <v>65.9</v>
      </c>
      <c r="I43" s="2">
        <v>66.35</v>
      </c>
      <c r="K43" s="2">
        <v>0.0</v>
      </c>
      <c r="L43" s="2">
        <v>0.0</v>
      </c>
      <c r="M43" s="2" t="s">
        <v>73</v>
      </c>
      <c r="N43" s="2">
        <v>0.9987</v>
      </c>
      <c r="O43" s="2">
        <v>0.0</v>
      </c>
      <c r="P43" s="2">
        <v>5.9085</v>
      </c>
      <c r="Q43" s="2">
        <v>0.0</v>
      </c>
      <c r="R43" s="2">
        <v>0.1496</v>
      </c>
      <c r="S43" s="2">
        <v>141.28</v>
      </c>
      <c r="T43" s="2">
        <v>12.0</v>
      </c>
      <c r="V43" s="2">
        <f t="shared" si="2"/>
        <v>66.28249996</v>
      </c>
      <c r="W43" s="2">
        <f t="shared" si="3"/>
        <v>19.39800687</v>
      </c>
      <c r="X43" s="2">
        <f t="shared" si="4"/>
        <v>19.36536148</v>
      </c>
      <c r="Y43" s="2">
        <f t="shared" ref="Y43:Z43" si="46">_xlfn.NORM.S.DIST(W43)</f>
        <v>1</v>
      </c>
      <c r="Z43" s="2">
        <f t="shared" si="46"/>
        <v>1</v>
      </c>
      <c r="AA43" s="2">
        <f t="shared" si="6"/>
        <v>66.125</v>
      </c>
    </row>
    <row r="44" ht="14.25" customHeight="1">
      <c r="A44" s="2" t="s">
        <v>111</v>
      </c>
      <c r="B44" s="2" t="s">
        <v>112</v>
      </c>
      <c r="C44" s="2" t="s">
        <v>110</v>
      </c>
      <c r="D44" s="2" t="s">
        <v>29</v>
      </c>
      <c r="E44" s="2">
        <v>75.0</v>
      </c>
      <c r="F44" s="2" t="s">
        <v>30</v>
      </c>
      <c r="G44" s="2">
        <v>67.05</v>
      </c>
      <c r="I44" s="2">
        <v>67.45</v>
      </c>
      <c r="K44" s="2">
        <v>0.0</v>
      </c>
      <c r="L44" s="2">
        <v>0.0</v>
      </c>
      <c r="M44" s="2" t="s">
        <v>74</v>
      </c>
      <c r="N44" s="2">
        <v>0.9988</v>
      </c>
      <c r="O44" s="2">
        <v>0.0</v>
      </c>
      <c r="P44" s="2">
        <v>6.0612</v>
      </c>
      <c r="Q44" s="2">
        <v>0.0</v>
      </c>
      <c r="R44" s="2">
        <v>0.1285</v>
      </c>
      <c r="S44" s="2">
        <v>142.54</v>
      </c>
      <c r="T44" s="2">
        <v>11.0</v>
      </c>
      <c r="V44" s="2">
        <f t="shared" si="2"/>
        <v>67.54229163</v>
      </c>
      <c r="W44" s="2">
        <f t="shared" si="3"/>
        <v>23.91810879</v>
      </c>
      <c r="X44" s="2">
        <f t="shared" si="4"/>
        <v>23.89126158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67.25</v>
      </c>
    </row>
    <row r="45" ht="14.25" customHeight="1">
      <c r="A45" s="2" t="s">
        <v>111</v>
      </c>
      <c r="B45" s="2" t="s">
        <v>112</v>
      </c>
      <c r="C45" s="2" t="s">
        <v>110</v>
      </c>
      <c r="D45" s="2" t="s">
        <v>29</v>
      </c>
      <c r="E45" s="2">
        <v>75.0</v>
      </c>
      <c r="F45" s="2" t="s">
        <v>30</v>
      </c>
      <c r="G45" s="2">
        <v>67.5</v>
      </c>
      <c r="I45" s="2">
        <v>67.95</v>
      </c>
      <c r="K45" s="2">
        <v>0.0</v>
      </c>
      <c r="L45" s="2">
        <v>0.0</v>
      </c>
      <c r="M45" s="2" t="s">
        <v>75</v>
      </c>
      <c r="N45" s="2">
        <v>0.9988</v>
      </c>
      <c r="O45" s="2">
        <v>0.0</v>
      </c>
      <c r="P45" s="2">
        <v>6.2367</v>
      </c>
      <c r="Q45" s="2">
        <v>0.0</v>
      </c>
      <c r="R45" s="2">
        <v>0.1262</v>
      </c>
      <c r="S45" s="2">
        <v>142.96</v>
      </c>
      <c r="T45" s="2">
        <v>10.0</v>
      </c>
      <c r="V45" s="2">
        <f t="shared" si="2"/>
        <v>67.9620833</v>
      </c>
      <c r="W45" s="2">
        <f t="shared" si="3"/>
        <v>25.65974343</v>
      </c>
      <c r="X45" s="2">
        <f t="shared" si="4"/>
        <v>25.63460379</v>
      </c>
      <c r="Y45" s="2">
        <f t="shared" ref="Y45:Z45" si="48">_xlfn.NORM.S.DIST(W45)</f>
        <v>1</v>
      </c>
      <c r="Z45" s="2">
        <f t="shared" si="48"/>
        <v>1</v>
      </c>
      <c r="AA45" s="2">
        <f t="shared" si="6"/>
        <v>67.725</v>
      </c>
    </row>
    <row r="46" ht="14.25" customHeight="1">
      <c r="A46" s="2" t="s">
        <v>111</v>
      </c>
      <c r="B46" s="2" t="s">
        <v>112</v>
      </c>
      <c r="C46" s="2" t="s">
        <v>110</v>
      </c>
      <c r="D46" s="2" t="s">
        <v>29</v>
      </c>
      <c r="E46" s="2">
        <v>75.0</v>
      </c>
      <c r="F46" s="2" t="s">
        <v>30</v>
      </c>
      <c r="G46" s="2">
        <v>68.05</v>
      </c>
      <c r="I46" s="2">
        <v>68.4</v>
      </c>
      <c r="K46" s="2">
        <v>0.0</v>
      </c>
      <c r="L46" s="2">
        <v>0.0</v>
      </c>
      <c r="M46" s="2" t="s">
        <v>76</v>
      </c>
      <c r="N46" s="2">
        <v>0.9995</v>
      </c>
      <c r="O46" s="2">
        <v>0.0</v>
      </c>
      <c r="P46" s="2">
        <v>3.1006</v>
      </c>
      <c r="Q46" s="2">
        <v>0.0</v>
      </c>
      <c r="R46" s="2">
        <v>0.1019</v>
      </c>
      <c r="S46" s="2">
        <v>143.29</v>
      </c>
      <c r="T46" s="2">
        <v>9.0</v>
      </c>
      <c r="V46" s="2">
        <f t="shared" si="2"/>
        <v>68.29187498</v>
      </c>
      <c r="W46" s="2">
        <f t="shared" si="3"/>
        <v>33.61752555</v>
      </c>
      <c r="X46" s="2">
        <f t="shared" si="4"/>
        <v>33.59826826</v>
      </c>
      <c r="Y46" s="2">
        <f t="shared" ref="Y46:Z46" si="49">_xlfn.NORM.S.DIST(W46)</f>
        <v>1</v>
      </c>
      <c r="Z46" s="2">
        <f t="shared" si="49"/>
        <v>1</v>
      </c>
      <c r="AA46" s="2">
        <f t="shared" si="6"/>
        <v>68.225</v>
      </c>
    </row>
    <row r="47" ht="14.25" customHeight="1">
      <c r="A47" s="2" t="s">
        <v>111</v>
      </c>
      <c r="B47" s="2" t="s">
        <v>112</v>
      </c>
      <c r="C47" s="2" t="s">
        <v>110</v>
      </c>
      <c r="D47" s="2" t="s">
        <v>29</v>
      </c>
      <c r="E47" s="2">
        <v>75.0</v>
      </c>
      <c r="F47" s="2" t="s">
        <v>30</v>
      </c>
      <c r="G47" s="2">
        <v>68.5</v>
      </c>
      <c r="I47" s="2">
        <v>69.0</v>
      </c>
      <c r="K47" s="2">
        <v>0.0</v>
      </c>
      <c r="L47" s="2">
        <v>0.0</v>
      </c>
      <c r="M47" s="2" t="s">
        <v>77</v>
      </c>
      <c r="N47" s="2">
        <v>1.0</v>
      </c>
      <c r="O47" s="2">
        <v>0.0</v>
      </c>
      <c r="P47" s="2">
        <v>-0.2114</v>
      </c>
      <c r="Q47" s="2">
        <v>0.0</v>
      </c>
      <c r="R47" s="2">
        <v>0.1157</v>
      </c>
      <c r="S47" s="2">
        <v>143.97</v>
      </c>
      <c r="T47" s="2">
        <v>8.0</v>
      </c>
      <c r="V47" s="2">
        <f t="shared" si="2"/>
        <v>68.97166665</v>
      </c>
      <c r="W47" s="2">
        <f t="shared" si="3"/>
        <v>31.63350593</v>
      </c>
      <c r="X47" s="2">
        <f t="shared" si="4"/>
        <v>31.61289118</v>
      </c>
      <c r="Y47" s="2">
        <f t="shared" ref="Y47:Z47" si="50">_xlfn.NORM.S.DIST(W47)</f>
        <v>1</v>
      </c>
      <c r="Z47" s="2">
        <f t="shared" si="50"/>
        <v>1</v>
      </c>
      <c r="AA47" s="2">
        <f t="shared" si="6"/>
        <v>68.75</v>
      </c>
    </row>
    <row r="48" ht="14.25" customHeight="1">
      <c r="A48" s="2" t="s">
        <v>111</v>
      </c>
      <c r="B48" s="2" t="s">
        <v>112</v>
      </c>
      <c r="C48" s="2" t="s">
        <v>110</v>
      </c>
      <c r="D48" s="2" t="s">
        <v>29</v>
      </c>
      <c r="E48" s="2">
        <v>75.0</v>
      </c>
      <c r="F48" s="2" t="s">
        <v>30</v>
      </c>
      <c r="G48" s="2">
        <v>68.85</v>
      </c>
      <c r="I48" s="2">
        <v>69.7</v>
      </c>
      <c r="K48" s="2">
        <v>0.0</v>
      </c>
      <c r="L48" s="2">
        <v>0.0</v>
      </c>
      <c r="M48" s="2" t="s">
        <v>78</v>
      </c>
      <c r="N48" s="2">
        <v>1.0</v>
      </c>
      <c r="O48" s="2">
        <v>0.0</v>
      </c>
      <c r="P48" s="2">
        <v>-0.2114</v>
      </c>
      <c r="Q48" s="2">
        <v>0.0</v>
      </c>
      <c r="R48" s="2">
        <v>0.1346</v>
      </c>
      <c r="S48" s="2">
        <v>144.47</v>
      </c>
      <c r="T48" s="2">
        <v>5.0</v>
      </c>
      <c r="V48" s="2">
        <f t="shared" si="2"/>
        <v>69.47104166</v>
      </c>
      <c r="W48" s="2">
        <f t="shared" si="3"/>
        <v>34.57788257</v>
      </c>
      <c r="X48" s="2">
        <f t="shared" si="4"/>
        <v>34.55892295</v>
      </c>
      <c r="Y48" s="2">
        <f t="shared" ref="Y48:Z48" si="51">_xlfn.NORM.S.DIST(W48)</f>
        <v>1</v>
      </c>
      <c r="Z48" s="2">
        <f t="shared" si="51"/>
        <v>1</v>
      </c>
      <c r="AA48" s="2">
        <f t="shared" si="6"/>
        <v>69.275</v>
      </c>
    </row>
    <row r="49" ht="14.25" customHeight="1">
      <c r="A49" s="2" t="s">
        <v>111</v>
      </c>
      <c r="B49" s="2" t="s">
        <v>112</v>
      </c>
      <c r="C49" s="2" t="s">
        <v>110</v>
      </c>
      <c r="D49" s="2" t="s">
        <v>29</v>
      </c>
      <c r="E49" s="2">
        <v>75.0</v>
      </c>
      <c r="F49" s="2" t="s">
        <v>30</v>
      </c>
      <c r="G49" s="2">
        <v>69.2</v>
      </c>
      <c r="I49" s="2">
        <v>69.6</v>
      </c>
      <c r="K49" s="2">
        <v>0.0</v>
      </c>
      <c r="L49" s="2">
        <v>0.0</v>
      </c>
      <c r="M49" s="2" t="s">
        <v>79</v>
      </c>
      <c r="N49" s="2">
        <v>1.0</v>
      </c>
      <c r="O49" s="2">
        <v>0.0</v>
      </c>
      <c r="P49" s="2">
        <v>-0.2114</v>
      </c>
      <c r="Q49" s="2">
        <v>0.0</v>
      </c>
      <c r="R49" s="2">
        <v>0.1529</v>
      </c>
      <c r="S49" s="2">
        <v>144.5</v>
      </c>
      <c r="T49" s="2">
        <v>4.0</v>
      </c>
      <c r="V49" s="2">
        <f t="shared" si="2"/>
        <v>69.50083333</v>
      </c>
      <c r="W49" s="2">
        <f t="shared" si="3"/>
        <v>34.04305312</v>
      </c>
      <c r="X49" s="2">
        <f t="shared" si="4"/>
        <v>34.02378953</v>
      </c>
      <c r="Y49" s="2">
        <f t="shared" ref="Y49:Z49" si="52">_xlfn.NORM.S.DIST(W49)</f>
        <v>1</v>
      </c>
      <c r="Z49" s="2">
        <f t="shared" si="52"/>
        <v>1</v>
      </c>
      <c r="AA49" s="2">
        <f t="shared" si="6"/>
        <v>69.4</v>
      </c>
    </row>
    <row r="50" ht="14.25" customHeight="1">
      <c r="A50" s="2" t="s">
        <v>111</v>
      </c>
      <c r="B50" s="2" t="s">
        <v>112</v>
      </c>
      <c r="C50" s="2" t="s">
        <v>110</v>
      </c>
      <c r="D50" s="2" t="s">
        <v>29</v>
      </c>
      <c r="E50" s="2">
        <v>75.0</v>
      </c>
      <c r="F50" s="2" t="s">
        <v>30</v>
      </c>
      <c r="G50" s="2">
        <v>69.05</v>
      </c>
      <c r="I50" s="2">
        <v>70.0</v>
      </c>
      <c r="K50" s="2">
        <v>0.0</v>
      </c>
      <c r="L50" s="2">
        <v>0.0</v>
      </c>
      <c r="M50" s="2" t="s">
        <v>80</v>
      </c>
      <c r="N50" s="2">
        <v>1.0</v>
      </c>
      <c r="O50" s="2">
        <v>0.0</v>
      </c>
      <c r="P50" s="2">
        <v>-0.2114</v>
      </c>
      <c r="Q50" s="2">
        <v>0.0</v>
      </c>
      <c r="R50" s="2">
        <v>0.1855</v>
      </c>
      <c r="S50" s="2">
        <v>144.55</v>
      </c>
      <c r="T50" s="2">
        <v>3.0</v>
      </c>
      <c r="V50" s="2">
        <f t="shared" si="2"/>
        <v>69.550625</v>
      </c>
      <c r="W50" s="2">
        <f t="shared" si="3"/>
        <v>32.41831909</v>
      </c>
      <c r="X50" s="2">
        <f t="shared" si="4"/>
        <v>32.39807938</v>
      </c>
      <c r="Y50" s="2">
        <f t="shared" ref="Y50:Z50" si="53">_xlfn.NORM.S.DIST(W50)</f>
        <v>1</v>
      </c>
      <c r="Z50" s="2">
        <f t="shared" si="53"/>
        <v>1</v>
      </c>
      <c r="AA50" s="2">
        <f t="shared" si="6"/>
        <v>69.525</v>
      </c>
    </row>
    <row r="51" ht="14.25" customHeight="1">
      <c r="A51" s="2" t="s">
        <v>111</v>
      </c>
      <c r="B51" s="2" t="s">
        <v>112</v>
      </c>
      <c r="C51" s="2" t="s">
        <v>110</v>
      </c>
      <c r="D51" s="2" t="s">
        <v>29</v>
      </c>
      <c r="E51" s="2">
        <v>75.0</v>
      </c>
      <c r="F51" s="2" t="s">
        <v>30</v>
      </c>
      <c r="G51" s="2">
        <v>69.8</v>
      </c>
      <c r="I51" s="2">
        <v>70.7</v>
      </c>
      <c r="K51" s="2">
        <v>0.0</v>
      </c>
      <c r="L51" s="2">
        <v>0.0</v>
      </c>
      <c r="M51" s="2" t="s">
        <v>81</v>
      </c>
      <c r="N51" s="2">
        <v>1.0</v>
      </c>
      <c r="O51" s="2">
        <v>0.0</v>
      </c>
      <c r="P51" s="2">
        <v>-0.2114</v>
      </c>
      <c r="Q51" s="2">
        <v>0.0</v>
      </c>
      <c r="R51" s="2">
        <v>0.3691</v>
      </c>
      <c r="S51" s="2">
        <v>145.39</v>
      </c>
      <c r="T51" s="2">
        <v>2.0</v>
      </c>
      <c r="V51" s="2">
        <f t="shared" si="2"/>
        <v>70.39041667</v>
      </c>
      <c r="W51" s="2">
        <f t="shared" si="3"/>
        <v>20.13049202</v>
      </c>
      <c r="X51" s="2">
        <f t="shared" si="4"/>
        <v>20.09760998</v>
      </c>
      <c r="Y51" s="2">
        <f t="shared" ref="Y51:Z51" si="54">_xlfn.NORM.S.DIST(W51)</f>
        <v>1</v>
      </c>
      <c r="Z51" s="2">
        <f t="shared" si="54"/>
        <v>1</v>
      </c>
      <c r="AA51" s="2">
        <f t="shared" si="6"/>
        <v>70.25</v>
      </c>
    </row>
    <row r="52" ht="14.25" customHeight="1">
      <c r="A52" s="2" t="s">
        <v>111</v>
      </c>
      <c r="B52" s="2" t="s">
        <v>112</v>
      </c>
      <c r="C52" s="2" t="s">
        <v>110</v>
      </c>
      <c r="D52" s="2" t="s">
        <v>29</v>
      </c>
      <c r="E52" s="2">
        <v>75.0</v>
      </c>
      <c r="F52" s="2" t="s">
        <v>30</v>
      </c>
      <c r="G52" s="2">
        <v>69.7</v>
      </c>
      <c r="I52" s="2">
        <v>70.65</v>
      </c>
      <c r="K52" s="2">
        <v>0.0</v>
      </c>
      <c r="L52" s="2">
        <v>0.0</v>
      </c>
      <c r="M52" s="2" t="s">
        <v>82</v>
      </c>
      <c r="N52" s="2">
        <v>1.0</v>
      </c>
      <c r="O52" s="2">
        <v>0.0</v>
      </c>
      <c r="P52" s="2">
        <v>-0.2114</v>
      </c>
      <c r="Q52" s="2">
        <v>0.0</v>
      </c>
      <c r="R52" s="2">
        <v>1.2892</v>
      </c>
      <c r="S52" s="2">
        <v>145.14</v>
      </c>
      <c r="T52" s="2">
        <v>1.0</v>
      </c>
      <c r="V52" s="2">
        <f t="shared" si="2"/>
        <v>70.14020833</v>
      </c>
      <c r="W52" s="2">
        <f t="shared" si="3"/>
        <v>8.129475363</v>
      </c>
      <c r="X52" s="2">
        <f t="shared" si="4"/>
        <v>8.048263397</v>
      </c>
      <c r="Y52" s="2">
        <f t="shared" ref="Y52:Z52" si="55">_xlfn.NORM.S.DIST(W52)</f>
        <v>1</v>
      </c>
      <c r="Z52" s="2">
        <f t="shared" si="55"/>
        <v>1</v>
      </c>
      <c r="AA52" s="2">
        <f t="shared" si="6"/>
        <v>70.175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12" width="8.71"/>
    <col customWidth="1" min="13" max="13" width="10.71"/>
    <col customWidth="1" min="14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113</v>
      </c>
      <c r="B2" s="2" t="s">
        <v>114</v>
      </c>
      <c r="C2" s="2" t="s">
        <v>109</v>
      </c>
      <c r="D2" s="2" t="s">
        <v>29</v>
      </c>
      <c r="E2" s="2">
        <v>126.0</v>
      </c>
      <c r="F2" s="2" t="s">
        <v>30</v>
      </c>
      <c r="G2" s="2">
        <v>49.3</v>
      </c>
      <c r="I2" s="2">
        <v>53.0</v>
      </c>
      <c r="K2" s="2">
        <v>0.0</v>
      </c>
      <c r="L2" s="2">
        <v>10.0</v>
      </c>
      <c r="M2" s="2" t="s">
        <v>31</v>
      </c>
      <c r="N2" s="2">
        <v>0.9975</v>
      </c>
      <c r="O2" s="2">
        <v>1.0E-4</v>
      </c>
      <c r="P2" s="2">
        <v>1.2246</v>
      </c>
      <c r="Q2" s="2">
        <v>0.1658</v>
      </c>
      <c r="R2" s="2">
        <v>0.2392</v>
      </c>
      <c r="S2" s="2">
        <v>177.11</v>
      </c>
      <c r="T2" s="2">
        <v>73.0</v>
      </c>
      <c r="V2" s="2">
        <f t="shared" ref="V2:V45" si="2">S2*Y2 - E2*Z2*exp(-0.0007*T2/252)</f>
        <v>51.15921081</v>
      </c>
      <c r="W2" s="2">
        <f t="shared" ref="W2:W45" si="3">((LN(S2/E2) + (0.0007 + (R2^2)/2) * U2/$AB$2)) / (R2 * SQRT(T2/252))</f>
        <v>2.644727192</v>
      </c>
      <c r="X2" s="2">
        <f t="shared" ref="X2:X45" si="4">W2-(R2*SQRT(T2/$AB$2))</f>
        <v>2.515984574</v>
      </c>
      <c r="Y2" s="2">
        <f t="shared" ref="Y2:Z2" si="1">_xlfn.NORM.S.DIST(W2)</f>
        <v>0.9959121599</v>
      </c>
      <c r="Z2" s="2">
        <f t="shared" si="1"/>
        <v>0.9940649811</v>
      </c>
      <c r="AA2" s="2">
        <f t="shared" ref="AA2:AA45" si="6">0.5*(G2+I2)</f>
        <v>51.15</v>
      </c>
      <c r="AB2" s="2">
        <v>252.0</v>
      </c>
    </row>
    <row r="3" ht="14.25" customHeight="1">
      <c r="A3" s="2" t="s">
        <v>113</v>
      </c>
      <c r="B3" s="2" t="s">
        <v>114</v>
      </c>
      <c r="C3" s="2" t="s">
        <v>109</v>
      </c>
      <c r="D3" s="2" t="s">
        <v>29</v>
      </c>
      <c r="E3" s="2">
        <v>126.0</v>
      </c>
      <c r="F3" s="2" t="s">
        <v>30</v>
      </c>
      <c r="G3" s="2">
        <v>49.4</v>
      </c>
      <c r="I3" s="2">
        <v>52.9</v>
      </c>
      <c r="K3" s="2">
        <v>0.0</v>
      </c>
      <c r="L3" s="2">
        <v>10.0</v>
      </c>
      <c r="M3" s="2" t="s">
        <v>32</v>
      </c>
      <c r="N3" s="2">
        <v>0.9973</v>
      </c>
      <c r="O3" s="2">
        <v>1.0E-4</v>
      </c>
      <c r="P3" s="2">
        <v>1.2115</v>
      </c>
      <c r="Q3" s="2">
        <v>0.2219</v>
      </c>
      <c r="R3" s="2">
        <v>0.248</v>
      </c>
      <c r="S3" s="2">
        <v>177.66</v>
      </c>
      <c r="T3" s="2">
        <v>72.0</v>
      </c>
      <c r="V3" s="2">
        <f t="shared" si="2"/>
        <v>51.71408045</v>
      </c>
      <c r="W3" s="2">
        <f t="shared" si="3"/>
        <v>2.591925313</v>
      </c>
      <c r="X3" s="2">
        <f t="shared" si="4"/>
        <v>2.459363737</v>
      </c>
      <c r="Y3" s="2">
        <f t="shared" ref="Y3:Z3" si="5">_xlfn.NORM.S.DIST(W3)</f>
        <v>0.9952279756</v>
      </c>
      <c r="Z3" s="2">
        <f t="shared" si="5"/>
        <v>0.9930408239</v>
      </c>
      <c r="AA3" s="2">
        <f t="shared" si="6"/>
        <v>51.15</v>
      </c>
    </row>
    <row r="4" ht="14.25" customHeight="1">
      <c r="A4" s="2" t="s">
        <v>113</v>
      </c>
      <c r="B4" s="2" t="s">
        <v>114</v>
      </c>
      <c r="C4" s="2" t="s">
        <v>109</v>
      </c>
      <c r="D4" s="2" t="s">
        <v>29</v>
      </c>
      <c r="E4" s="2">
        <v>126.0</v>
      </c>
      <c r="F4" s="2" t="s">
        <v>30</v>
      </c>
      <c r="G4" s="2">
        <v>51.0</v>
      </c>
      <c r="I4" s="2">
        <v>54.4</v>
      </c>
      <c r="K4" s="2">
        <v>0.0</v>
      </c>
      <c r="L4" s="2">
        <v>10.0</v>
      </c>
      <c r="M4" s="2" t="s">
        <v>33</v>
      </c>
      <c r="N4" s="2">
        <v>0.998</v>
      </c>
      <c r="O4" s="2">
        <v>0.0</v>
      </c>
      <c r="P4" s="2">
        <v>1.3563</v>
      </c>
      <c r="Q4" s="2">
        <v>0.0332</v>
      </c>
      <c r="R4" s="2">
        <v>0.2176</v>
      </c>
      <c r="S4" s="2">
        <v>178.85</v>
      </c>
      <c r="T4" s="2">
        <v>71.0</v>
      </c>
      <c r="V4" s="2">
        <f t="shared" si="2"/>
        <v>52.88056819</v>
      </c>
      <c r="W4" s="2">
        <f t="shared" si="3"/>
        <v>3.032561665</v>
      </c>
      <c r="X4" s="2">
        <f t="shared" si="4"/>
        <v>2.91706012</v>
      </c>
      <c r="Y4" s="2">
        <f t="shared" ref="Y4:Z4" si="7">_xlfn.NORM.S.DIST(W4)</f>
        <v>0.9987875623</v>
      </c>
      <c r="Z4" s="2">
        <f t="shared" si="7"/>
        <v>0.9982332617</v>
      </c>
      <c r="AA4" s="2">
        <f t="shared" si="6"/>
        <v>52.7</v>
      </c>
      <c r="AB4" s="2">
        <f>average(R2:R45)</f>
        <v>0.4181022727</v>
      </c>
    </row>
    <row r="5" ht="14.25" customHeight="1">
      <c r="A5" s="2" t="s">
        <v>113</v>
      </c>
      <c r="B5" s="2" t="s">
        <v>114</v>
      </c>
      <c r="C5" s="2" t="s">
        <v>109</v>
      </c>
      <c r="D5" s="2" t="s">
        <v>29</v>
      </c>
      <c r="E5" s="2">
        <v>126.0</v>
      </c>
      <c r="F5" s="2" t="s">
        <v>30</v>
      </c>
      <c r="G5" s="2">
        <v>51.9</v>
      </c>
      <c r="I5" s="2">
        <v>55.3</v>
      </c>
      <c r="K5" s="2">
        <v>0.0</v>
      </c>
      <c r="L5" s="2">
        <v>10.0</v>
      </c>
      <c r="M5" s="2" t="s">
        <v>34</v>
      </c>
      <c r="N5" s="2">
        <v>0.9991</v>
      </c>
      <c r="O5" s="2">
        <v>0.0</v>
      </c>
      <c r="P5" s="2">
        <v>0.4988</v>
      </c>
      <c r="Q5" s="2">
        <v>0.0101</v>
      </c>
      <c r="R5" s="2">
        <v>0.2088</v>
      </c>
      <c r="S5" s="2">
        <v>179.28</v>
      </c>
      <c r="T5" s="2">
        <v>68.0</v>
      </c>
      <c r="V5" s="2">
        <f t="shared" si="2"/>
        <v>53.30621231</v>
      </c>
      <c r="W5" s="2">
        <f t="shared" si="3"/>
        <v>3.25147222</v>
      </c>
      <c r="X5" s="2">
        <f t="shared" si="4"/>
        <v>3.143008454</v>
      </c>
      <c r="Y5" s="2">
        <f t="shared" ref="Y5:Z5" si="8">_xlfn.NORM.S.DIST(W5)</f>
        <v>0.999425955</v>
      </c>
      <c r="Z5" s="2">
        <f t="shared" si="8"/>
        <v>0.9991638949</v>
      </c>
      <c r="AA5" s="2">
        <f t="shared" si="6"/>
        <v>53.6</v>
      </c>
    </row>
    <row r="6" ht="14.25" customHeight="1">
      <c r="A6" s="2" t="s">
        <v>113</v>
      </c>
      <c r="B6" s="2" t="s">
        <v>114</v>
      </c>
      <c r="C6" s="2" t="s">
        <v>109</v>
      </c>
      <c r="D6" s="2" t="s">
        <v>29</v>
      </c>
      <c r="E6" s="2">
        <v>126.0</v>
      </c>
      <c r="F6" s="2" t="s">
        <v>30</v>
      </c>
      <c r="G6" s="2">
        <v>52.3</v>
      </c>
      <c r="I6" s="2">
        <v>55.8</v>
      </c>
      <c r="K6" s="2">
        <v>0.0</v>
      </c>
      <c r="L6" s="2">
        <v>10.0</v>
      </c>
      <c r="M6" s="2" t="s">
        <v>35</v>
      </c>
      <c r="N6" s="2">
        <v>0.9999</v>
      </c>
      <c r="O6" s="2">
        <v>0.0</v>
      </c>
      <c r="P6" s="2">
        <v>-0.4007</v>
      </c>
      <c r="Q6" s="2">
        <v>0.0308</v>
      </c>
      <c r="R6" s="2">
        <v>0.229</v>
      </c>
      <c r="S6" s="2">
        <v>180.13</v>
      </c>
      <c r="T6" s="2">
        <v>67.0</v>
      </c>
      <c r="V6" s="2">
        <f t="shared" si="2"/>
        <v>54.15943638</v>
      </c>
      <c r="W6" s="2">
        <f t="shared" si="3"/>
        <v>3.026761315</v>
      </c>
      <c r="X6" s="2">
        <f t="shared" si="4"/>
        <v>2.908682329</v>
      </c>
      <c r="Y6" s="2">
        <f t="shared" ref="Y6:Z6" si="9">_xlfn.NORM.S.DIST(W6)</f>
        <v>0.9987640547</v>
      </c>
      <c r="Z6" s="2">
        <f t="shared" si="9"/>
        <v>0.9981852227</v>
      </c>
      <c r="AA6" s="2">
        <f t="shared" si="6"/>
        <v>54.05</v>
      </c>
    </row>
    <row r="7" ht="14.25" customHeight="1">
      <c r="A7" s="2" t="s">
        <v>113</v>
      </c>
      <c r="B7" s="2" t="s">
        <v>114</v>
      </c>
      <c r="C7" s="2" t="s">
        <v>109</v>
      </c>
      <c r="D7" s="2" t="s">
        <v>29</v>
      </c>
      <c r="E7" s="2">
        <v>126.0</v>
      </c>
      <c r="F7" s="2" t="s">
        <v>30</v>
      </c>
      <c r="G7" s="2">
        <v>54.5</v>
      </c>
      <c r="I7" s="2">
        <v>58.0</v>
      </c>
      <c r="K7" s="2">
        <v>0.0</v>
      </c>
      <c r="L7" s="2">
        <v>10.0</v>
      </c>
      <c r="M7" s="2" t="s">
        <v>36</v>
      </c>
      <c r="N7" s="2">
        <v>0.999</v>
      </c>
      <c r="O7" s="2">
        <v>0.0</v>
      </c>
      <c r="P7" s="2">
        <v>0.6098</v>
      </c>
      <c r="Q7" s="2">
        <v>0.0018</v>
      </c>
      <c r="R7" s="2">
        <v>0.1998</v>
      </c>
      <c r="S7" s="2">
        <v>182.45</v>
      </c>
      <c r="T7" s="2">
        <v>66.0</v>
      </c>
      <c r="V7" s="2">
        <f t="shared" si="2"/>
        <v>56.47363704</v>
      </c>
      <c r="W7" s="2">
        <f t="shared" si="3"/>
        <v>3.620449504</v>
      </c>
      <c r="X7" s="2">
        <f t="shared" si="4"/>
        <v>3.518198594</v>
      </c>
      <c r="Y7" s="2">
        <f t="shared" ref="Y7:Z7" si="10">_xlfn.NORM.S.DIST(W7)</f>
        <v>0.9998529542</v>
      </c>
      <c r="Z7" s="2">
        <f t="shared" si="10"/>
        <v>0.9997827565</v>
      </c>
      <c r="AA7" s="2">
        <f t="shared" si="6"/>
        <v>56.25</v>
      </c>
    </row>
    <row r="8" ht="14.25" customHeight="1">
      <c r="A8" s="2" t="s">
        <v>113</v>
      </c>
      <c r="B8" s="2" t="s">
        <v>114</v>
      </c>
      <c r="C8" s="2" t="s">
        <v>109</v>
      </c>
      <c r="D8" s="2" t="s">
        <v>29</v>
      </c>
      <c r="E8" s="2">
        <v>126.0</v>
      </c>
      <c r="F8" s="2" t="s">
        <v>30</v>
      </c>
      <c r="G8" s="2">
        <v>54.2</v>
      </c>
      <c r="I8" s="2">
        <v>57.7</v>
      </c>
      <c r="K8" s="2">
        <v>0.0</v>
      </c>
      <c r="L8" s="2">
        <v>10.0</v>
      </c>
      <c r="M8" s="2" t="s">
        <v>37</v>
      </c>
      <c r="N8" s="2">
        <v>0.998</v>
      </c>
      <c r="O8" s="2">
        <v>0.0</v>
      </c>
      <c r="P8" s="2">
        <v>1.5889</v>
      </c>
      <c r="Q8" s="2">
        <v>0.0146</v>
      </c>
      <c r="R8" s="2">
        <v>0.2259</v>
      </c>
      <c r="S8" s="2">
        <v>181.99</v>
      </c>
      <c r="T8" s="2">
        <v>65.0</v>
      </c>
      <c r="V8" s="2">
        <f t="shared" si="2"/>
        <v>56.01580771</v>
      </c>
      <c r="W8" s="2">
        <f t="shared" si="3"/>
        <v>3.204685089</v>
      </c>
      <c r="X8" s="2">
        <f t="shared" si="4"/>
        <v>3.089956239</v>
      </c>
      <c r="Y8" s="2">
        <f t="shared" ref="Y8:Z8" si="11">_xlfn.NORM.S.DIST(W8)</f>
        <v>0.9993239484</v>
      </c>
      <c r="Z8" s="2">
        <f t="shared" si="11"/>
        <v>0.9989990701</v>
      </c>
      <c r="AA8" s="2">
        <f t="shared" si="6"/>
        <v>55.95</v>
      </c>
    </row>
    <row r="9" ht="14.25" customHeight="1">
      <c r="A9" s="2" t="s">
        <v>113</v>
      </c>
      <c r="B9" s="2" t="s">
        <v>114</v>
      </c>
      <c r="C9" s="2" t="s">
        <v>109</v>
      </c>
      <c r="D9" s="2" t="s">
        <v>29</v>
      </c>
      <c r="E9" s="2">
        <v>126.0</v>
      </c>
      <c r="F9" s="2" t="s">
        <v>30</v>
      </c>
      <c r="G9" s="2">
        <v>54.6</v>
      </c>
      <c r="I9" s="2">
        <v>58.0</v>
      </c>
      <c r="K9" s="2">
        <v>0.0</v>
      </c>
      <c r="L9" s="2">
        <v>10.0</v>
      </c>
      <c r="M9" s="2" t="s">
        <v>38</v>
      </c>
      <c r="N9" s="2">
        <v>0.9981</v>
      </c>
      <c r="O9" s="2">
        <v>0.0</v>
      </c>
      <c r="P9" s="2">
        <v>1.6004</v>
      </c>
      <c r="Q9" s="2">
        <v>0.0064</v>
      </c>
      <c r="R9" s="2">
        <v>0.2176</v>
      </c>
      <c r="S9" s="2">
        <v>182.12</v>
      </c>
      <c r="T9" s="2">
        <v>64.0</v>
      </c>
      <c r="V9" s="2">
        <f t="shared" si="2"/>
        <v>56.14402792</v>
      </c>
      <c r="W9" s="2">
        <f t="shared" si="3"/>
        <v>3.359325123</v>
      </c>
      <c r="X9" s="2">
        <f t="shared" si="4"/>
        <v>3.249665031</v>
      </c>
      <c r="Y9" s="2">
        <f t="shared" ref="Y9:Z9" si="12">_xlfn.NORM.S.DIST(W9)</f>
        <v>0.9996093346</v>
      </c>
      <c r="Z9" s="2">
        <f t="shared" si="12"/>
        <v>0.9994222949</v>
      </c>
      <c r="AA9" s="2">
        <f t="shared" si="6"/>
        <v>56.3</v>
      </c>
    </row>
    <row r="10" ht="14.25" customHeight="1">
      <c r="A10" s="2" t="s">
        <v>113</v>
      </c>
      <c r="B10" s="2" t="s">
        <v>114</v>
      </c>
      <c r="C10" s="2" t="s">
        <v>109</v>
      </c>
      <c r="D10" s="2" t="s">
        <v>29</v>
      </c>
      <c r="E10" s="2">
        <v>126.0</v>
      </c>
      <c r="F10" s="2" t="s">
        <v>30</v>
      </c>
      <c r="G10" s="2">
        <v>53.9</v>
      </c>
      <c r="I10" s="2">
        <v>57.3</v>
      </c>
      <c r="K10" s="2">
        <v>0.0</v>
      </c>
      <c r="L10" s="2">
        <v>10.0</v>
      </c>
      <c r="M10" s="2" t="s">
        <v>39</v>
      </c>
      <c r="N10" s="2">
        <v>0.9981</v>
      </c>
      <c r="O10" s="2">
        <v>2.0E-4</v>
      </c>
      <c r="P10" s="2">
        <v>0.3896</v>
      </c>
      <c r="Q10" s="2">
        <v>0.2424</v>
      </c>
      <c r="R10" s="2">
        <v>0.2957</v>
      </c>
      <c r="S10" s="2">
        <v>181.62</v>
      </c>
      <c r="T10" s="2">
        <v>61.0</v>
      </c>
      <c r="V10" s="2">
        <f t="shared" si="2"/>
        <v>55.68228534</v>
      </c>
      <c r="W10" s="2">
        <f t="shared" si="3"/>
        <v>2.513225259</v>
      </c>
      <c r="X10" s="2">
        <f t="shared" si="4"/>
        <v>2.367741012</v>
      </c>
      <c r="Y10" s="2">
        <f t="shared" ref="Y10:Z10" si="13">_xlfn.NORM.S.DIST(W10)</f>
        <v>0.994018354</v>
      </c>
      <c r="Z10" s="2">
        <f t="shared" si="13"/>
        <v>0.9910514704</v>
      </c>
      <c r="AA10" s="2">
        <f t="shared" si="6"/>
        <v>55.6</v>
      </c>
    </row>
    <row r="11" ht="14.25" customHeight="1">
      <c r="A11" s="2" t="s">
        <v>113</v>
      </c>
      <c r="B11" s="2" t="s">
        <v>114</v>
      </c>
      <c r="C11" s="2" t="s">
        <v>109</v>
      </c>
      <c r="D11" s="2" t="s">
        <v>29</v>
      </c>
      <c r="E11" s="2">
        <v>126.0</v>
      </c>
      <c r="F11" s="2" t="s">
        <v>30</v>
      </c>
      <c r="G11" s="2">
        <v>54.8</v>
      </c>
      <c r="I11" s="2">
        <v>58.2</v>
      </c>
      <c r="K11" s="2">
        <v>0.0</v>
      </c>
      <c r="L11" s="2">
        <v>10.0</v>
      </c>
      <c r="M11" s="2" t="s">
        <v>40</v>
      </c>
      <c r="N11" s="2">
        <v>1.0</v>
      </c>
      <c r="O11" s="2">
        <v>0.0</v>
      </c>
      <c r="P11" s="2">
        <v>-0.3915</v>
      </c>
      <c r="Q11" s="2">
        <v>0.0139</v>
      </c>
      <c r="R11" s="2">
        <v>0.2383</v>
      </c>
      <c r="S11" s="2">
        <v>181.16</v>
      </c>
      <c r="T11" s="2">
        <v>60.0</v>
      </c>
      <c r="V11" s="2">
        <f t="shared" si="2"/>
        <v>55.18518637</v>
      </c>
      <c r="W11" s="2">
        <f t="shared" si="3"/>
        <v>3.122664391</v>
      </c>
      <c r="X11" s="2">
        <f t="shared" si="4"/>
        <v>3.006385898</v>
      </c>
      <c r="Y11" s="2">
        <f t="shared" ref="Y11:Z11" si="14">_xlfn.NORM.S.DIST(W11)</f>
        <v>0.9991038901</v>
      </c>
      <c r="Z11" s="2">
        <f t="shared" si="14"/>
        <v>0.9986781337</v>
      </c>
      <c r="AA11" s="2">
        <f t="shared" si="6"/>
        <v>56.5</v>
      </c>
    </row>
    <row r="12" ht="14.25" customHeight="1">
      <c r="A12" s="2" t="s">
        <v>113</v>
      </c>
      <c r="B12" s="2" t="s">
        <v>114</v>
      </c>
      <c r="C12" s="2" t="s">
        <v>109</v>
      </c>
      <c r="D12" s="2" t="s">
        <v>29</v>
      </c>
      <c r="E12" s="2">
        <v>126.0</v>
      </c>
      <c r="F12" s="2" t="s">
        <v>30</v>
      </c>
      <c r="G12" s="2">
        <v>53.6</v>
      </c>
      <c r="I12" s="2">
        <v>57.0</v>
      </c>
      <c r="K12" s="2">
        <v>0.0</v>
      </c>
      <c r="L12" s="2">
        <v>10.0</v>
      </c>
      <c r="M12" s="2" t="s">
        <v>41</v>
      </c>
      <c r="N12" s="2">
        <v>0.9991</v>
      </c>
      <c r="O12" s="2">
        <v>0.0</v>
      </c>
      <c r="P12" s="2">
        <v>0.6687</v>
      </c>
      <c r="Q12" s="2">
        <v>0.001</v>
      </c>
      <c r="R12" s="2">
        <v>0.2024</v>
      </c>
      <c r="S12" s="2">
        <v>181.42</v>
      </c>
      <c r="T12" s="2">
        <v>59.0</v>
      </c>
      <c r="V12" s="2">
        <f t="shared" si="2"/>
        <v>55.44098698</v>
      </c>
      <c r="W12" s="2">
        <f t="shared" si="3"/>
        <v>3.722206482</v>
      </c>
      <c r="X12" s="2">
        <f t="shared" si="4"/>
        <v>3.624271861</v>
      </c>
      <c r="Y12" s="2">
        <f t="shared" ref="Y12:Z12" si="15">_xlfn.NORM.S.DIST(W12)</f>
        <v>0.9999012553</v>
      </c>
      <c r="Z12" s="2">
        <f t="shared" si="15"/>
        <v>0.9998551117</v>
      </c>
      <c r="AA12" s="2">
        <f t="shared" si="6"/>
        <v>55.3</v>
      </c>
    </row>
    <row r="13" ht="14.25" customHeight="1">
      <c r="A13" s="2" t="s">
        <v>113</v>
      </c>
      <c r="B13" s="2" t="s">
        <v>114</v>
      </c>
      <c r="C13" s="2" t="s">
        <v>109</v>
      </c>
      <c r="D13" s="2" t="s">
        <v>29</v>
      </c>
      <c r="E13" s="2">
        <v>126.0</v>
      </c>
      <c r="F13" s="2" t="s">
        <v>30</v>
      </c>
      <c r="G13" s="2">
        <v>58.1</v>
      </c>
      <c r="I13" s="2">
        <v>61.4</v>
      </c>
      <c r="K13" s="2">
        <v>0.0</v>
      </c>
      <c r="L13" s="2">
        <v>10.0</v>
      </c>
      <c r="M13" s="2" t="s">
        <v>42</v>
      </c>
      <c r="N13" s="2">
        <v>0.9971</v>
      </c>
      <c r="O13" s="2">
        <v>2.0E-4</v>
      </c>
      <c r="P13" s="2">
        <v>1.4912</v>
      </c>
      <c r="Q13" s="2">
        <v>0.266</v>
      </c>
      <c r="R13" s="2">
        <v>0.325</v>
      </c>
      <c r="S13" s="2">
        <v>186.09</v>
      </c>
      <c r="T13" s="2">
        <v>58.0</v>
      </c>
      <c r="V13" s="2">
        <f t="shared" si="2"/>
        <v>60.15624901</v>
      </c>
      <c r="W13" s="2">
        <f t="shared" si="3"/>
        <v>2.500979833</v>
      </c>
      <c r="X13" s="2">
        <f t="shared" si="4"/>
        <v>2.345061534</v>
      </c>
      <c r="Y13" s="2">
        <f t="shared" ref="Y13:Z13" si="16">_xlfn.NORM.S.DIST(W13)</f>
        <v>0.9938074885</v>
      </c>
      <c r="Z13" s="2">
        <f t="shared" si="16"/>
        <v>0.9904880302</v>
      </c>
      <c r="AA13" s="2">
        <f t="shared" si="6"/>
        <v>59.75</v>
      </c>
    </row>
    <row r="14" ht="14.25" customHeight="1">
      <c r="A14" s="2" t="s">
        <v>113</v>
      </c>
      <c r="B14" s="2" t="s">
        <v>114</v>
      </c>
      <c r="C14" s="2" t="s">
        <v>109</v>
      </c>
      <c r="D14" s="2" t="s">
        <v>29</v>
      </c>
      <c r="E14" s="2">
        <v>126.0</v>
      </c>
      <c r="F14" s="2" t="s">
        <v>30</v>
      </c>
      <c r="G14" s="2">
        <v>58.4</v>
      </c>
      <c r="I14" s="2">
        <v>62.1</v>
      </c>
      <c r="K14" s="2">
        <v>0.0</v>
      </c>
      <c r="L14" s="2">
        <v>10.0</v>
      </c>
      <c r="M14" s="2" t="s">
        <v>43</v>
      </c>
      <c r="N14" s="2">
        <v>0.9981</v>
      </c>
      <c r="O14" s="2">
        <v>0.0</v>
      </c>
      <c r="P14" s="2">
        <v>1.9675</v>
      </c>
      <c r="Q14" s="2">
        <v>0.0017</v>
      </c>
      <c r="R14" s="2">
        <v>0.228</v>
      </c>
      <c r="S14" s="2">
        <v>186.68</v>
      </c>
      <c r="T14" s="2">
        <v>57.0</v>
      </c>
      <c r="V14" s="2">
        <f t="shared" si="2"/>
        <v>60.70051435</v>
      </c>
      <c r="W14" s="2">
        <f t="shared" si="3"/>
        <v>3.62532146</v>
      </c>
      <c r="X14" s="2">
        <f t="shared" si="4"/>
        <v>3.516885831</v>
      </c>
      <c r="Y14" s="2">
        <f t="shared" ref="Y14:Z14" si="17">_xlfn.NORM.S.DIST(W14)</f>
        <v>0.9998556989</v>
      </c>
      <c r="Z14" s="2">
        <f t="shared" si="17"/>
        <v>0.9997816792</v>
      </c>
      <c r="AA14" s="2">
        <f t="shared" si="6"/>
        <v>60.25</v>
      </c>
    </row>
    <row r="15" ht="14.25" customHeight="1">
      <c r="A15" s="2" t="s">
        <v>113</v>
      </c>
      <c r="B15" s="2" t="s">
        <v>114</v>
      </c>
      <c r="C15" s="2" t="s">
        <v>109</v>
      </c>
      <c r="D15" s="2" t="s">
        <v>29</v>
      </c>
      <c r="E15" s="2">
        <v>126.0</v>
      </c>
      <c r="F15" s="2" t="s">
        <v>30</v>
      </c>
      <c r="G15" s="2">
        <v>60.4</v>
      </c>
      <c r="I15" s="2">
        <v>63.7</v>
      </c>
      <c r="K15" s="2">
        <v>0.0</v>
      </c>
      <c r="L15" s="2">
        <v>10.0</v>
      </c>
      <c r="M15" s="2" t="s">
        <v>44</v>
      </c>
      <c r="N15" s="2">
        <v>0.9979</v>
      </c>
      <c r="O15" s="2">
        <v>0.0</v>
      </c>
      <c r="P15" s="2">
        <v>2.3307</v>
      </c>
      <c r="Q15" s="2">
        <v>0.0064</v>
      </c>
      <c r="R15" s="2">
        <v>0.261</v>
      </c>
      <c r="S15" s="2">
        <v>187.94</v>
      </c>
      <c r="T15" s="2">
        <v>53.0</v>
      </c>
      <c r="V15" s="2">
        <f t="shared" si="2"/>
        <v>61.96048556</v>
      </c>
      <c r="W15" s="2">
        <f t="shared" si="3"/>
        <v>3.34048093</v>
      </c>
      <c r="X15" s="2">
        <f t="shared" si="4"/>
        <v>3.220785334</v>
      </c>
      <c r="Y15" s="2">
        <f t="shared" ref="Y15:Z15" si="18">_xlfn.NORM.S.DIST(W15)</f>
        <v>0.9995818329</v>
      </c>
      <c r="Z15" s="2">
        <f t="shared" si="18"/>
        <v>0.9993608007</v>
      </c>
      <c r="AA15" s="2">
        <f t="shared" si="6"/>
        <v>62.05</v>
      </c>
    </row>
    <row r="16" ht="14.25" customHeight="1">
      <c r="A16" s="2" t="s">
        <v>113</v>
      </c>
      <c r="B16" s="2" t="s">
        <v>114</v>
      </c>
      <c r="C16" s="2" t="s">
        <v>109</v>
      </c>
      <c r="D16" s="2" t="s">
        <v>29</v>
      </c>
      <c r="E16" s="2">
        <v>126.0</v>
      </c>
      <c r="F16" s="2" t="s">
        <v>30</v>
      </c>
      <c r="G16" s="2">
        <v>62.3</v>
      </c>
      <c r="I16" s="2">
        <v>65.6</v>
      </c>
      <c r="K16" s="2">
        <v>0.0</v>
      </c>
      <c r="L16" s="2">
        <v>10.0</v>
      </c>
      <c r="M16" s="2" t="s">
        <v>45</v>
      </c>
      <c r="N16" s="2">
        <v>0.9978</v>
      </c>
      <c r="O16" s="2">
        <v>0.0</v>
      </c>
      <c r="P16" s="2">
        <v>2.3752</v>
      </c>
      <c r="Q16" s="2">
        <v>0.0429</v>
      </c>
      <c r="R16" s="2">
        <v>0.3076</v>
      </c>
      <c r="S16" s="2">
        <v>190.03</v>
      </c>
      <c r="T16" s="2">
        <v>52.0</v>
      </c>
      <c r="V16" s="2">
        <f t="shared" si="2"/>
        <v>64.0579848</v>
      </c>
      <c r="W16" s="2">
        <f t="shared" si="3"/>
        <v>2.940684679</v>
      </c>
      <c r="X16" s="2">
        <f t="shared" si="4"/>
        <v>2.800955299</v>
      </c>
      <c r="Y16" s="2">
        <f t="shared" ref="Y16:Z16" si="19">_xlfn.NORM.S.DIST(W16)</f>
        <v>0.9983625614</v>
      </c>
      <c r="Z16" s="2">
        <f t="shared" si="19"/>
        <v>0.9974524212</v>
      </c>
      <c r="AA16" s="2">
        <f t="shared" si="6"/>
        <v>63.95</v>
      </c>
    </row>
    <row r="17" ht="14.25" customHeight="1">
      <c r="A17" s="2" t="s">
        <v>113</v>
      </c>
      <c r="B17" s="2" t="s">
        <v>114</v>
      </c>
      <c r="C17" s="2" t="s">
        <v>109</v>
      </c>
      <c r="D17" s="2" t="s">
        <v>29</v>
      </c>
      <c r="E17" s="2">
        <v>126.0</v>
      </c>
      <c r="F17" s="2" t="s">
        <v>30</v>
      </c>
      <c r="G17" s="2">
        <v>62.1</v>
      </c>
      <c r="I17" s="2">
        <v>65.4</v>
      </c>
      <c r="K17" s="2">
        <v>0.0</v>
      </c>
      <c r="L17" s="2">
        <v>10.0</v>
      </c>
      <c r="M17" s="2" t="s">
        <v>46</v>
      </c>
      <c r="N17" s="2">
        <v>0.9974</v>
      </c>
      <c r="O17" s="2">
        <v>1.0E-4</v>
      </c>
      <c r="P17" s="2">
        <v>2.3151</v>
      </c>
      <c r="Q17" s="2">
        <v>0.1214</v>
      </c>
      <c r="R17" s="2">
        <v>0.3397</v>
      </c>
      <c r="S17" s="2">
        <v>189.16</v>
      </c>
      <c r="T17" s="2">
        <v>51.0</v>
      </c>
      <c r="V17" s="2">
        <f t="shared" si="2"/>
        <v>63.20535605</v>
      </c>
      <c r="W17" s="2">
        <f t="shared" si="3"/>
        <v>2.658756397</v>
      </c>
      <c r="X17" s="2">
        <f t="shared" si="4"/>
        <v>2.505936337</v>
      </c>
      <c r="Y17" s="2">
        <f t="shared" ref="Y17:Z17" si="20">_xlfn.NORM.S.DIST(W17)</f>
        <v>0.9960785176</v>
      </c>
      <c r="Z17" s="2">
        <f t="shared" si="20"/>
        <v>0.9938936197</v>
      </c>
      <c r="AA17" s="2">
        <f t="shared" si="6"/>
        <v>63.75</v>
      </c>
    </row>
    <row r="18" ht="14.25" customHeight="1">
      <c r="A18" s="2" t="s">
        <v>113</v>
      </c>
      <c r="B18" s="2" t="s">
        <v>114</v>
      </c>
      <c r="C18" s="2" t="s">
        <v>109</v>
      </c>
      <c r="D18" s="2" t="s">
        <v>29</v>
      </c>
      <c r="E18" s="2">
        <v>126.0</v>
      </c>
      <c r="F18" s="2" t="s">
        <v>30</v>
      </c>
      <c r="G18" s="2">
        <v>63.4</v>
      </c>
      <c r="I18" s="2">
        <v>66.8</v>
      </c>
      <c r="K18" s="2">
        <v>0.0</v>
      </c>
      <c r="L18" s="2">
        <v>10.0</v>
      </c>
      <c r="M18" s="2" t="s">
        <v>47</v>
      </c>
      <c r="N18" s="2">
        <v>0.998</v>
      </c>
      <c r="O18" s="2">
        <v>0.0</v>
      </c>
      <c r="P18" s="2">
        <v>2.4609</v>
      </c>
      <c r="Q18" s="2">
        <v>0.0043</v>
      </c>
      <c r="R18" s="2">
        <v>0.2733</v>
      </c>
      <c r="S18" s="2">
        <v>191.35</v>
      </c>
      <c r="T18" s="2">
        <v>50.0</v>
      </c>
      <c r="V18" s="2">
        <f t="shared" si="2"/>
        <v>65.3688888</v>
      </c>
      <c r="W18" s="2">
        <f t="shared" si="3"/>
        <v>3.432157878</v>
      </c>
      <c r="X18" s="2">
        <f t="shared" si="4"/>
        <v>3.310420383</v>
      </c>
      <c r="Y18" s="2">
        <f t="shared" ref="Y18:Z18" si="21">_xlfn.NORM.S.DIST(W18)</f>
        <v>0.9997006006</v>
      </c>
      <c r="Z18" s="2">
        <f t="shared" si="21"/>
        <v>0.9995342203</v>
      </c>
      <c r="AA18" s="2">
        <f t="shared" si="6"/>
        <v>65.1</v>
      </c>
    </row>
    <row r="19" ht="14.25" customHeight="1">
      <c r="A19" s="2" t="s">
        <v>113</v>
      </c>
      <c r="B19" s="2" t="s">
        <v>114</v>
      </c>
      <c r="C19" s="2" t="s">
        <v>109</v>
      </c>
      <c r="D19" s="2" t="s">
        <v>29</v>
      </c>
      <c r="E19" s="2">
        <v>126.0</v>
      </c>
      <c r="F19" s="2" t="s">
        <v>30</v>
      </c>
      <c r="G19" s="2">
        <v>60.3</v>
      </c>
      <c r="I19" s="2">
        <v>63.9</v>
      </c>
      <c r="K19" s="2">
        <v>0.0</v>
      </c>
      <c r="L19" s="2">
        <v>10.0</v>
      </c>
      <c r="M19" s="2" t="s">
        <v>48</v>
      </c>
      <c r="N19" s="2">
        <v>1.0</v>
      </c>
      <c r="O19" s="2">
        <v>0.0</v>
      </c>
      <c r="P19" s="2">
        <v>-0.3846</v>
      </c>
      <c r="Q19" s="2">
        <v>0.003</v>
      </c>
      <c r="R19" s="2">
        <v>0.2669</v>
      </c>
      <c r="S19" s="2">
        <v>188.05</v>
      </c>
      <c r="T19" s="2">
        <v>47.0</v>
      </c>
      <c r="V19" s="2">
        <f t="shared" si="2"/>
        <v>62.06755915</v>
      </c>
      <c r="W19" s="2">
        <f t="shared" si="3"/>
        <v>3.473961592</v>
      </c>
      <c r="X19" s="2">
        <f t="shared" si="4"/>
        <v>3.358696651</v>
      </c>
      <c r="Y19" s="2">
        <f t="shared" ref="Y19:Z19" si="22">_xlfn.NORM.S.DIST(W19)</f>
        <v>0.9997435828</v>
      </c>
      <c r="Z19" s="2">
        <f t="shared" si="22"/>
        <v>0.9996084451</v>
      </c>
      <c r="AA19" s="2">
        <f t="shared" si="6"/>
        <v>62.1</v>
      </c>
    </row>
    <row r="20" ht="14.25" customHeight="1">
      <c r="A20" s="2" t="s">
        <v>113</v>
      </c>
      <c r="B20" s="2" t="s">
        <v>114</v>
      </c>
      <c r="C20" s="2" t="s">
        <v>109</v>
      </c>
      <c r="D20" s="2" t="s">
        <v>29</v>
      </c>
      <c r="E20" s="2">
        <v>126.0</v>
      </c>
      <c r="F20" s="2" t="s">
        <v>30</v>
      </c>
      <c r="G20" s="2">
        <v>64.0</v>
      </c>
      <c r="I20" s="2">
        <v>67.7</v>
      </c>
      <c r="K20" s="2">
        <v>0.0</v>
      </c>
      <c r="L20" s="2">
        <v>10.0</v>
      </c>
      <c r="M20" s="2" t="s">
        <v>49</v>
      </c>
      <c r="N20" s="2">
        <v>1.0</v>
      </c>
      <c r="O20" s="2">
        <v>0.0</v>
      </c>
      <c r="P20" s="2">
        <v>-0.3814</v>
      </c>
      <c r="Q20" s="2">
        <v>0.0</v>
      </c>
      <c r="R20" s="2">
        <v>0.1877</v>
      </c>
      <c r="S20" s="2">
        <v>191.4</v>
      </c>
      <c r="T20" s="2">
        <v>46.0</v>
      </c>
      <c r="V20" s="2">
        <f t="shared" si="2"/>
        <v>65.41609917</v>
      </c>
      <c r="W20" s="2">
        <f t="shared" si="3"/>
        <v>5.213389644</v>
      </c>
      <c r="X20" s="2">
        <f t="shared" si="4"/>
        <v>5.133195451</v>
      </c>
      <c r="Y20" s="2">
        <f t="shared" ref="Y20:Z20" si="23">_xlfn.NORM.S.DIST(W20)</f>
        <v>0.9999999073</v>
      </c>
      <c r="Z20" s="2">
        <f t="shared" si="23"/>
        <v>0.9999998576</v>
      </c>
      <c r="AA20" s="2">
        <f t="shared" si="6"/>
        <v>65.85</v>
      </c>
    </row>
    <row r="21" ht="14.25" customHeight="1">
      <c r="A21" s="2" t="s">
        <v>113</v>
      </c>
      <c r="B21" s="2" t="s">
        <v>114</v>
      </c>
      <c r="C21" s="2" t="s">
        <v>109</v>
      </c>
      <c r="D21" s="2" t="s">
        <v>29</v>
      </c>
      <c r="E21" s="2">
        <v>126.0</v>
      </c>
      <c r="F21" s="2" t="s">
        <v>30</v>
      </c>
      <c r="G21" s="2">
        <v>61.0</v>
      </c>
      <c r="I21" s="2">
        <v>65.2</v>
      </c>
      <c r="K21" s="2">
        <v>0.0</v>
      </c>
      <c r="L21" s="2">
        <v>10.0</v>
      </c>
      <c r="M21" s="2" t="s">
        <v>50</v>
      </c>
      <c r="N21" s="2">
        <v>1.0</v>
      </c>
      <c r="O21" s="2">
        <v>0.0</v>
      </c>
      <c r="P21" s="2">
        <v>-0.3814</v>
      </c>
      <c r="Q21" s="2">
        <v>0.0</v>
      </c>
      <c r="R21" s="2">
        <v>0.2017</v>
      </c>
      <c r="S21" s="2">
        <v>189.43</v>
      </c>
      <c r="T21" s="2">
        <v>45.0</v>
      </c>
      <c r="V21" s="2">
        <f t="shared" si="2"/>
        <v>63.44575113</v>
      </c>
      <c r="W21" s="2">
        <f t="shared" si="3"/>
        <v>4.783755091</v>
      </c>
      <c r="X21" s="2">
        <f t="shared" si="4"/>
        <v>4.698521284</v>
      </c>
      <c r="Y21" s="2">
        <f t="shared" ref="Y21:Z21" si="24">_xlfn.NORM.S.DIST(W21)</f>
        <v>0.9999991397</v>
      </c>
      <c r="Z21" s="2">
        <f t="shared" si="24"/>
        <v>0.9999986897</v>
      </c>
      <c r="AA21" s="2">
        <f t="shared" si="6"/>
        <v>63.1</v>
      </c>
    </row>
    <row r="22" ht="14.25" customHeight="1">
      <c r="A22" s="2" t="s">
        <v>113</v>
      </c>
      <c r="B22" s="2" t="s">
        <v>114</v>
      </c>
      <c r="C22" s="2" t="s">
        <v>110</v>
      </c>
      <c r="D22" s="2" t="s">
        <v>29</v>
      </c>
      <c r="E22" s="2">
        <v>126.0</v>
      </c>
      <c r="F22" s="2" t="s">
        <v>30</v>
      </c>
      <c r="G22" s="2">
        <v>58.1</v>
      </c>
      <c r="I22" s="2">
        <v>61.4</v>
      </c>
      <c r="K22" s="2">
        <v>10.0</v>
      </c>
      <c r="L22" s="2">
        <v>10.0</v>
      </c>
      <c r="M22" s="2" t="s">
        <v>58</v>
      </c>
      <c r="N22" s="2">
        <v>0.9989</v>
      </c>
      <c r="O22" s="2">
        <v>0.0</v>
      </c>
      <c r="P22" s="2">
        <v>1.8232</v>
      </c>
      <c r="Q22" s="2">
        <v>0.0</v>
      </c>
      <c r="R22" s="2">
        <v>0.2347</v>
      </c>
      <c r="S22" s="2">
        <v>189.62</v>
      </c>
      <c r="T22" s="2">
        <v>36.0</v>
      </c>
      <c r="V22" s="2">
        <f t="shared" si="2"/>
        <v>63.63260476</v>
      </c>
      <c r="W22" s="2">
        <f t="shared" si="3"/>
        <v>4.607689906</v>
      </c>
      <c r="X22" s="2">
        <f t="shared" si="4"/>
        <v>4.518981644</v>
      </c>
      <c r="Y22" s="2">
        <f t="shared" ref="Y22:Z22" si="25">_xlfn.NORM.S.DIST(W22)</f>
        <v>0.9999979642</v>
      </c>
      <c r="Z22" s="2">
        <f t="shared" si="25"/>
        <v>0.9999968931</v>
      </c>
      <c r="AA22" s="2">
        <f t="shared" si="6"/>
        <v>59.75</v>
      </c>
    </row>
    <row r="23" ht="14.25" customHeight="1">
      <c r="A23" s="2" t="s">
        <v>113</v>
      </c>
      <c r="B23" s="2" t="s">
        <v>114</v>
      </c>
      <c r="C23" s="2" t="s">
        <v>110</v>
      </c>
      <c r="D23" s="2" t="s">
        <v>29</v>
      </c>
      <c r="E23" s="2">
        <v>126.0</v>
      </c>
      <c r="F23" s="2" t="s">
        <v>30</v>
      </c>
      <c r="G23" s="2">
        <v>57.4</v>
      </c>
      <c r="I23" s="2">
        <v>60.6</v>
      </c>
      <c r="K23" s="2">
        <v>0.0</v>
      </c>
      <c r="L23" s="2">
        <v>10.0</v>
      </c>
      <c r="M23" s="2" t="s">
        <v>59</v>
      </c>
      <c r="N23" s="2">
        <v>0.9974</v>
      </c>
      <c r="O23" s="2">
        <v>1.0E-4</v>
      </c>
      <c r="P23" s="2">
        <v>4.2789</v>
      </c>
      <c r="Q23" s="2">
        <v>0.063</v>
      </c>
      <c r="R23" s="2">
        <v>0.3822</v>
      </c>
      <c r="S23" s="2">
        <v>189.56</v>
      </c>
      <c r="T23" s="2">
        <v>33.0</v>
      </c>
      <c r="V23" s="2">
        <f t="shared" si="2"/>
        <v>63.580838</v>
      </c>
      <c r="W23" s="2">
        <f t="shared" si="3"/>
        <v>2.95300065</v>
      </c>
      <c r="X23" s="2">
        <f t="shared" si="4"/>
        <v>2.814692625</v>
      </c>
      <c r="Y23" s="2">
        <f t="shared" ref="Y23:Z23" si="26">_xlfn.NORM.S.DIST(W23)</f>
        <v>0.9984264935</v>
      </c>
      <c r="Z23" s="2">
        <f t="shared" si="26"/>
        <v>0.9975588046</v>
      </c>
      <c r="AA23" s="2">
        <f t="shared" si="6"/>
        <v>59</v>
      </c>
    </row>
    <row r="24" ht="14.25" customHeight="1">
      <c r="A24" s="2" t="s">
        <v>113</v>
      </c>
      <c r="B24" s="2" t="s">
        <v>114</v>
      </c>
      <c r="C24" s="2" t="s">
        <v>110</v>
      </c>
      <c r="D24" s="2" t="s">
        <v>29</v>
      </c>
      <c r="E24" s="2">
        <v>126.0</v>
      </c>
      <c r="F24" s="2" t="s">
        <v>30</v>
      </c>
      <c r="G24" s="2">
        <v>64.3</v>
      </c>
      <c r="I24" s="2">
        <v>67.7</v>
      </c>
      <c r="K24" s="2">
        <v>0.0</v>
      </c>
      <c r="L24" s="2">
        <v>10.0</v>
      </c>
      <c r="M24" s="2" t="s">
        <v>61</v>
      </c>
      <c r="N24" s="2">
        <v>0.9976</v>
      </c>
      <c r="O24" s="2">
        <v>0.0</v>
      </c>
      <c r="P24" s="2">
        <v>5.0361</v>
      </c>
      <c r="Q24" s="2">
        <v>0.0034</v>
      </c>
      <c r="R24" s="2">
        <v>0.352</v>
      </c>
      <c r="S24" s="2">
        <v>186.28</v>
      </c>
      <c r="T24" s="2">
        <v>31.0</v>
      </c>
      <c r="V24" s="2">
        <f t="shared" si="2"/>
        <v>60.29468289</v>
      </c>
      <c r="W24" s="2">
        <f t="shared" si="3"/>
        <v>3.166788768</v>
      </c>
      <c r="X24" s="2">
        <f t="shared" si="4"/>
        <v>3.04332963</v>
      </c>
      <c r="Y24" s="2">
        <f t="shared" ref="Y24:Z24" si="27">_xlfn.NORM.S.DIST(W24)</f>
        <v>0.9992293388</v>
      </c>
      <c r="Z24" s="2">
        <f t="shared" si="27"/>
        <v>0.9988301206</v>
      </c>
      <c r="AA24" s="2">
        <f t="shared" si="6"/>
        <v>66</v>
      </c>
    </row>
    <row r="25" ht="14.25" customHeight="1">
      <c r="A25" s="2" t="s">
        <v>113</v>
      </c>
      <c r="B25" s="2" t="s">
        <v>114</v>
      </c>
      <c r="C25" s="2" t="s">
        <v>110</v>
      </c>
      <c r="D25" s="2" t="s">
        <v>29</v>
      </c>
      <c r="E25" s="2">
        <v>126.0</v>
      </c>
      <c r="F25" s="2" t="s">
        <v>30</v>
      </c>
      <c r="G25" s="2">
        <v>63.5</v>
      </c>
      <c r="I25" s="2">
        <v>66.7</v>
      </c>
      <c r="K25" s="2">
        <v>0.0</v>
      </c>
      <c r="L25" s="2">
        <v>10.0</v>
      </c>
      <c r="M25" s="2" t="s">
        <v>62</v>
      </c>
      <c r="N25" s="2">
        <v>0.9977</v>
      </c>
      <c r="O25" s="2">
        <v>0.0</v>
      </c>
      <c r="P25" s="2">
        <v>5.1277</v>
      </c>
      <c r="Q25" s="2">
        <v>7.0E-4</v>
      </c>
      <c r="R25" s="2">
        <v>0.3258</v>
      </c>
      <c r="S25" s="2">
        <v>188.62</v>
      </c>
      <c r="T25" s="2">
        <v>30.0</v>
      </c>
      <c r="V25" s="2">
        <f t="shared" si="2"/>
        <v>62.63118458</v>
      </c>
      <c r="W25" s="2">
        <f t="shared" si="3"/>
        <v>3.589062129</v>
      </c>
      <c r="X25" s="2">
        <f t="shared" si="4"/>
        <v>3.476650449</v>
      </c>
      <c r="Y25" s="2">
        <f t="shared" ref="Y25:Z25" si="28">_xlfn.NORM.S.DIST(W25)</f>
        <v>0.9998340651</v>
      </c>
      <c r="Z25" s="2">
        <f t="shared" si="28"/>
        <v>0.9997461404</v>
      </c>
      <c r="AA25" s="2">
        <f t="shared" si="6"/>
        <v>65.1</v>
      </c>
    </row>
    <row r="26" ht="14.25" customHeight="1">
      <c r="A26" s="2" t="s">
        <v>113</v>
      </c>
      <c r="B26" s="2" t="s">
        <v>114</v>
      </c>
      <c r="C26" s="2" t="s">
        <v>110</v>
      </c>
      <c r="D26" s="2" t="s">
        <v>29</v>
      </c>
      <c r="E26" s="2">
        <v>126.0</v>
      </c>
      <c r="F26" s="2" t="s">
        <v>30</v>
      </c>
      <c r="G26" s="2">
        <v>63.0</v>
      </c>
      <c r="I26" s="2">
        <v>66.3</v>
      </c>
      <c r="K26" s="2">
        <v>0.0</v>
      </c>
      <c r="L26" s="2">
        <v>10.0</v>
      </c>
      <c r="M26" s="2" t="s">
        <v>63</v>
      </c>
      <c r="N26" s="2">
        <v>0.9977</v>
      </c>
      <c r="O26" s="2">
        <v>0.0</v>
      </c>
      <c r="P26" s="2">
        <v>5.2106</v>
      </c>
      <c r="Q26" s="2">
        <v>0.0</v>
      </c>
      <c r="R26" s="2">
        <v>0.2859</v>
      </c>
      <c r="S26" s="2">
        <v>188.3</v>
      </c>
      <c r="T26" s="2">
        <v>29.0</v>
      </c>
      <c r="V26" s="2">
        <f t="shared" si="2"/>
        <v>62.31020403</v>
      </c>
      <c r="W26" s="2">
        <f t="shared" si="3"/>
        <v>4.14236055</v>
      </c>
      <c r="X26" s="2">
        <f t="shared" si="4"/>
        <v>4.045373693</v>
      </c>
      <c r="Y26" s="2">
        <f t="shared" ref="Y26:Z26" si="29">_xlfn.NORM.S.DIST(W26)</f>
        <v>0.9999828125</v>
      </c>
      <c r="Z26" s="2">
        <f t="shared" si="29"/>
        <v>0.9999738801</v>
      </c>
      <c r="AA26" s="2">
        <f t="shared" si="6"/>
        <v>64.65</v>
      </c>
    </row>
    <row r="27" ht="14.25" customHeight="1">
      <c r="A27" s="2" t="s">
        <v>113</v>
      </c>
      <c r="B27" s="2" t="s">
        <v>114</v>
      </c>
      <c r="C27" s="2" t="s">
        <v>110</v>
      </c>
      <c r="D27" s="2" t="s">
        <v>29</v>
      </c>
      <c r="E27" s="2">
        <v>126.0</v>
      </c>
      <c r="F27" s="2" t="s">
        <v>30</v>
      </c>
      <c r="G27" s="2">
        <v>61.9</v>
      </c>
      <c r="I27" s="2">
        <v>65.2</v>
      </c>
      <c r="K27" s="2">
        <v>0.0</v>
      </c>
      <c r="L27" s="2">
        <v>10.0</v>
      </c>
      <c r="M27" s="2" t="s">
        <v>64</v>
      </c>
      <c r="N27" s="2">
        <v>0.998</v>
      </c>
      <c r="O27" s="2">
        <v>0.0</v>
      </c>
      <c r="P27" s="2">
        <v>5.2506</v>
      </c>
      <c r="Q27" s="2">
        <v>0.0</v>
      </c>
      <c r="R27" s="2">
        <v>0.1758</v>
      </c>
      <c r="S27" s="2">
        <v>185.57</v>
      </c>
      <c r="T27" s="2">
        <v>25.0</v>
      </c>
      <c r="V27" s="2">
        <f t="shared" si="2"/>
        <v>59.5787497</v>
      </c>
      <c r="W27" s="2">
        <f t="shared" si="3"/>
        <v>6.991831497</v>
      </c>
      <c r="X27" s="2">
        <f t="shared" si="4"/>
        <v>6.936459702</v>
      </c>
      <c r="Y27" s="2">
        <f t="shared" ref="Y27:Z27" si="30">_xlfn.NORM.S.DIST(W27)</f>
        <v>1</v>
      </c>
      <c r="Z27" s="2">
        <f t="shared" si="30"/>
        <v>1</v>
      </c>
      <c r="AA27" s="2">
        <f t="shared" si="6"/>
        <v>63.55</v>
      </c>
    </row>
    <row r="28" ht="14.25" customHeight="1">
      <c r="A28" s="2" t="s">
        <v>113</v>
      </c>
      <c r="B28" s="2" t="s">
        <v>114</v>
      </c>
      <c r="C28" s="2" t="s">
        <v>110</v>
      </c>
      <c r="D28" s="2" t="s">
        <v>29</v>
      </c>
      <c r="E28" s="2">
        <v>126.0</v>
      </c>
      <c r="F28" s="2" t="s">
        <v>30</v>
      </c>
      <c r="G28" s="2">
        <v>51.5</v>
      </c>
      <c r="I28" s="2">
        <v>54.9</v>
      </c>
      <c r="K28" s="2">
        <v>0.0</v>
      </c>
      <c r="L28" s="2">
        <v>10.0</v>
      </c>
      <c r="M28" s="2" t="s">
        <v>65</v>
      </c>
      <c r="N28" s="2">
        <v>0.9981</v>
      </c>
      <c r="O28" s="2">
        <v>0.0</v>
      </c>
      <c r="P28" s="2">
        <v>4.9757</v>
      </c>
      <c r="Q28" s="2">
        <v>0.0065</v>
      </c>
      <c r="R28" s="2">
        <v>0.3539</v>
      </c>
      <c r="S28" s="2">
        <v>186.03</v>
      </c>
      <c r="T28" s="2">
        <v>24.0</v>
      </c>
      <c r="V28" s="2">
        <f t="shared" si="2"/>
        <v>60.03912306</v>
      </c>
      <c r="W28" s="2">
        <f t="shared" si="3"/>
        <v>3.567484263</v>
      </c>
      <c r="X28" s="2">
        <f t="shared" si="4"/>
        <v>3.458268351</v>
      </c>
      <c r="Y28" s="2">
        <f t="shared" ref="Y28:Z28" si="31">_xlfn.NORM.S.DIST(W28)</f>
        <v>0.9998197875</v>
      </c>
      <c r="Z28" s="2">
        <f t="shared" si="31"/>
        <v>0.9997281702</v>
      </c>
      <c r="AA28" s="2">
        <f t="shared" si="6"/>
        <v>53.2</v>
      </c>
    </row>
    <row r="29" ht="14.25" customHeight="1">
      <c r="A29" s="2" t="s">
        <v>113</v>
      </c>
      <c r="B29" s="2" t="s">
        <v>114</v>
      </c>
      <c r="C29" s="2" t="s">
        <v>110</v>
      </c>
      <c r="D29" s="2" t="s">
        <v>29</v>
      </c>
      <c r="E29" s="2">
        <v>126.0</v>
      </c>
      <c r="F29" s="2" t="s">
        <v>30</v>
      </c>
      <c r="G29" s="2">
        <v>51.5</v>
      </c>
      <c r="I29" s="2">
        <v>54.7</v>
      </c>
      <c r="K29" s="2">
        <v>0.0</v>
      </c>
      <c r="L29" s="2">
        <v>10.0</v>
      </c>
      <c r="M29" s="2" t="s">
        <v>66</v>
      </c>
      <c r="N29" s="2">
        <v>0.998</v>
      </c>
      <c r="O29" s="2">
        <v>0.0</v>
      </c>
      <c r="P29" s="2">
        <v>5.4303</v>
      </c>
      <c r="Q29" s="2">
        <v>0.0</v>
      </c>
      <c r="R29" s="2">
        <v>0.2027</v>
      </c>
      <c r="S29" s="2">
        <v>184.93</v>
      </c>
      <c r="T29" s="2">
        <v>23.0</v>
      </c>
      <c r="V29" s="2">
        <f t="shared" si="2"/>
        <v>58.93804974</v>
      </c>
      <c r="W29" s="2">
        <f t="shared" si="3"/>
        <v>6.26569533</v>
      </c>
      <c r="X29" s="2">
        <f t="shared" si="4"/>
        <v>6.204457838</v>
      </c>
      <c r="Y29" s="2">
        <f t="shared" ref="Y29:Z29" si="32">_xlfn.NORM.S.DIST(W29)</f>
        <v>0.9999999998</v>
      </c>
      <c r="Z29" s="2">
        <f t="shared" si="32"/>
        <v>0.9999999997</v>
      </c>
      <c r="AA29" s="2">
        <f t="shared" si="6"/>
        <v>53.1</v>
      </c>
    </row>
    <row r="30" ht="14.25" customHeight="1">
      <c r="A30" s="2" t="s">
        <v>113</v>
      </c>
      <c r="B30" s="2" t="s">
        <v>114</v>
      </c>
      <c r="C30" s="2" t="s">
        <v>110</v>
      </c>
      <c r="D30" s="2" t="s">
        <v>29</v>
      </c>
      <c r="E30" s="2">
        <v>126.0</v>
      </c>
      <c r="F30" s="2" t="s">
        <v>30</v>
      </c>
      <c r="G30" s="2">
        <v>53.9</v>
      </c>
      <c r="I30" s="2">
        <v>57.1</v>
      </c>
      <c r="K30" s="2">
        <v>0.0</v>
      </c>
      <c r="L30" s="2">
        <v>10.0</v>
      </c>
      <c r="M30" s="2" t="s">
        <v>67</v>
      </c>
      <c r="N30" s="2">
        <v>0.9982</v>
      </c>
      <c r="O30" s="2">
        <v>0.0</v>
      </c>
      <c r="P30" s="2">
        <v>5.2764</v>
      </c>
      <c r="Q30" s="2">
        <v>0.0011</v>
      </c>
      <c r="R30" s="2">
        <v>0.3473</v>
      </c>
      <c r="S30" s="2">
        <v>192.0</v>
      </c>
      <c r="T30" s="2">
        <v>22.0</v>
      </c>
      <c r="V30" s="2">
        <f t="shared" si="2"/>
        <v>66.00776865</v>
      </c>
      <c r="W30" s="2">
        <f t="shared" si="3"/>
        <v>4.104746986</v>
      </c>
      <c r="X30" s="2">
        <f t="shared" si="4"/>
        <v>4.002130804</v>
      </c>
      <c r="Y30" s="2">
        <f t="shared" ref="Y30:Z30" si="33">_xlfn.NORM.S.DIST(W30)</f>
        <v>0.9999797621</v>
      </c>
      <c r="Z30" s="2">
        <f t="shared" si="33"/>
        <v>0.9999686127</v>
      </c>
      <c r="AA30" s="2">
        <f t="shared" si="6"/>
        <v>55.5</v>
      </c>
    </row>
    <row r="31" ht="14.25" customHeight="1">
      <c r="A31" s="2" t="s">
        <v>113</v>
      </c>
      <c r="B31" s="2" t="s">
        <v>114</v>
      </c>
      <c r="C31" s="2" t="s">
        <v>110</v>
      </c>
      <c r="D31" s="2" t="s">
        <v>29</v>
      </c>
      <c r="E31" s="2">
        <v>126.0</v>
      </c>
      <c r="F31" s="2" t="s">
        <v>30</v>
      </c>
      <c r="G31" s="2">
        <v>46.8</v>
      </c>
      <c r="I31" s="2">
        <v>50.1</v>
      </c>
      <c r="K31" s="2">
        <v>0.0</v>
      </c>
      <c r="L31" s="2">
        <v>10.0</v>
      </c>
      <c r="M31" s="2" t="s">
        <v>68</v>
      </c>
      <c r="N31" s="2">
        <v>0.9967</v>
      </c>
      <c r="O31" s="2">
        <v>2.0E-4</v>
      </c>
      <c r="P31" s="2">
        <v>4.6192</v>
      </c>
      <c r="Q31" s="2">
        <v>0.1964</v>
      </c>
      <c r="R31" s="2">
        <v>0.4985</v>
      </c>
      <c r="S31" s="2">
        <v>191.58</v>
      </c>
      <c r="T31" s="2">
        <v>19.0</v>
      </c>
      <c r="V31" s="2">
        <f t="shared" si="2"/>
        <v>65.59295028</v>
      </c>
      <c r="W31" s="2">
        <f t="shared" si="3"/>
        <v>3.061235626</v>
      </c>
      <c r="X31" s="2">
        <f t="shared" si="4"/>
        <v>2.924355091</v>
      </c>
      <c r="Y31" s="2">
        <f t="shared" ref="Y31:Z31" si="34">_xlfn.NORM.S.DIST(W31)</f>
        <v>0.9988978722</v>
      </c>
      <c r="Z31" s="2">
        <f t="shared" si="34"/>
        <v>0.9982741463</v>
      </c>
      <c r="AA31" s="2">
        <f t="shared" si="6"/>
        <v>48.45</v>
      </c>
    </row>
    <row r="32" ht="14.25" customHeight="1">
      <c r="A32" s="2" t="s">
        <v>113</v>
      </c>
      <c r="B32" s="2" t="s">
        <v>114</v>
      </c>
      <c r="C32" s="2" t="s">
        <v>110</v>
      </c>
      <c r="D32" s="2" t="s">
        <v>29</v>
      </c>
      <c r="E32" s="2">
        <v>126.0</v>
      </c>
      <c r="F32" s="2" t="s">
        <v>30</v>
      </c>
      <c r="G32" s="2">
        <v>52.3</v>
      </c>
      <c r="I32" s="2">
        <v>55.5</v>
      </c>
      <c r="K32" s="2">
        <v>0.0</v>
      </c>
      <c r="L32" s="2">
        <v>10.0</v>
      </c>
      <c r="M32" s="2" t="s">
        <v>69</v>
      </c>
      <c r="N32" s="2">
        <v>0.9983</v>
      </c>
      <c r="O32" s="2">
        <v>0.0</v>
      </c>
      <c r="P32" s="2">
        <v>6.1384</v>
      </c>
      <c r="Q32" s="2">
        <v>0.0</v>
      </c>
      <c r="R32" s="2">
        <v>0.2175</v>
      </c>
      <c r="S32" s="2">
        <v>191.42</v>
      </c>
      <c r="T32" s="2">
        <v>18.0</v>
      </c>
      <c r="V32" s="2">
        <f t="shared" si="2"/>
        <v>65.42629984</v>
      </c>
      <c r="W32" s="2">
        <f t="shared" si="3"/>
        <v>7.194098589</v>
      </c>
      <c r="X32" s="2">
        <f t="shared" si="4"/>
        <v>7.135969269</v>
      </c>
      <c r="Y32" s="2">
        <f t="shared" ref="Y32:Z32" si="35">_xlfn.NORM.S.DIST(W32)</f>
        <v>1</v>
      </c>
      <c r="Z32" s="2">
        <f t="shared" si="35"/>
        <v>1</v>
      </c>
      <c r="AA32" s="2">
        <f t="shared" si="6"/>
        <v>53.9</v>
      </c>
    </row>
    <row r="33" ht="14.25" customHeight="1">
      <c r="A33" s="2" t="s">
        <v>113</v>
      </c>
      <c r="B33" s="2" t="s">
        <v>114</v>
      </c>
      <c r="C33" s="2" t="s">
        <v>110</v>
      </c>
      <c r="D33" s="2" t="s">
        <v>29</v>
      </c>
      <c r="E33" s="2">
        <v>126.0</v>
      </c>
      <c r="F33" s="2" t="s">
        <v>30</v>
      </c>
      <c r="G33" s="2">
        <v>55.2</v>
      </c>
      <c r="I33" s="2">
        <v>58.5</v>
      </c>
      <c r="K33" s="2">
        <v>0.0</v>
      </c>
      <c r="L33" s="2">
        <v>10.0</v>
      </c>
      <c r="M33" s="2" t="s">
        <v>70</v>
      </c>
      <c r="N33" s="2">
        <v>0.9984</v>
      </c>
      <c r="O33" s="2">
        <v>0.0</v>
      </c>
      <c r="P33" s="2">
        <v>6.3272</v>
      </c>
      <c r="Q33" s="2">
        <v>0.0</v>
      </c>
      <c r="R33" s="2">
        <v>0.1993</v>
      </c>
      <c r="S33" s="2">
        <v>191.16</v>
      </c>
      <c r="T33" s="2">
        <v>17.0</v>
      </c>
      <c r="V33" s="2">
        <f t="shared" si="2"/>
        <v>65.16594986</v>
      </c>
      <c r="W33" s="2">
        <f t="shared" si="3"/>
        <v>8.052417771</v>
      </c>
      <c r="X33" s="2">
        <f t="shared" si="4"/>
        <v>8.000653335</v>
      </c>
      <c r="Y33" s="2">
        <f t="shared" ref="Y33:Z33" si="36">_xlfn.NORM.S.DIST(W33)</f>
        <v>1</v>
      </c>
      <c r="Z33" s="2">
        <f t="shared" si="36"/>
        <v>1</v>
      </c>
      <c r="AA33" s="2">
        <f t="shared" si="6"/>
        <v>56.85</v>
      </c>
    </row>
    <row r="34" ht="14.25" customHeight="1">
      <c r="A34" s="2" t="s">
        <v>113</v>
      </c>
      <c r="B34" s="2" t="s">
        <v>114</v>
      </c>
      <c r="C34" s="2" t="s">
        <v>110</v>
      </c>
      <c r="D34" s="2" t="s">
        <v>29</v>
      </c>
      <c r="E34" s="2">
        <v>126.0</v>
      </c>
      <c r="F34" s="2" t="s">
        <v>30</v>
      </c>
      <c r="G34" s="2">
        <v>53.6</v>
      </c>
      <c r="I34" s="2">
        <v>57.2</v>
      </c>
      <c r="K34" s="2">
        <v>0.0</v>
      </c>
      <c r="L34" s="2">
        <v>10.0</v>
      </c>
      <c r="M34" s="2" t="s">
        <v>71</v>
      </c>
      <c r="N34" s="2">
        <v>0.9984</v>
      </c>
      <c r="O34" s="2">
        <v>0.0</v>
      </c>
      <c r="P34" s="2">
        <v>6.3595</v>
      </c>
      <c r="Q34" s="2">
        <v>1.0E-4</v>
      </c>
      <c r="R34" s="2">
        <v>0.3714</v>
      </c>
      <c r="S34" s="2">
        <v>189.98</v>
      </c>
      <c r="T34" s="2">
        <v>16.0</v>
      </c>
      <c r="V34" s="2">
        <f t="shared" si="2"/>
        <v>63.98561663</v>
      </c>
      <c r="W34" s="2">
        <f t="shared" si="3"/>
        <v>4.387896233</v>
      </c>
      <c r="X34" s="2">
        <f t="shared" si="4"/>
        <v>4.29431223</v>
      </c>
      <c r="Y34" s="2">
        <f t="shared" ref="Y34:Z34" si="37">_xlfn.NORM.S.DIST(W34)</f>
        <v>0.9999942774</v>
      </c>
      <c r="Z34" s="2">
        <f t="shared" si="37"/>
        <v>0.9999912382</v>
      </c>
      <c r="AA34" s="2">
        <f t="shared" si="6"/>
        <v>55.4</v>
      </c>
    </row>
    <row r="35" ht="14.25" customHeight="1">
      <c r="A35" s="2" t="s">
        <v>113</v>
      </c>
      <c r="B35" s="2" t="s">
        <v>114</v>
      </c>
      <c r="C35" s="2" t="s">
        <v>110</v>
      </c>
      <c r="D35" s="2" t="s">
        <v>29</v>
      </c>
      <c r="E35" s="2">
        <v>126.0</v>
      </c>
      <c r="F35" s="2" t="s">
        <v>30</v>
      </c>
      <c r="G35" s="2">
        <v>54.7</v>
      </c>
      <c r="I35" s="2">
        <v>58.1</v>
      </c>
      <c r="K35" s="2">
        <v>0.0</v>
      </c>
      <c r="L35" s="2">
        <v>10.0</v>
      </c>
      <c r="M35" s="2" t="s">
        <v>72</v>
      </c>
      <c r="N35" s="2">
        <v>0.9985</v>
      </c>
      <c r="O35" s="2">
        <v>0.0</v>
      </c>
      <c r="P35" s="2">
        <v>6.3989</v>
      </c>
      <c r="Q35" s="2">
        <v>8.0E-4</v>
      </c>
      <c r="R35" s="2">
        <v>0.4255</v>
      </c>
      <c r="S35" s="2">
        <v>183.41</v>
      </c>
      <c r="T35" s="2">
        <v>15.0</v>
      </c>
      <c r="V35" s="2">
        <f t="shared" si="2"/>
        <v>57.41581105</v>
      </c>
      <c r="W35" s="2">
        <f t="shared" si="3"/>
        <v>3.616580497</v>
      </c>
      <c r="X35" s="2">
        <f t="shared" si="4"/>
        <v>3.512769126</v>
      </c>
      <c r="Y35" s="2">
        <f t="shared" ref="Y35:Z35" si="38">_xlfn.NORM.S.DIST(W35)</f>
        <v>0.9998507397</v>
      </c>
      <c r="Z35" s="2">
        <f t="shared" si="38"/>
        <v>0.9997782687</v>
      </c>
      <c r="AA35" s="2">
        <f t="shared" si="6"/>
        <v>56.4</v>
      </c>
    </row>
    <row r="36" ht="14.25" customHeight="1">
      <c r="A36" s="2" t="s">
        <v>113</v>
      </c>
      <c r="B36" s="2" t="s">
        <v>114</v>
      </c>
      <c r="C36" s="2" t="s">
        <v>110</v>
      </c>
      <c r="D36" s="2" t="s">
        <v>29</v>
      </c>
      <c r="E36" s="2">
        <v>126.0</v>
      </c>
      <c r="F36" s="2" t="s">
        <v>30</v>
      </c>
      <c r="G36" s="2">
        <v>58.0</v>
      </c>
      <c r="I36" s="2">
        <v>61.3</v>
      </c>
      <c r="K36" s="2">
        <v>0.0</v>
      </c>
      <c r="L36" s="2">
        <v>10.0</v>
      </c>
      <c r="M36" s="2" t="s">
        <v>73</v>
      </c>
      <c r="N36" s="2">
        <v>0.9988</v>
      </c>
      <c r="O36" s="2">
        <v>0.0</v>
      </c>
      <c r="P36" s="2">
        <v>6.9856</v>
      </c>
      <c r="Q36" s="2">
        <v>0.0</v>
      </c>
      <c r="R36" s="2">
        <v>0.3374</v>
      </c>
      <c r="S36" s="2">
        <v>179.53</v>
      </c>
      <c r="T36" s="2">
        <v>12.0</v>
      </c>
      <c r="V36" s="2">
        <f t="shared" si="2"/>
        <v>53.53420151</v>
      </c>
      <c r="W36" s="2">
        <f t="shared" si="3"/>
        <v>4.808857931</v>
      </c>
      <c r="X36" s="2">
        <f t="shared" si="4"/>
        <v>4.735231214</v>
      </c>
      <c r="Y36" s="2">
        <f t="shared" ref="Y36:Z36" si="39">_xlfn.NORM.S.DIST(W36)</f>
        <v>0.999999241</v>
      </c>
      <c r="Z36" s="2">
        <f t="shared" si="39"/>
        <v>0.999998906</v>
      </c>
      <c r="AA36" s="2">
        <f t="shared" si="6"/>
        <v>59.65</v>
      </c>
    </row>
    <row r="37" ht="14.25" customHeight="1">
      <c r="A37" s="2" t="s">
        <v>113</v>
      </c>
      <c r="B37" s="2" t="s">
        <v>114</v>
      </c>
      <c r="C37" s="2" t="s">
        <v>110</v>
      </c>
      <c r="D37" s="2" t="s">
        <v>29</v>
      </c>
      <c r="E37" s="2">
        <v>126.0</v>
      </c>
      <c r="F37" s="2" t="s">
        <v>30</v>
      </c>
      <c r="G37" s="2">
        <v>61.8</v>
      </c>
      <c r="I37" s="2">
        <v>65.2</v>
      </c>
      <c r="K37" s="2">
        <v>0.0</v>
      </c>
      <c r="L37" s="2">
        <v>10.0</v>
      </c>
      <c r="M37" s="2" t="s">
        <v>74</v>
      </c>
      <c r="N37" s="2">
        <v>0.9989</v>
      </c>
      <c r="O37" s="2">
        <v>0.0</v>
      </c>
      <c r="P37" s="2">
        <v>7.1385</v>
      </c>
      <c r="Q37" s="2">
        <v>0.0</v>
      </c>
      <c r="R37" s="2">
        <v>0.3046</v>
      </c>
      <c r="S37" s="2">
        <v>180.95</v>
      </c>
      <c r="T37" s="2">
        <v>11.0</v>
      </c>
      <c r="V37" s="2">
        <f t="shared" si="2"/>
        <v>54.95384995</v>
      </c>
      <c r="W37" s="2">
        <f t="shared" si="3"/>
        <v>5.687340402</v>
      </c>
      <c r="X37" s="2">
        <f t="shared" si="4"/>
        <v>5.623701017</v>
      </c>
      <c r="Y37" s="2">
        <f t="shared" ref="Y37:Z37" si="40">_xlfn.NORM.S.DIST(W37)</f>
        <v>0.9999999935</v>
      </c>
      <c r="Z37" s="2">
        <f t="shared" si="40"/>
        <v>0.9999999907</v>
      </c>
      <c r="AA37" s="2">
        <f t="shared" si="6"/>
        <v>63.5</v>
      </c>
    </row>
    <row r="38" ht="14.25" customHeight="1">
      <c r="A38" s="2" t="s">
        <v>113</v>
      </c>
      <c r="B38" s="2" t="s">
        <v>114</v>
      </c>
      <c r="C38" s="2" t="s">
        <v>110</v>
      </c>
      <c r="D38" s="2" t="s">
        <v>29</v>
      </c>
      <c r="E38" s="2">
        <v>126.0</v>
      </c>
      <c r="F38" s="2" t="s">
        <v>30</v>
      </c>
      <c r="G38" s="2">
        <v>61.7</v>
      </c>
      <c r="I38" s="2">
        <v>65.1</v>
      </c>
      <c r="K38" s="2">
        <v>0.0</v>
      </c>
      <c r="L38" s="2">
        <v>10.0</v>
      </c>
      <c r="M38" s="2" t="s">
        <v>75</v>
      </c>
      <c r="N38" s="2">
        <v>0.999</v>
      </c>
      <c r="O38" s="2">
        <v>0.0</v>
      </c>
      <c r="P38" s="2">
        <v>7.1326</v>
      </c>
      <c r="Q38" s="2">
        <v>0.0</v>
      </c>
      <c r="R38" s="2">
        <v>0.361</v>
      </c>
      <c r="S38" s="2">
        <v>174.52</v>
      </c>
      <c r="T38" s="2">
        <v>10.0</v>
      </c>
      <c r="V38" s="2">
        <f t="shared" si="2"/>
        <v>48.52350622</v>
      </c>
      <c r="W38" s="2">
        <f t="shared" si="3"/>
        <v>4.529887471</v>
      </c>
      <c r="X38" s="2">
        <f t="shared" si="4"/>
        <v>4.457974549</v>
      </c>
      <c r="Y38" s="2">
        <f t="shared" ref="Y38:Z38" si="41">_xlfn.NORM.S.DIST(W38)</f>
        <v>0.9999970492</v>
      </c>
      <c r="Z38" s="2">
        <f t="shared" si="41"/>
        <v>0.9999958631</v>
      </c>
      <c r="AA38" s="2">
        <f t="shared" si="6"/>
        <v>63.4</v>
      </c>
    </row>
    <row r="39" ht="14.25" customHeight="1">
      <c r="A39" s="2" t="s">
        <v>113</v>
      </c>
      <c r="B39" s="2" t="s">
        <v>114</v>
      </c>
      <c r="C39" s="2" t="s">
        <v>110</v>
      </c>
      <c r="D39" s="2" t="s">
        <v>29</v>
      </c>
      <c r="E39" s="2">
        <v>126.0</v>
      </c>
      <c r="F39" s="2" t="s">
        <v>30</v>
      </c>
      <c r="G39" s="2">
        <v>61.7</v>
      </c>
      <c r="I39" s="2">
        <v>65.1</v>
      </c>
      <c r="K39" s="2">
        <v>0.0</v>
      </c>
      <c r="L39" s="2">
        <v>10.0</v>
      </c>
      <c r="M39" s="2" t="s">
        <v>76</v>
      </c>
      <c r="N39" s="2">
        <v>0.9991</v>
      </c>
      <c r="O39" s="2">
        <v>0.0</v>
      </c>
      <c r="P39" s="2">
        <v>7.1306</v>
      </c>
      <c r="Q39" s="2">
        <v>0.0</v>
      </c>
      <c r="R39" s="2">
        <v>0.3736</v>
      </c>
      <c r="S39" s="2">
        <v>179.66</v>
      </c>
      <c r="T39" s="2">
        <v>9.0</v>
      </c>
      <c r="V39" s="2">
        <f t="shared" si="2"/>
        <v>53.66315045</v>
      </c>
      <c r="W39" s="2">
        <f t="shared" si="3"/>
        <v>5.025005056</v>
      </c>
      <c r="X39" s="2">
        <f t="shared" si="4"/>
        <v>4.954401292</v>
      </c>
      <c r="Y39" s="2">
        <f t="shared" ref="Y39:Z39" si="42">_xlfn.NORM.S.DIST(W39)</f>
        <v>0.9999997483</v>
      </c>
      <c r="Z39" s="2">
        <f t="shared" si="42"/>
        <v>0.9999996372</v>
      </c>
      <c r="AA39" s="2">
        <f t="shared" si="6"/>
        <v>63.4</v>
      </c>
    </row>
    <row r="40" ht="14.25" customHeight="1">
      <c r="A40" s="2" t="s">
        <v>113</v>
      </c>
      <c r="B40" s="2" t="s">
        <v>114</v>
      </c>
      <c r="C40" s="2" t="s">
        <v>110</v>
      </c>
      <c r="D40" s="2" t="s">
        <v>29</v>
      </c>
      <c r="E40" s="2">
        <v>126.0</v>
      </c>
      <c r="F40" s="2" t="s">
        <v>30</v>
      </c>
      <c r="G40" s="2">
        <v>62.9</v>
      </c>
      <c r="I40" s="2">
        <v>66.1</v>
      </c>
      <c r="K40" s="2">
        <v>0.0</v>
      </c>
      <c r="L40" s="2">
        <v>10.0</v>
      </c>
      <c r="M40" s="2" t="s">
        <v>77</v>
      </c>
      <c r="N40" s="2">
        <v>0.9992</v>
      </c>
      <c r="O40" s="2">
        <v>0.0</v>
      </c>
      <c r="P40" s="2">
        <v>7.1765</v>
      </c>
      <c r="Q40" s="2">
        <v>0.0</v>
      </c>
      <c r="R40" s="2">
        <v>0.41</v>
      </c>
      <c r="S40" s="2">
        <v>183.04</v>
      </c>
      <c r="T40" s="2">
        <v>8.0</v>
      </c>
      <c r="V40" s="2">
        <f t="shared" si="2"/>
        <v>57.04280028</v>
      </c>
      <c r="W40" s="2">
        <f t="shared" si="3"/>
        <v>5.111781156</v>
      </c>
      <c r="X40" s="2">
        <f t="shared" si="4"/>
        <v>5.03872975</v>
      </c>
      <c r="Y40" s="2">
        <f t="shared" ref="Y40:Z40" si="43">_xlfn.NORM.S.DIST(W40)</f>
        <v>0.9999998404</v>
      </c>
      <c r="Z40" s="2">
        <f t="shared" si="43"/>
        <v>0.9999997657</v>
      </c>
      <c r="AA40" s="2">
        <f t="shared" si="6"/>
        <v>64.5</v>
      </c>
    </row>
    <row r="41" ht="14.25" customHeight="1">
      <c r="A41" s="2" t="s">
        <v>113</v>
      </c>
      <c r="B41" s="2" t="s">
        <v>114</v>
      </c>
      <c r="C41" s="2" t="s">
        <v>110</v>
      </c>
      <c r="D41" s="2" t="s">
        <v>29</v>
      </c>
      <c r="E41" s="2">
        <v>126.0</v>
      </c>
      <c r="F41" s="2" t="s">
        <v>30</v>
      </c>
      <c r="G41" s="2">
        <v>62.8</v>
      </c>
      <c r="I41" s="2">
        <v>66.1</v>
      </c>
      <c r="K41" s="2">
        <v>0.0</v>
      </c>
      <c r="L41" s="2">
        <v>10.0</v>
      </c>
      <c r="M41" s="2" t="s">
        <v>78</v>
      </c>
      <c r="N41" s="2">
        <v>1.0</v>
      </c>
      <c r="O41" s="2">
        <v>0.0</v>
      </c>
      <c r="P41" s="2">
        <v>-0.3552</v>
      </c>
      <c r="Q41" s="2">
        <v>0.0</v>
      </c>
      <c r="R41" s="2">
        <v>0.1733</v>
      </c>
      <c r="S41" s="2">
        <v>182.98</v>
      </c>
      <c r="T41" s="2">
        <v>5.0</v>
      </c>
      <c r="V41" s="2">
        <f t="shared" si="2"/>
        <v>56.98174999</v>
      </c>
      <c r="W41" s="2">
        <f t="shared" si="3"/>
        <v>15.28396648</v>
      </c>
      <c r="X41" s="2">
        <f t="shared" si="4"/>
        <v>15.25955561</v>
      </c>
      <c r="Y41" s="2">
        <f t="shared" ref="Y41:Z41" si="44">_xlfn.NORM.S.DIST(W41)</f>
        <v>1</v>
      </c>
      <c r="Z41" s="2">
        <f t="shared" si="44"/>
        <v>1</v>
      </c>
      <c r="AA41" s="2">
        <f t="shared" si="6"/>
        <v>64.45</v>
      </c>
    </row>
    <row r="42" ht="14.25" customHeight="1">
      <c r="A42" s="2" t="s">
        <v>113</v>
      </c>
      <c r="B42" s="2" t="s">
        <v>114</v>
      </c>
      <c r="C42" s="2" t="s">
        <v>110</v>
      </c>
      <c r="D42" s="2" t="s">
        <v>29</v>
      </c>
      <c r="E42" s="2">
        <v>126.0</v>
      </c>
      <c r="F42" s="2" t="s">
        <v>30</v>
      </c>
      <c r="G42" s="2">
        <v>60.2</v>
      </c>
      <c r="I42" s="2">
        <v>63.5</v>
      </c>
      <c r="K42" s="2">
        <v>0.0</v>
      </c>
      <c r="L42" s="2">
        <v>10.0</v>
      </c>
      <c r="M42" s="2" t="s">
        <v>79</v>
      </c>
      <c r="N42" s="2">
        <v>1.0</v>
      </c>
      <c r="O42" s="2">
        <v>0.0</v>
      </c>
      <c r="P42" s="2">
        <v>-0.3552</v>
      </c>
      <c r="Q42" s="2">
        <v>0.0</v>
      </c>
      <c r="R42" s="2">
        <v>0.3114</v>
      </c>
      <c r="S42" s="2">
        <v>182.48</v>
      </c>
      <c r="T42" s="2">
        <v>4.0</v>
      </c>
      <c r="V42" s="2">
        <f t="shared" si="2"/>
        <v>56.48139999</v>
      </c>
      <c r="W42" s="2">
        <f t="shared" si="3"/>
        <v>9.440047586</v>
      </c>
      <c r="X42" s="2">
        <f t="shared" si="4"/>
        <v>9.400814874</v>
      </c>
      <c r="Y42" s="2">
        <f t="shared" ref="Y42:Z42" si="45">_xlfn.NORM.S.DIST(W42)</f>
        <v>1</v>
      </c>
      <c r="Z42" s="2">
        <f t="shared" si="45"/>
        <v>1</v>
      </c>
      <c r="AA42" s="2">
        <f t="shared" si="6"/>
        <v>61.85</v>
      </c>
    </row>
    <row r="43" ht="14.25" customHeight="1">
      <c r="A43" s="2" t="s">
        <v>113</v>
      </c>
      <c r="B43" s="2" t="s">
        <v>114</v>
      </c>
      <c r="C43" s="2" t="s">
        <v>110</v>
      </c>
      <c r="D43" s="2" t="s">
        <v>29</v>
      </c>
      <c r="E43" s="2">
        <v>126.0</v>
      </c>
      <c r="F43" s="2" t="s">
        <v>30</v>
      </c>
      <c r="G43" s="2">
        <v>61.8</v>
      </c>
      <c r="I43" s="2">
        <v>65.1</v>
      </c>
      <c r="K43" s="2">
        <v>0.0</v>
      </c>
      <c r="L43" s="2">
        <v>10.0</v>
      </c>
      <c r="M43" s="2" t="s">
        <v>80</v>
      </c>
      <c r="N43" s="2">
        <v>1.0</v>
      </c>
      <c r="O43" s="2">
        <v>0.0</v>
      </c>
      <c r="P43" s="2">
        <v>-0.3552</v>
      </c>
      <c r="Q43" s="2">
        <v>0.0</v>
      </c>
      <c r="R43" s="2">
        <v>0.0317</v>
      </c>
      <c r="S43" s="2">
        <v>185.19</v>
      </c>
      <c r="T43" s="2">
        <v>3.0</v>
      </c>
      <c r="V43" s="2">
        <f t="shared" si="2"/>
        <v>59.19105</v>
      </c>
      <c r="W43" s="2">
        <f t="shared" si="3"/>
        <v>111.3408086</v>
      </c>
      <c r="X43" s="2">
        <f t="shared" si="4"/>
        <v>111.3373498</v>
      </c>
      <c r="Y43" s="2">
        <f t="shared" ref="Y43:Z43" si="46">_xlfn.NORM.S.DIST(W43)</f>
        <v>1</v>
      </c>
      <c r="Z43" s="2">
        <f t="shared" si="46"/>
        <v>1</v>
      </c>
      <c r="AA43" s="2">
        <f t="shared" si="6"/>
        <v>63.45</v>
      </c>
    </row>
    <row r="44" ht="14.25" customHeight="1">
      <c r="A44" s="2" t="s">
        <v>113</v>
      </c>
      <c r="B44" s="2" t="s">
        <v>114</v>
      </c>
      <c r="C44" s="2" t="s">
        <v>110</v>
      </c>
      <c r="D44" s="2" t="s">
        <v>29</v>
      </c>
      <c r="E44" s="2">
        <v>126.0</v>
      </c>
      <c r="F44" s="2" t="s">
        <v>30</v>
      </c>
      <c r="G44" s="2">
        <v>64.4</v>
      </c>
      <c r="I44" s="2">
        <v>67.7</v>
      </c>
      <c r="K44" s="2">
        <v>0.0</v>
      </c>
      <c r="L44" s="2">
        <v>10.0</v>
      </c>
      <c r="M44" s="2" t="s">
        <v>81</v>
      </c>
      <c r="N44" s="2">
        <v>1.0</v>
      </c>
      <c r="O44" s="2">
        <v>0.0</v>
      </c>
      <c r="P44" s="2">
        <v>-0.3552</v>
      </c>
      <c r="Q44" s="2">
        <v>0.0</v>
      </c>
      <c r="R44" s="2">
        <v>0.4015</v>
      </c>
      <c r="S44" s="2">
        <v>189.68</v>
      </c>
      <c r="T44" s="2">
        <v>2.0</v>
      </c>
      <c r="V44" s="2">
        <f t="shared" si="2"/>
        <v>63.6807</v>
      </c>
      <c r="W44" s="2">
        <f t="shared" si="3"/>
        <v>11.43623466</v>
      </c>
      <c r="X44" s="2">
        <f t="shared" si="4"/>
        <v>11.4004662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66.05</v>
      </c>
    </row>
    <row r="45" ht="14.25" customHeight="1">
      <c r="A45" s="2" t="s">
        <v>113</v>
      </c>
      <c r="B45" s="2" t="s">
        <v>114</v>
      </c>
      <c r="C45" s="2" t="s">
        <v>110</v>
      </c>
      <c r="D45" s="2" t="s">
        <v>29</v>
      </c>
      <c r="E45" s="2">
        <v>126.0</v>
      </c>
      <c r="F45" s="2" t="s">
        <v>30</v>
      </c>
      <c r="G45" s="2">
        <v>64.4</v>
      </c>
      <c r="I45" s="2">
        <v>67.7</v>
      </c>
      <c r="K45" s="2">
        <v>0.0</v>
      </c>
      <c r="L45" s="2">
        <v>10.0</v>
      </c>
      <c r="M45" s="2" t="s">
        <v>82</v>
      </c>
      <c r="N45" s="2">
        <v>0.988</v>
      </c>
      <c r="O45" s="2">
        <v>8.0E-4</v>
      </c>
      <c r="P45" s="2">
        <v>-634.3946</v>
      </c>
      <c r="Q45" s="2">
        <v>0.1807</v>
      </c>
      <c r="R45" s="2">
        <v>6.4063</v>
      </c>
      <c r="S45" s="2">
        <v>190.26</v>
      </c>
      <c r="T45" s="2">
        <v>1.0</v>
      </c>
      <c r="V45" s="2">
        <f t="shared" si="2"/>
        <v>68.85926828</v>
      </c>
      <c r="W45" s="2">
        <f t="shared" si="3"/>
        <v>1.021188189</v>
      </c>
      <c r="X45" s="2">
        <f t="shared" si="4"/>
        <v>0.6176292216</v>
      </c>
      <c r="Y45" s="2">
        <f t="shared" ref="Y45:Z45" si="48">_xlfn.NORM.S.DIST(W45)</f>
        <v>0.8464173564</v>
      </c>
      <c r="Z45" s="2">
        <f t="shared" si="48"/>
        <v>0.7315901112</v>
      </c>
      <c r="AA45" s="2">
        <f t="shared" si="6"/>
        <v>66.05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115</v>
      </c>
      <c r="B2" s="2" t="s">
        <v>116</v>
      </c>
      <c r="C2" s="2" t="s">
        <v>109</v>
      </c>
      <c r="D2" s="2" t="s">
        <v>29</v>
      </c>
      <c r="E2" s="2">
        <v>2200.0</v>
      </c>
      <c r="F2" s="2" t="s">
        <v>30</v>
      </c>
      <c r="G2" s="2">
        <v>541.9</v>
      </c>
      <c r="I2" s="2">
        <v>546.0</v>
      </c>
      <c r="K2" s="2">
        <v>0.0</v>
      </c>
      <c r="L2" s="2">
        <v>0.0</v>
      </c>
      <c r="M2" s="2" t="s">
        <v>31</v>
      </c>
      <c r="N2" s="2">
        <v>0.9991</v>
      </c>
      <c r="O2" s="2">
        <v>0.0</v>
      </c>
      <c r="P2" s="2">
        <v>-8.2203</v>
      </c>
      <c r="Q2" s="2">
        <v>3.8331</v>
      </c>
      <c r="R2" s="2">
        <v>0.1624</v>
      </c>
      <c r="S2" s="2">
        <v>2746.469971</v>
      </c>
      <c r="T2" s="2">
        <v>73.0</v>
      </c>
      <c r="V2" s="2">
        <f t="shared" ref="V2:V52" si="2">S2*Y2 - E2*Z2*exp(-0.0007*T2/252)</f>
        <v>547.2913065</v>
      </c>
      <c r="W2" s="2">
        <f t="shared" ref="W2:W52" si="3">((LN(S2/E2) + (0.0007 + (R2^2)/2) * U2/$AB$2)) / (R2 * SQRT(T2/252))</f>
        <v>2.538224448</v>
      </c>
      <c r="X2" s="2">
        <f t="shared" ref="X2:X52" si="4">W2-(R2*SQRT(T2/$AB$2))</f>
        <v>2.450817252</v>
      </c>
      <c r="Y2" s="2">
        <f t="shared" ref="Y2:Z2" si="1">_xlfn.NORM.S.DIST(W2)</f>
        <v>0.9944291748</v>
      </c>
      <c r="Z2" s="2">
        <f t="shared" si="1"/>
        <v>0.9928733852</v>
      </c>
      <c r="AA2" s="2">
        <f t="shared" ref="AA2:AA52" si="6">if(0.5*(G2+I2)=0,0,0.5*(G2+I2))</f>
        <v>543.95</v>
      </c>
      <c r="AB2" s="2">
        <v>252.0</v>
      </c>
    </row>
    <row r="3" ht="14.25" customHeight="1">
      <c r="A3" s="2" t="s">
        <v>115</v>
      </c>
      <c r="B3" s="2" t="s">
        <v>116</v>
      </c>
      <c r="C3" s="2" t="s">
        <v>109</v>
      </c>
      <c r="D3" s="2" t="s">
        <v>29</v>
      </c>
      <c r="E3" s="2">
        <v>2200.0</v>
      </c>
      <c r="F3" s="2" t="s">
        <v>30</v>
      </c>
      <c r="G3" s="2">
        <v>527.5</v>
      </c>
      <c r="I3" s="2">
        <v>532.2</v>
      </c>
      <c r="K3" s="2">
        <v>0.0</v>
      </c>
      <c r="L3" s="2">
        <v>0.0</v>
      </c>
      <c r="M3" s="2" t="s">
        <v>32</v>
      </c>
      <c r="N3" s="2">
        <v>0.9977</v>
      </c>
      <c r="O3" s="2">
        <v>0.0</v>
      </c>
      <c r="P3" s="2">
        <v>-10.5216</v>
      </c>
      <c r="Q3" s="2">
        <v>8.6389</v>
      </c>
      <c r="R3" s="2">
        <v>0.1757</v>
      </c>
      <c r="S3" s="2">
        <v>2732.26001</v>
      </c>
      <c r="T3" s="2">
        <v>72.0</v>
      </c>
      <c r="V3" s="2">
        <f t="shared" si="2"/>
        <v>533.5114706</v>
      </c>
      <c r="W3" s="2">
        <f t="shared" si="3"/>
        <v>2.307090067</v>
      </c>
      <c r="X3" s="2">
        <f t="shared" si="4"/>
        <v>2.213174467</v>
      </c>
      <c r="Y3" s="2">
        <f t="shared" ref="Y3:Z3" si="5">_xlfn.NORM.S.DIST(W3)</f>
        <v>0.9894751002</v>
      </c>
      <c r="Z3" s="2">
        <f t="shared" si="5"/>
        <v>0.9865571901</v>
      </c>
      <c r="AA3" s="2">
        <f t="shared" si="6"/>
        <v>529.85</v>
      </c>
    </row>
    <row r="4" ht="14.25" customHeight="1">
      <c r="A4" s="2" t="s">
        <v>115</v>
      </c>
      <c r="B4" s="2" t="s">
        <v>116</v>
      </c>
      <c r="C4" s="2" t="s">
        <v>109</v>
      </c>
      <c r="D4" s="2" t="s">
        <v>29</v>
      </c>
      <c r="E4" s="2">
        <v>2200.0</v>
      </c>
      <c r="F4" s="2" t="s">
        <v>30</v>
      </c>
      <c r="G4" s="2">
        <v>0.0</v>
      </c>
      <c r="I4" s="2">
        <v>0.0</v>
      </c>
      <c r="K4" s="2">
        <v>0.0</v>
      </c>
      <c r="L4" s="2">
        <v>0.0</v>
      </c>
      <c r="M4" s="2" t="s">
        <v>33</v>
      </c>
      <c r="N4" s="2">
        <v>0.9987</v>
      </c>
      <c r="O4" s="2">
        <v>0.0</v>
      </c>
      <c r="P4" s="2">
        <v>-8.8469</v>
      </c>
      <c r="Q4" s="2">
        <v>5.1609</v>
      </c>
      <c r="R4" s="2">
        <v>0.1643</v>
      </c>
      <c r="S4" s="2">
        <v>2724.48999</v>
      </c>
      <c r="T4" s="2">
        <v>71.0</v>
      </c>
      <c r="V4" s="2">
        <f t="shared" si="2"/>
        <v>525.4115269</v>
      </c>
      <c r="W4" s="2">
        <f t="shared" si="3"/>
        <v>2.451826643</v>
      </c>
      <c r="X4" s="2">
        <f t="shared" si="4"/>
        <v>2.364616607</v>
      </c>
      <c r="Y4" s="2">
        <f t="shared" ref="Y4:Z4" si="7">_xlfn.NORM.S.DIST(W4)</f>
        <v>0.992893344</v>
      </c>
      <c r="Z4" s="2">
        <f t="shared" si="7"/>
        <v>0.9909756277</v>
      </c>
      <c r="AA4" s="2">
        <f t="shared" si="6"/>
        <v>0</v>
      </c>
      <c r="AB4" s="2">
        <f>average(R2:R52)</f>
        <v>0.1855862745</v>
      </c>
    </row>
    <row r="5" ht="14.25" customHeight="1">
      <c r="A5" s="2" t="s">
        <v>115</v>
      </c>
      <c r="B5" s="2" t="s">
        <v>116</v>
      </c>
      <c r="C5" s="2" t="s">
        <v>109</v>
      </c>
      <c r="D5" s="2" t="s">
        <v>29</v>
      </c>
      <c r="E5" s="2">
        <v>2200.0</v>
      </c>
      <c r="F5" s="2" t="s">
        <v>30</v>
      </c>
      <c r="G5" s="2">
        <v>520.3</v>
      </c>
      <c r="I5" s="2">
        <v>524.8</v>
      </c>
      <c r="K5" s="2">
        <v>0.0</v>
      </c>
      <c r="L5" s="2">
        <v>0.0</v>
      </c>
      <c r="M5" s="2" t="s">
        <v>34</v>
      </c>
      <c r="N5" s="2">
        <v>0.9976</v>
      </c>
      <c r="O5" s="2">
        <v>0.0</v>
      </c>
      <c r="P5" s="2">
        <v>-10.9632</v>
      </c>
      <c r="Q5" s="2">
        <v>8.8815</v>
      </c>
      <c r="R5" s="2">
        <v>0.1797</v>
      </c>
      <c r="S5" s="2">
        <v>2724.219971</v>
      </c>
      <c r="T5" s="2">
        <v>68.0</v>
      </c>
      <c r="V5" s="2">
        <f t="shared" si="2"/>
        <v>525.4838433</v>
      </c>
      <c r="W5" s="2">
        <f t="shared" si="3"/>
        <v>2.289563066</v>
      </c>
      <c r="X5" s="2">
        <f t="shared" si="4"/>
        <v>2.196215659</v>
      </c>
      <c r="Y5" s="2">
        <f t="shared" ref="Y5:Z5" si="8">_xlfn.NORM.S.DIST(W5)</f>
        <v>0.988976671</v>
      </c>
      <c r="Z5" s="2">
        <f t="shared" si="8"/>
        <v>0.9859617444</v>
      </c>
      <c r="AA5" s="2">
        <f t="shared" si="6"/>
        <v>522.55</v>
      </c>
    </row>
    <row r="6" ht="14.25" customHeight="1">
      <c r="A6" s="2" t="s">
        <v>115</v>
      </c>
      <c r="B6" s="2" t="s">
        <v>116</v>
      </c>
      <c r="C6" s="2" t="s">
        <v>109</v>
      </c>
      <c r="D6" s="2" t="s">
        <v>29</v>
      </c>
      <c r="E6" s="2">
        <v>2200.0</v>
      </c>
      <c r="F6" s="2" t="s">
        <v>30</v>
      </c>
      <c r="G6" s="2">
        <v>514.7</v>
      </c>
      <c r="I6" s="2">
        <v>519.0</v>
      </c>
      <c r="K6" s="2">
        <v>0.0</v>
      </c>
      <c r="L6" s="2">
        <v>0.0</v>
      </c>
      <c r="M6" s="2" t="s">
        <v>35</v>
      </c>
      <c r="N6" s="2">
        <v>0.9983</v>
      </c>
      <c r="O6" s="2">
        <v>0.0</v>
      </c>
      <c r="P6" s="2">
        <v>-9.6391</v>
      </c>
      <c r="Q6" s="2">
        <v>6.3263</v>
      </c>
      <c r="R6" s="2">
        <v>0.1721</v>
      </c>
      <c r="S6" s="2">
        <v>2718.719971</v>
      </c>
      <c r="T6" s="2">
        <v>67.0</v>
      </c>
      <c r="V6" s="2">
        <f t="shared" si="2"/>
        <v>519.7355481</v>
      </c>
      <c r="W6" s="2">
        <f t="shared" si="3"/>
        <v>2.38567167</v>
      </c>
      <c r="X6" s="2">
        <f t="shared" si="4"/>
        <v>2.296931961</v>
      </c>
      <c r="Y6" s="2">
        <f t="shared" ref="Y6:Z6" si="9">_xlfn.NORM.S.DIST(W6)</f>
        <v>0.9914760182</v>
      </c>
      <c r="Z6" s="2">
        <f t="shared" si="9"/>
        <v>0.9891886743</v>
      </c>
      <c r="AA6" s="2">
        <f t="shared" si="6"/>
        <v>516.85</v>
      </c>
    </row>
    <row r="7" ht="14.25" customHeight="1">
      <c r="A7" s="2" t="s">
        <v>115</v>
      </c>
      <c r="B7" s="2" t="s">
        <v>116</v>
      </c>
      <c r="C7" s="2" t="s">
        <v>109</v>
      </c>
      <c r="D7" s="2" t="s">
        <v>29</v>
      </c>
      <c r="E7" s="2">
        <v>2200.0</v>
      </c>
      <c r="F7" s="2" t="s">
        <v>30</v>
      </c>
      <c r="G7" s="2">
        <v>0.0</v>
      </c>
      <c r="I7" s="2">
        <v>0.0</v>
      </c>
      <c r="K7" s="2">
        <v>0.0</v>
      </c>
      <c r="L7" s="2">
        <v>0.0</v>
      </c>
      <c r="M7" s="2" t="s">
        <v>36</v>
      </c>
      <c r="N7" s="2">
        <v>0.9944</v>
      </c>
      <c r="O7" s="2">
        <v>1.0E-4</v>
      </c>
      <c r="P7" s="2">
        <v>5.7173</v>
      </c>
      <c r="Q7" s="2">
        <v>14.4366</v>
      </c>
      <c r="R7" s="2">
        <v>0.1955</v>
      </c>
      <c r="S7" s="2">
        <v>2727.649902</v>
      </c>
      <c r="T7" s="2">
        <v>66.0</v>
      </c>
      <c r="V7" s="2">
        <f t="shared" si="2"/>
        <v>529.414853</v>
      </c>
      <c r="W7" s="2">
        <f t="shared" si="3"/>
        <v>2.148749226</v>
      </c>
      <c r="X7" s="2">
        <f t="shared" si="4"/>
        <v>2.048698911</v>
      </c>
      <c r="Y7" s="2">
        <f t="shared" ref="Y7:Z7" si="10">_xlfn.NORM.S.DIST(W7)</f>
        <v>0.9841728579</v>
      </c>
      <c r="Z7" s="2">
        <f t="shared" si="10"/>
        <v>0.9797542171</v>
      </c>
      <c r="AA7" s="2">
        <f t="shared" si="6"/>
        <v>0</v>
      </c>
    </row>
    <row r="8" ht="14.25" customHeight="1">
      <c r="A8" s="2" t="s">
        <v>115</v>
      </c>
      <c r="B8" s="2" t="s">
        <v>116</v>
      </c>
      <c r="C8" s="2" t="s">
        <v>109</v>
      </c>
      <c r="D8" s="2" t="s">
        <v>29</v>
      </c>
      <c r="E8" s="2">
        <v>2200.0</v>
      </c>
      <c r="F8" s="2" t="s">
        <v>30</v>
      </c>
      <c r="G8" s="2">
        <v>0.0</v>
      </c>
      <c r="I8" s="2">
        <v>0.0</v>
      </c>
      <c r="K8" s="2">
        <v>0.0</v>
      </c>
      <c r="L8" s="2">
        <v>0.0</v>
      </c>
      <c r="M8" s="2" t="s">
        <v>37</v>
      </c>
      <c r="N8" s="2">
        <v>0.9889</v>
      </c>
      <c r="O8" s="2">
        <v>1.0E-4</v>
      </c>
      <c r="P8" s="2">
        <v>17.2475</v>
      </c>
      <c r="Q8" s="2">
        <v>26.5984</v>
      </c>
      <c r="R8" s="2">
        <v>0.2229</v>
      </c>
      <c r="S8" s="2">
        <v>2744.179932</v>
      </c>
      <c r="T8" s="2">
        <v>65.0</v>
      </c>
      <c r="V8" s="2">
        <f t="shared" si="2"/>
        <v>547.2125956</v>
      </c>
      <c r="W8" s="2">
        <f t="shared" si="3"/>
        <v>1.952426826</v>
      </c>
      <c r="X8" s="2">
        <f t="shared" si="4"/>
        <v>1.8392216</v>
      </c>
      <c r="Y8" s="2">
        <f t="shared" ref="Y8:Z8" si="11">_xlfn.NORM.S.DIST(W8)</f>
        <v>0.9745562246</v>
      </c>
      <c r="Z8" s="2">
        <f t="shared" si="11"/>
        <v>0.9670587005</v>
      </c>
      <c r="AA8" s="2">
        <f t="shared" si="6"/>
        <v>0</v>
      </c>
    </row>
    <row r="9" ht="14.25" customHeight="1">
      <c r="A9" s="2" t="s">
        <v>115</v>
      </c>
      <c r="B9" s="2" t="s">
        <v>116</v>
      </c>
      <c r="C9" s="2" t="s">
        <v>109</v>
      </c>
      <c r="D9" s="2" t="s">
        <v>29</v>
      </c>
      <c r="E9" s="2">
        <v>2200.0</v>
      </c>
      <c r="F9" s="2" t="s">
        <v>30</v>
      </c>
      <c r="G9" s="2">
        <v>0.0</v>
      </c>
      <c r="I9" s="2">
        <v>0.0</v>
      </c>
      <c r="K9" s="2">
        <v>0.0</v>
      </c>
      <c r="L9" s="2">
        <v>0.0</v>
      </c>
      <c r="M9" s="2" t="s">
        <v>38</v>
      </c>
      <c r="N9" s="2">
        <v>0.9905</v>
      </c>
      <c r="O9" s="2">
        <v>1.0E-4</v>
      </c>
      <c r="P9" s="2">
        <v>20.1636</v>
      </c>
      <c r="Q9" s="2">
        <v>21.9265</v>
      </c>
      <c r="R9" s="2">
        <v>0.2189</v>
      </c>
      <c r="S9" s="2">
        <v>2748.26001</v>
      </c>
      <c r="T9" s="2">
        <v>64.0</v>
      </c>
      <c r="V9" s="2">
        <f t="shared" si="2"/>
        <v>550.814312</v>
      </c>
      <c r="W9" s="2">
        <f t="shared" si="3"/>
        <v>2.017043573</v>
      </c>
      <c r="X9" s="2">
        <f t="shared" si="4"/>
        <v>1.906728342</v>
      </c>
      <c r="Y9" s="2">
        <f t="shared" ref="Y9:Z9" si="12">_xlfn.NORM.S.DIST(W9)</f>
        <v>0.9781545168</v>
      </c>
      <c r="Z9" s="2">
        <f t="shared" si="12"/>
        <v>0.9717221126</v>
      </c>
      <c r="AA9" s="2">
        <f t="shared" si="6"/>
        <v>0</v>
      </c>
    </row>
    <row r="10" ht="14.25" customHeight="1">
      <c r="A10" s="2" t="s">
        <v>115</v>
      </c>
      <c r="B10" s="2" t="s">
        <v>116</v>
      </c>
      <c r="C10" s="2" t="s">
        <v>109</v>
      </c>
      <c r="D10" s="2" t="s">
        <v>29</v>
      </c>
      <c r="E10" s="2">
        <v>2200.0</v>
      </c>
      <c r="F10" s="2" t="s">
        <v>30</v>
      </c>
      <c r="G10" s="2">
        <v>0.0</v>
      </c>
      <c r="I10" s="2">
        <v>0.0</v>
      </c>
      <c r="K10" s="2">
        <v>0.0</v>
      </c>
      <c r="L10" s="2">
        <v>0.0</v>
      </c>
      <c r="M10" s="2" t="s">
        <v>39</v>
      </c>
      <c r="N10" s="2">
        <v>0.9912</v>
      </c>
      <c r="O10" s="2">
        <v>1.0E-4</v>
      </c>
      <c r="P10" s="2">
        <v>20.904</v>
      </c>
      <c r="Q10" s="2">
        <v>19.8429</v>
      </c>
      <c r="R10" s="2">
        <v>0.217</v>
      </c>
      <c r="S10" s="2">
        <v>2735.699951</v>
      </c>
      <c r="T10" s="2">
        <v>61.0</v>
      </c>
      <c r="V10" s="2">
        <f t="shared" si="2"/>
        <v>538.0305613</v>
      </c>
      <c r="W10" s="2">
        <f t="shared" si="3"/>
        <v>2.041232953</v>
      </c>
      <c r="X10" s="2">
        <f t="shared" si="4"/>
        <v>1.934469065</v>
      </c>
      <c r="Y10" s="2">
        <f t="shared" ref="Y10:Z10" si="13">_xlfn.NORM.S.DIST(W10)</f>
        <v>0.9793861611</v>
      </c>
      <c r="Z10" s="2">
        <f t="shared" si="13"/>
        <v>0.973472259</v>
      </c>
      <c r="AA10" s="2">
        <f t="shared" si="6"/>
        <v>0</v>
      </c>
    </row>
    <row r="11" ht="14.25" customHeight="1">
      <c r="A11" s="2" t="s">
        <v>115</v>
      </c>
      <c r="B11" s="2" t="s">
        <v>116</v>
      </c>
      <c r="C11" s="2" t="s">
        <v>109</v>
      </c>
      <c r="D11" s="2" t="s">
        <v>29</v>
      </c>
      <c r="E11" s="2">
        <v>2200.0</v>
      </c>
      <c r="F11" s="2" t="s">
        <v>30</v>
      </c>
      <c r="G11" s="2">
        <v>0.0</v>
      </c>
      <c r="I11" s="2">
        <v>0.0</v>
      </c>
      <c r="K11" s="2">
        <v>0.0</v>
      </c>
      <c r="L11" s="2">
        <v>0.0</v>
      </c>
      <c r="M11" s="2" t="s">
        <v>40</v>
      </c>
      <c r="N11" s="2">
        <v>0.989</v>
      </c>
      <c r="O11" s="2">
        <v>1.0E-4</v>
      </c>
      <c r="P11" s="2">
        <v>16.3749</v>
      </c>
      <c r="Q11" s="2">
        <v>25.4865</v>
      </c>
      <c r="R11" s="2">
        <v>0.2241</v>
      </c>
      <c r="S11" s="2">
        <v>2722.97998</v>
      </c>
      <c r="T11" s="2">
        <v>60.0</v>
      </c>
      <c r="V11" s="2">
        <f t="shared" si="2"/>
        <v>525.8992357</v>
      </c>
      <c r="W11" s="2">
        <f t="shared" si="3"/>
        <v>1.950345451</v>
      </c>
      <c r="X11" s="2">
        <f t="shared" si="4"/>
        <v>1.840995848</v>
      </c>
      <c r="Y11" s="2">
        <f t="shared" ref="Y11:Z11" si="14">_xlfn.NORM.S.DIST(W11)</f>
        <v>0.9744325206</v>
      </c>
      <c r="Z11" s="2">
        <f t="shared" si="14"/>
        <v>0.9671889164</v>
      </c>
      <c r="AA11" s="2">
        <f t="shared" si="6"/>
        <v>0</v>
      </c>
    </row>
    <row r="12" ht="14.25" customHeight="1">
      <c r="A12" s="2" t="s">
        <v>115</v>
      </c>
      <c r="B12" s="2" t="s">
        <v>116</v>
      </c>
      <c r="C12" s="2" t="s">
        <v>109</v>
      </c>
      <c r="D12" s="2" t="s">
        <v>29</v>
      </c>
      <c r="E12" s="2">
        <v>2200.0</v>
      </c>
      <c r="F12" s="2" t="s">
        <v>30</v>
      </c>
      <c r="G12" s="2">
        <v>0.0</v>
      </c>
      <c r="I12" s="2">
        <v>0.0</v>
      </c>
      <c r="K12" s="2">
        <v>0.0</v>
      </c>
      <c r="L12" s="2">
        <v>0.0</v>
      </c>
      <c r="M12" s="2" t="s">
        <v>41</v>
      </c>
      <c r="N12" s="2">
        <v>0.9936</v>
      </c>
      <c r="O12" s="2">
        <v>1.0E-4</v>
      </c>
      <c r="P12" s="2">
        <v>25.6848</v>
      </c>
      <c r="Q12" s="2">
        <v>12.8623</v>
      </c>
      <c r="R12" s="2">
        <v>0.2065</v>
      </c>
      <c r="S12" s="2">
        <v>2734.72998</v>
      </c>
      <c r="T12" s="2">
        <v>59.0</v>
      </c>
      <c r="V12" s="2">
        <f t="shared" si="2"/>
        <v>536.3467148</v>
      </c>
      <c r="W12" s="2">
        <f t="shared" si="3"/>
        <v>2.177528689</v>
      </c>
      <c r="X12" s="2">
        <f t="shared" si="4"/>
        <v>2.077610215</v>
      </c>
      <c r="Y12" s="2">
        <f t="shared" ref="Y12:Z12" si="15">_xlfn.NORM.S.DIST(W12)</f>
        <v>0.9852794282</v>
      </c>
      <c r="Z12" s="2">
        <f t="shared" si="15"/>
        <v>0.9811273627</v>
      </c>
      <c r="AA12" s="2">
        <f t="shared" si="6"/>
        <v>0</v>
      </c>
    </row>
    <row r="13" ht="14.25" customHeight="1">
      <c r="A13" s="2" t="s">
        <v>115</v>
      </c>
      <c r="B13" s="2" t="s">
        <v>116</v>
      </c>
      <c r="C13" s="2" t="s">
        <v>109</v>
      </c>
      <c r="D13" s="2" t="s">
        <v>29</v>
      </c>
      <c r="E13" s="2">
        <v>2200.0</v>
      </c>
      <c r="F13" s="2" t="s">
        <v>30</v>
      </c>
      <c r="G13" s="2">
        <v>0.0</v>
      </c>
      <c r="I13" s="2">
        <v>0.0</v>
      </c>
      <c r="K13" s="2">
        <v>0.0</v>
      </c>
      <c r="L13" s="2">
        <v>0.0</v>
      </c>
      <c r="M13" s="2" t="s">
        <v>42</v>
      </c>
      <c r="N13" s="2">
        <v>0.9922</v>
      </c>
      <c r="O13" s="2">
        <v>1.0E-4</v>
      </c>
      <c r="P13" s="2">
        <v>21.7167</v>
      </c>
      <c r="Q13" s="2">
        <v>17.1389</v>
      </c>
      <c r="R13" s="2">
        <v>0.2225</v>
      </c>
      <c r="S13" s="2">
        <v>2747.149902</v>
      </c>
      <c r="T13" s="2">
        <v>58.0</v>
      </c>
      <c r="V13" s="2">
        <f t="shared" si="2"/>
        <v>549.2651966</v>
      </c>
      <c r="W13" s="2">
        <f t="shared" si="3"/>
        <v>2.080739687</v>
      </c>
      <c r="X13" s="2">
        <f t="shared" si="4"/>
        <v>1.973995621</v>
      </c>
      <c r="Y13" s="2">
        <f t="shared" ref="Y13:Z13" si="16">_xlfn.NORM.S.DIST(W13)</f>
        <v>0.9812711303</v>
      </c>
      <c r="Z13" s="2">
        <f t="shared" si="16"/>
        <v>0.9758088796</v>
      </c>
      <c r="AA13" s="2">
        <f t="shared" si="6"/>
        <v>0</v>
      </c>
    </row>
    <row r="14" ht="14.25" customHeight="1">
      <c r="A14" s="2" t="s">
        <v>115</v>
      </c>
      <c r="B14" s="2" t="s">
        <v>116</v>
      </c>
      <c r="C14" s="2" t="s">
        <v>109</v>
      </c>
      <c r="D14" s="2" t="s">
        <v>29</v>
      </c>
      <c r="E14" s="2">
        <v>2200.0</v>
      </c>
      <c r="F14" s="2" t="s">
        <v>30</v>
      </c>
      <c r="G14" s="2">
        <v>0.0</v>
      </c>
      <c r="I14" s="2">
        <v>0.0</v>
      </c>
      <c r="K14" s="2">
        <v>0.0</v>
      </c>
      <c r="L14" s="2">
        <v>0.0</v>
      </c>
      <c r="M14" s="2" t="s">
        <v>43</v>
      </c>
      <c r="N14" s="2">
        <v>1.0</v>
      </c>
      <c r="O14" s="2">
        <v>0.0</v>
      </c>
      <c r="P14" s="2">
        <v>-6.6772</v>
      </c>
      <c r="Q14" s="2">
        <v>0.0439</v>
      </c>
      <c r="R14" s="2">
        <v>0.1321</v>
      </c>
      <c r="S14" s="2">
        <v>2743.23999</v>
      </c>
      <c r="T14" s="2">
        <v>57.0</v>
      </c>
      <c r="V14" s="2">
        <f t="shared" si="2"/>
        <v>543.5967103</v>
      </c>
      <c r="W14" s="2">
        <f t="shared" si="3"/>
        <v>3.512591163</v>
      </c>
      <c r="X14" s="2">
        <f t="shared" si="4"/>
        <v>3.449765081</v>
      </c>
      <c r="Y14" s="2">
        <f t="shared" ref="Y14:Z14" si="17">_xlfn.NORM.S.DIST(W14)</f>
        <v>0.9997781201</v>
      </c>
      <c r="Z14" s="2">
        <f t="shared" si="17"/>
        <v>0.9997194627</v>
      </c>
      <c r="AA14" s="2">
        <f t="shared" si="6"/>
        <v>0</v>
      </c>
    </row>
    <row r="15" ht="14.25" customHeight="1">
      <c r="A15" s="2" t="s">
        <v>115</v>
      </c>
      <c r="B15" s="2" t="s">
        <v>116</v>
      </c>
      <c r="C15" s="2" t="s">
        <v>109</v>
      </c>
      <c r="D15" s="2" t="s">
        <v>29</v>
      </c>
      <c r="E15" s="2">
        <v>2200.0</v>
      </c>
      <c r="F15" s="2" t="s">
        <v>30</v>
      </c>
      <c r="G15" s="2">
        <v>544.1</v>
      </c>
      <c r="I15" s="2">
        <v>549.0</v>
      </c>
      <c r="K15" s="2">
        <v>0.0</v>
      </c>
      <c r="L15" s="2">
        <v>0.0</v>
      </c>
      <c r="M15" s="2" t="s">
        <v>44</v>
      </c>
      <c r="N15" s="2">
        <v>0.9611</v>
      </c>
      <c r="O15" s="2">
        <v>2.0E-4</v>
      </c>
      <c r="P15" s="2">
        <v>-62.0593</v>
      </c>
      <c r="Q15" s="2">
        <v>83.3019</v>
      </c>
      <c r="R15" s="2">
        <v>0.3363</v>
      </c>
      <c r="S15" s="2">
        <v>2746.189941</v>
      </c>
      <c r="T15" s="2">
        <v>53.0</v>
      </c>
      <c r="V15" s="2">
        <f t="shared" si="2"/>
        <v>559.0646912</v>
      </c>
      <c r="W15" s="2">
        <f t="shared" si="3"/>
        <v>1.437848175</v>
      </c>
      <c r="X15" s="2">
        <f t="shared" si="4"/>
        <v>1.283619712</v>
      </c>
      <c r="Y15" s="2">
        <f t="shared" ref="Y15:Z15" si="18">_xlfn.NORM.S.DIST(W15)</f>
        <v>0.9247614315</v>
      </c>
      <c r="Z15" s="2">
        <f t="shared" si="18"/>
        <v>0.9003624753</v>
      </c>
      <c r="AA15" s="2">
        <f t="shared" si="6"/>
        <v>546.55</v>
      </c>
    </row>
    <row r="16" ht="14.25" customHeight="1">
      <c r="A16" s="2" t="s">
        <v>115</v>
      </c>
      <c r="B16" s="2" t="s">
        <v>116</v>
      </c>
      <c r="C16" s="2" t="s">
        <v>109</v>
      </c>
      <c r="D16" s="2" t="s">
        <v>29</v>
      </c>
      <c r="E16" s="2">
        <v>2200.0</v>
      </c>
      <c r="F16" s="2" t="s">
        <v>30</v>
      </c>
      <c r="G16" s="2">
        <v>555.0</v>
      </c>
      <c r="I16" s="2">
        <v>562.0</v>
      </c>
      <c r="K16" s="2">
        <v>0.0</v>
      </c>
      <c r="L16" s="2">
        <v>0.0</v>
      </c>
      <c r="M16" s="2" t="s">
        <v>45</v>
      </c>
      <c r="N16" s="2">
        <v>0.9952</v>
      </c>
      <c r="O16" s="2">
        <v>0.0</v>
      </c>
      <c r="P16" s="2">
        <v>32.8436</v>
      </c>
      <c r="Q16" s="2">
        <v>8.0738</v>
      </c>
      <c r="R16" s="2">
        <v>0.2177</v>
      </c>
      <c r="S16" s="2">
        <v>2762.169922</v>
      </c>
      <c r="T16" s="2">
        <v>52.0</v>
      </c>
      <c r="V16" s="2">
        <f t="shared" si="2"/>
        <v>563.3630851</v>
      </c>
      <c r="W16" s="2">
        <f t="shared" si="3"/>
        <v>2.301095244</v>
      </c>
      <c r="X16" s="2">
        <f t="shared" si="4"/>
        <v>2.202203546</v>
      </c>
      <c r="Y16" s="2">
        <f t="shared" ref="Y16:Z16" si="19">_xlfn.NORM.S.DIST(W16)</f>
        <v>0.9893068759</v>
      </c>
      <c r="Z16" s="2">
        <f t="shared" si="19"/>
        <v>0.9861745332</v>
      </c>
      <c r="AA16" s="2">
        <f t="shared" si="6"/>
        <v>558.5</v>
      </c>
    </row>
    <row r="17" ht="14.25" customHeight="1">
      <c r="A17" s="2" t="s">
        <v>115</v>
      </c>
      <c r="B17" s="2" t="s">
        <v>116</v>
      </c>
      <c r="C17" s="2" t="s">
        <v>109</v>
      </c>
      <c r="D17" s="2" t="s">
        <v>29</v>
      </c>
      <c r="E17" s="2">
        <v>2200.0</v>
      </c>
      <c r="F17" s="2" t="s">
        <v>30</v>
      </c>
      <c r="G17" s="2">
        <v>0.0</v>
      </c>
      <c r="I17" s="2">
        <v>0.0</v>
      </c>
      <c r="K17" s="2">
        <v>0.0</v>
      </c>
      <c r="L17" s="2">
        <v>0.0</v>
      </c>
      <c r="M17" s="2" t="s">
        <v>46</v>
      </c>
      <c r="N17" s="2">
        <v>0.9932</v>
      </c>
      <c r="O17" s="2">
        <v>1.0E-4</v>
      </c>
      <c r="P17" s="2">
        <v>27.758</v>
      </c>
      <c r="Q17" s="2">
        <v>13.2288</v>
      </c>
      <c r="R17" s="2">
        <v>0.2215</v>
      </c>
      <c r="S17" s="2">
        <v>2723.530029</v>
      </c>
      <c r="T17" s="2">
        <v>51.0</v>
      </c>
      <c r="V17" s="2">
        <f t="shared" si="2"/>
        <v>525.223519</v>
      </c>
      <c r="W17" s="2">
        <f t="shared" si="3"/>
        <v>2.14230509</v>
      </c>
      <c r="X17" s="2">
        <f t="shared" si="4"/>
        <v>2.042659393</v>
      </c>
      <c r="Y17" s="2">
        <f t="shared" ref="Y17:Z17" si="20">_xlfn.NORM.S.DIST(W17)</f>
        <v>0.9839155302</v>
      </c>
      <c r="Z17" s="2">
        <f t="shared" si="20"/>
        <v>0.9794569164</v>
      </c>
      <c r="AA17" s="2">
        <f t="shared" si="6"/>
        <v>0</v>
      </c>
    </row>
    <row r="18" ht="14.25" customHeight="1">
      <c r="A18" s="2" t="s">
        <v>115</v>
      </c>
      <c r="B18" s="2" t="s">
        <v>116</v>
      </c>
      <c r="C18" s="2" t="s">
        <v>109</v>
      </c>
      <c r="D18" s="2" t="s">
        <v>29</v>
      </c>
      <c r="E18" s="2">
        <v>2200.0</v>
      </c>
      <c r="F18" s="2" t="s">
        <v>30</v>
      </c>
      <c r="G18" s="2">
        <v>0.0</v>
      </c>
      <c r="I18" s="2">
        <v>0.0</v>
      </c>
      <c r="K18" s="2">
        <v>0.0</v>
      </c>
      <c r="L18" s="2">
        <v>0.0</v>
      </c>
      <c r="M18" s="2" t="s">
        <v>47</v>
      </c>
      <c r="N18" s="2">
        <v>0.9969</v>
      </c>
      <c r="O18" s="2">
        <v>0.0</v>
      </c>
      <c r="P18" s="2">
        <v>35.2915</v>
      </c>
      <c r="Q18" s="2">
        <v>3.0174</v>
      </c>
      <c r="R18" s="2">
        <v>0.1905</v>
      </c>
      <c r="S18" s="2">
        <v>2736.72998</v>
      </c>
      <c r="T18" s="2">
        <v>50.0</v>
      </c>
      <c r="V18" s="2">
        <f t="shared" si="2"/>
        <v>537.3627529</v>
      </c>
      <c r="W18" s="2">
        <f t="shared" si="3"/>
        <v>2.57268595</v>
      </c>
      <c r="X18" s="2">
        <f t="shared" si="4"/>
        <v>2.487830506</v>
      </c>
      <c r="Y18" s="2">
        <f t="shared" ref="Y18:Z18" si="21">_xlfn.NORM.S.DIST(W18)</f>
        <v>0.9949543635</v>
      </c>
      <c r="Z18" s="2">
        <f t="shared" si="21"/>
        <v>0.9935737515</v>
      </c>
      <c r="AA18" s="2">
        <f t="shared" si="6"/>
        <v>0</v>
      </c>
    </row>
    <row r="19" ht="14.25" customHeight="1">
      <c r="A19" s="2" t="s">
        <v>115</v>
      </c>
      <c r="B19" s="2" t="s">
        <v>116</v>
      </c>
      <c r="C19" s="2" t="s">
        <v>109</v>
      </c>
      <c r="D19" s="2" t="s">
        <v>29</v>
      </c>
      <c r="E19" s="2">
        <v>2200.0</v>
      </c>
      <c r="F19" s="2" t="s">
        <v>30</v>
      </c>
      <c r="G19" s="2">
        <v>0.0</v>
      </c>
      <c r="I19" s="2">
        <v>0.0</v>
      </c>
      <c r="K19" s="2">
        <v>0.0</v>
      </c>
      <c r="L19" s="2">
        <v>0.0</v>
      </c>
      <c r="M19" s="2" t="s">
        <v>48</v>
      </c>
      <c r="N19" s="2">
        <v>0.9978</v>
      </c>
      <c r="O19" s="2">
        <v>0.0</v>
      </c>
      <c r="P19" s="2">
        <v>35.4465</v>
      </c>
      <c r="Q19" s="2">
        <v>0.8367</v>
      </c>
      <c r="R19" s="2">
        <v>0.1768</v>
      </c>
      <c r="S19" s="2">
        <v>2742.429932</v>
      </c>
      <c r="T19" s="2">
        <v>47.0</v>
      </c>
      <c r="V19" s="2">
        <f t="shared" si="2"/>
        <v>542.8219039</v>
      </c>
      <c r="W19" s="2">
        <f t="shared" si="3"/>
        <v>2.88639033</v>
      </c>
      <c r="X19" s="2">
        <f t="shared" si="4"/>
        <v>2.810036483</v>
      </c>
      <c r="Y19" s="2">
        <f t="shared" ref="Y19:Z19" si="22">_xlfn.NORM.S.DIST(W19)</f>
        <v>0.9980515573</v>
      </c>
      <c r="Z19" s="2">
        <f t="shared" si="22"/>
        <v>0.9975232058</v>
      </c>
      <c r="AA19" s="2">
        <f t="shared" si="6"/>
        <v>0</v>
      </c>
    </row>
    <row r="20" ht="14.25" customHeight="1">
      <c r="A20" s="2" t="s">
        <v>115</v>
      </c>
      <c r="B20" s="2" t="s">
        <v>116</v>
      </c>
      <c r="C20" s="2" t="s">
        <v>109</v>
      </c>
      <c r="D20" s="2" t="s">
        <v>29</v>
      </c>
      <c r="E20" s="2">
        <v>2200.0</v>
      </c>
      <c r="F20" s="2" t="s">
        <v>30</v>
      </c>
      <c r="G20" s="2">
        <v>0.0</v>
      </c>
      <c r="I20" s="2">
        <v>0.0</v>
      </c>
      <c r="K20" s="2">
        <v>0.0</v>
      </c>
      <c r="L20" s="2">
        <v>0.0</v>
      </c>
      <c r="M20" s="2" t="s">
        <v>49</v>
      </c>
      <c r="N20" s="2">
        <v>0.9974</v>
      </c>
      <c r="O20" s="2">
        <v>0.0</v>
      </c>
      <c r="P20" s="2">
        <v>34.15</v>
      </c>
      <c r="Q20" s="2">
        <v>2.158</v>
      </c>
      <c r="R20" s="2">
        <v>0.1953</v>
      </c>
      <c r="S20" s="2">
        <v>2743.580078</v>
      </c>
      <c r="T20" s="2">
        <v>46.0</v>
      </c>
      <c r="V20" s="2">
        <f t="shared" si="2"/>
        <v>544.115977</v>
      </c>
      <c r="W20" s="2">
        <f t="shared" si="3"/>
        <v>2.646248236</v>
      </c>
      <c r="X20" s="2">
        <f t="shared" si="4"/>
        <v>2.562806969</v>
      </c>
      <c r="Y20" s="2">
        <f t="shared" ref="Y20:Z20" si="23">_xlfn.NORM.S.DIST(W20)</f>
        <v>0.9959304967</v>
      </c>
      <c r="Z20" s="2">
        <f t="shared" si="23"/>
        <v>0.9948085121</v>
      </c>
      <c r="AA20" s="2">
        <f t="shared" si="6"/>
        <v>0</v>
      </c>
    </row>
    <row r="21" ht="14.25" customHeight="1">
      <c r="A21" s="2" t="s">
        <v>115</v>
      </c>
      <c r="B21" s="2" t="s">
        <v>116</v>
      </c>
      <c r="C21" s="2" t="s">
        <v>109</v>
      </c>
      <c r="D21" s="2" t="s">
        <v>29</v>
      </c>
      <c r="E21" s="2">
        <v>2200.0</v>
      </c>
      <c r="F21" s="2" t="s">
        <v>30</v>
      </c>
      <c r="G21" s="2">
        <v>533.2</v>
      </c>
      <c r="I21" s="2">
        <v>541.5</v>
      </c>
      <c r="K21" s="2">
        <v>0.0</v>
      </c>
      <c r="L21" s="2">
        <v>0.0</v>
      </c>
      <c r="M21" s="2" t="s">
        <v>50</v>
      </c>
      <c r="N21" s="2">
        <v>0.9962</v>
      </c>
      <c r="O21" s="2">
        <v>0.0</v>
      </c>
      <c r="P21" s="2">
        <v>30.0054</v>
      </c>
      <c r="Q21" s="2">
        <v>5.8453</v>
      </c>
      <c r="R21" s="2">
        <v>0.2189</v>
      </c>
      <c r="S21" s="2">
        <v>2738.709961</v>
      </c>
      <c r="T21" s="2">
        <v>45.0</v>
      </c>
      <c r="V21" s="2">
        <f t="shared" si="2"/>
        <v>539.6551604</v>
      </c>
      <c r="W21" s="2">
        <f t="shared" si="3"/>
        <v>2.367833308</v>
      </c>
      <c r="X21" s="2">
        <f t="shared" si="4"/>
        <v>2.275331175</v>
      </c>
      <c r="Y21" s="2">
        <f t="shared" ref="Y21:Z21" si="24">_xlfn.NORM.S.DIST(W21)</f>
        <v>0.9910537023</v>
      </c>
      <c r="Z21" s="2">
        <f t="shared" si="24"/>
        <v>0.9885569647</v>
      </c>
      <c r="AA21" s="2">
        <f t="shared" si="6"/>
        <v>537.35</v>
      </c>
    </row>
    <row r="22" ht="14.25" customHeight="1">
      <c r="A22" s="2" t="s">
        <v>115</v>
      </c>
      <c r="B22" s="2" t="s">
        <v>116</v>
      </c>
      <c r="C22" s="2" t="s">
        <v>109</v>
      </c>
      <c r="D22" s="2" t="s">
        <v>29</v>
      </c>
      <c r="E22" s="2">
        <v>2200.0</v>
      </c>
      <c r="F22" s="2" t="s">
        <v>30</v>
      </c>
      <c r="G22" s="2">
        <v>527.3</v>
      </c>
      <c r="I22" s="2">
        <v>531.5</v>
      </c>
      <c r="K22" s="2">
        <v>0.0</v>
      </c>
      <c r="L22" s="2">
        <v>0.0</v>
      </c>
      <c r="M22" s="2" t="s">
        <v>51</v>
      </c>
      <c r="N22" s="2">
        <v>0.9942</v>
      </c>
      <c r="O22" s="2">
        <v>1.0E-4</v>
      </c>
      <c r="P22" s="2">
        <v>23.101</v>
      </c>
      <c r="Q22" s="2">
        <v>11.2391</v>
      </c>
      <c r="R22" s="2">
        <v>0.2393</v>
      </c>
      <c r="S22" s="2">
        <v>2731.530029</v>
      </c>
      <c r="T22" s="2">
        <v>44.0</v>
      </c>
      <c r="V22" s="2">
        <f t="shared" si="2"/>
        <v>533.1053594</v>
      </c>
      <c r="W22" s="2">
        <f t="shared" si="3"/>
        <v>2.164201059</v>
      </c>
      <c r="X22" s="2">
        <f t="shared" si="4"/>
        <v>2.064208251</v>
      </c>
      <c r="Y22" s="2">
        <f t="shared" ref="Y22:Z22" si="25">_xlfn.NORM.S.DIST(W22)</f>
        <v>0.984775539</v>
      </c>
      <c r="Z22" s="2">
        <f t="shared" si="25"/>
        <v>0.9805010122</v>
      </c>
      <c r="AA22" s="2">
        <f t="shared" si="6"/>
        <v>529.4</v>
      </c>
    </row>
    <row r="23" ht="14.25" customHeight="1">
      <c r="A23" s="2" t="s">
        <v>115</v>
      </c>
      <c r="B23" s="2" t="s">
        <v>116</v>
      </c>
      <c r="C23" s="2" t="s">
        <v>110</v>
      </c>
      <c r="D23" s="2" t="s">
        <v>29</v>
      </c>
      <c r="E23" s="2">
        <v>2200.0</v>
      </c>
      <c r="F23" s="2" t="s">
        <v>30</v>
      </c>
      <c r="G23" s="2">
        <v>0.0</v>
      </c>
      <c r="I23" s="2">
        <v>0.0</v>
      </c>
      <c r="K23" s="2">
        <v>0.0</v>
      </c>
      <c r="L23" s="2">
        <v>0.0</v>
      </c>
      <c r="M23" s="2" t="s">
        <v>53</v>
      </c>
      <c r="N23" s="2">
        <v>0.9983</v>
      </c>
      <c r="O23" s="2">
        <v>0.0</v>
      </c>
      <c r="P23" s="2">
        <v>35.0882</v>
      </c>
      <c r="Q23" s="2">
        <v>0.0284</v>
      </c>
      <c r="R23" s="2">
        <v>0.1538</v>
      </c>
      <c r="S23" s="2">
        <v>2763.959961</v>
      </c>
      <c r="T23" s="2">
        <v>43.0</v>
      </c>
      <c r="V23" s="2">
        <f t="shared" si="2"/>
        <v>564.2289409</v>
      </c>
      <c r="W23" s="2">
        <f t="shared" si="3"/>
        <v>3.592020299</v>
      </c>
      <c r="X23" s="2">
        <f t="shared" si="4"/>
        <v>3.528488626</v>
      </c>
      <c r="Y23" s="2">
        <f t="shared" ref="Y23:Z23" si="26">_xlfn.NORM.S.DIST(W23)</f>
        <v>0.9998359379</v>
      </c>
      <c r="Z23" s="2">
        <f t="shared" si="26"/>
        <v>0.99979103</v>
      </c>
      <c r="AA23" s="2">
        <f t="shared" si="6"/>
        <v>0</v>
      </c>
    </row>
    <row r="24" ht="14.25" customHeight="1">
      <c r="A24" s="2" t="s">
        <v>115</v>
      </c>
      <c r="B24" s="2" t="s">
        <v>116</v>
      </c>
      <c r="C24" s="2" t="s">
        <v>110</v>
      </c>
      <c r="D24" s="2" t="s">
        <v>29</v>
      </c>
      <c r="E24" s="2">
        <v>2200.0</v>
      </c>
      <c r="F24" s="2" t="s">
        <v>30</v>
      </c>
      <c r="G24" s="2">
        <v>0.0</v>
      </c>
      <c r="I24" s="2">
        <v>0.0</v>
      </c>
      <c r="K24" s="2">
        <v>0.0</v>
      </c>
      <c r="L24" s="2">
        <v>0.0</v>
      </c>
      <c r="M24" s="2" t="s">
        <v>54</v>
      </c>
      <c r="N24" s="2">
        <v>0.9981</v>
      </c>
      <c r="O24" s="2">
        <v>0.0</v>
      </c>
      <c r="P24" s="2">
        <v>32.3688</v>
      </c>
      <c r="Q24" s="2">
        <v>1.1525</v>
      </c>
      <c r="R24" s="2">
        <v>0.1901</v>
      </c>
      <c r="S24" s="2">
        <v>2715.679932</v>
      </c>
      <c r="T24" s="2">
        <v>40.0</v>
      </c>
      <c r="V24" s="2">
        <f t="shared" si="2"/>
        <v>516.0726725</v>
      </c>
      <c r="W24" s="2">
        <f t="shared" si="3"/>
        <v>2.78045317</v>
      </c>
      <c r="X24" s="2">
        <f t="shared" si="4"/>
        <v>2.704715517</v>
      </c>
      <c r="Y24" s="2">
        <f t="shared" ref="Y24:Z24" si="27">_xlfn.NORM.S.DIST(W24)</f>
        <v>0.9972858456</v>
      </c>
      <c r="Z24" s="2">
        <f t="shared" si="27"/>
        <v>0.9965818546</v>
      </c>
      <c r="AA24" s="2">
        <f t="shared" si="6"/>
        <v>0</v>
      </c>
    </row>
    <row r="25" ht="14.25" customHeight="1">
      <c r="A25" s="2" t="s">
        <v>115</v>
      </c>
      <c r="B25" s="2" t="s">
        <v>116</v>
      </c>
      <c r="C25" s="2" t="s">
        <v>110</v>
      </c>
      <c r="D25" s="2" t="s">
        <v>29</v>
      </c>
      <c r="E25" s="2">
        <v>2200.0</v>
      </c>
      <c r="F25" s="2" t="s">
        <v>30</v>
      </c>
      <c r="G25" s="2">
        <v>0.0</v>
      </c>
      <c r="I25" s="2">
        <v>0.0</v>
      </c>
      <c r="K25" s="2">
        <v>0.0</v>
      </c>
      <c r="L25" s="2">
        <v>0.0</v>
      </c>
      <c r="M25" s="2" t="s">
        <v>55</v>
      </c>
      <c r="N25" s="2">
        <v>0.9985</v>
      </c>
      <c r="O25" s="2">
        <v>0.0</v>
      </c>
      <c r="P25" s="2">
        <v>33.0841</v>
      </c>
      <c r="Q25" s="2">
        <v>0.0874</v>
      </c>
      <c r="R25" s="2">
        <v>0.1705</v>
      </c>
      <c r="S25" s="2">
        <v>2754.98999</v>
      </c>
      <c r="T25" s="2">
        <v>39.0</v>
      </c>
      <c r="V25" s="2">
        <f t="shared" si="2"/>
        <v>555.2451442</v>
      </c>
      <c r="W25" s="2">
        <f t="shared" si="3"/>
        <v>3.353837614</v>
      </c>
      <c r="X25" s="2">
        <f t="shared" si="4"/>
        <v>3.286763273</v>
      </c>
      <c r="Y25" s="2">
        <f t="shared" ref="Y25:Z25" si="28">_xlfn.NORM.S.DIST(W25)</f>
        <v>0.9996015044</v>
      </c>
      <c r="Z25" s="2">
        <f t="shared" si="28"/>
        <v>0.99949327</v>
      </c>
      <c r="AA25" s="2">
        <f t="shared" si="6"/>
        <v>0</v>
      </c>
    </row>
    <row r="26" ht="14.25" customHeight="1">
      <c r="A26" s="2" t="s">
        <v>115</v>
      </c>
      <c r="B26" s="2" t="s">
        <v>116</v>
      </c>
      <c r="C26" s="2" t="s">
        <v>110</v>
      </c>
      <c r="D26" s="2" t="s">
        <v>29</v>
      </c>
      <c r="E26" s="2">
        <v>2200.0</v>
      </c>
      <c r="F26" s="2" t="s">
        <v>30</v>
      </c>
      <c r="G26" s="2">
        <v>0.0</v>
      </c>
      <c r="I26" s="2">
        <v>0.0</v>
      </c>
      <c r="K26" s="2">
        <v>0.0</v>
      </c>
      <c r="L26" s="2">
        <v>0.0</v>
      </c>
      <c r="M26" s="2" t="s">
        <v>56</v>
      </c>
      <c r="N26" s="2">
        <v>0.9985</v>
      </c>
      <c r="O26" s="2">
        <v>0.0</v>
      </c>
      <c r="P26" s="2">
        <v>32.9996</v>
      </c>
      <c r="Q26" s="2">
        <v>7.0E-4</v>
      </c>
      <c r="R26" s="2">
        <v>0.1354</v>
      </c>
      <c r="S26" s="2">
        <v>2746.350098</v>
      </c>
      <c r="T26" s="2">
        <v>38.0</v>
      </c>
      <c r="V26" s="2">
        <f t="shared" si="2"/>
        <v>546.5826443</v>
      </c>
      <c r="W26" s="2">
        <f t="shared" si="3"/>
        <v>4.218728398</v>
      </c>
      <c r="X26" s="2">
        <f t="shared" si="4"/>
        <v>4.166149656</v>
      </c>
      <c r="Y26" s="2">
        <f t="shared" ref="Y26:Z26" si="29">_xlfn.NORM.S.DIST(W26)</f>
        <v>0.9999877158</v>
      </c>
      <c r="Z26" s="2">
        <f t="shared" si="29"/>
        <v>0.9999845106</v>
      </c>
      <c r="AA26" s="2">
        <f t="shared" si="6"/>
        <v>0</v>
      </c>
    </row>
    <row r="27" ht="14.25" customHeight="1">
      <c r="A27" s="2" t="s">
        <v>115</v>
      </c>
      <c r="B27" s="2" t="s">
        <v>116</v>
      </c>
      <c r="C27" s="2" t="s">
        <v>110</v>
      </c>
      <c r="D27" s="2" t="s">
        <v>29</v>
      </c>
      <c r="E27" s="2">
        <v>2200.0</v>
      </c>
      <c r="F27" s="2" t="s">
        <v>30</v>
      </c>
      <c r="G27" s="2">
        <v>0.0</v>
      </c>
      <c r="I27" s="2">
        <v>0.0</v>
      </c>
      <c r="K27" s="2">
        <v>0.0</v>
      </c>
      <c r="L27" s="2">
        <v>0.0</v>
      </c>
      <c r="M27" s="2" t="s">
        <v>57</v>
      </c>
      <c r="N27" s="2">
        <v>0.9993</v>
      </c>
      <c r="O27" s="2">
        <v>0.0</v>
      </c>
      <c r="P27" s="2">
        <v>13.3029</v>
      </c>
      <c r="Q27" s="2">
        <v>0.0027</v>
      </c>
      <c r="R27" s="2">
        <v>0.1453</v>
      </c>
      <c r="S27" s="2">
        <v>2746.5</v>
      </c>
      <c r="T27" s="2">
        <v>37.0</v>
      </c>
      <c r="V27" s="2">
        <f t="shared" si="2"/>
        <v>546.7271262</v>
      </c>
      <c r="W27" s="2">
        <f t="shared" si="3"/>
        <v>3.985037419</v>
      </c>
      <c r="X27" s="2">
        <f t="shared" si="4"/>
        <v>3.929361652</v>
      </c>
      <c r="Y27" s="2">
        <f t="shared" ref="Y27:Z27" si="30">_xlfn.NORM.S.DIST(W27)</f>
        <v>0.9999662653</v>
      </c>
      <c r="Z27" s="2">
        <f t="shared" si="30"/>
        <v>0.9999574142</v>
      </c>
      <c r="AA27" s="2">
        <f t="shared" si="6"/>
        <v>0</v>
      </c>
    </row>
    <row r="28" ht="14.25" customHeight="1">
      <c r="A28" s="2" t="s">
        <v>115</v>
      </c>
      <c r="B28" s="2" t="s">
        <v>116</v>
      </c>
      <c r="C28" s="2" t="s">
        <v>110</v>
      </c>
      <c r="D28" s="2" t="s">
        <v>29</v>
      </c>
      <c r="E28" s="2">
        <v>2200.0</v>
      </c>
      <c r="F28" s="2" t="s">
        <v>30</v>
      </c>
      <c r="G28" s="2">
        <v>568.9</v>
      </c>
      <c r="I28" s="2">
        <v>575.4</v>
      </c>
      <c r="K28" s="2">
        <v>0.0</v>
      </c>
      <c r="L28" s="2">
        <v>0.0</v>
      </c>
      <c r="M28" s="2" t="s">
        <v>58</v>
      </c>
      <c r="N28" s="2">
        <v>0.9986</v>
      </c>
      <c r="O28" s="2">
        <v>0.0</v>
      </c>
      <c r="P28" s="2">
        <v>33.322</v>
      </c>
      <c r="Q28" s="2">
        <v>0.0247</v>
      </c>
      <c r="R28" s="2">
        <v>0.1712</v>
      </c>
      <c r="S28" s="2">
        <v>2775.560059</v>
      </c>
      <c r="T28" s="2">
        <v>36.0</v>
      </c>
      <c r="V28" s="2">
        <f t="shared" si="2"/>
        <v>575.786416</v>
      </c>
      <c r="W28" s="2">
        <f t="shared" si="3"/>
        <v>3.591471246</v>
      </c>
      <c r="X28" s="2">
        <f t="shared" si="4"/>
        <v>3.526763729</v>
      </c>
      <c r="Y28" s="2">
        <f t="shared" ref="Y28:Z28" si="31">_xlfn.NORM.S.DIST(W28)</f>
        <v>0.9998355918</v>
      </c>
      <c r="Z28" s="2">
        <f t="shared" si="31"/>
        <v>0.999789664</v>
      </c>
      <c r="AA28" s="2">
        <f t="shared" si="6"/>
        <v>572.15</v>
      </c>
    </row>
    <row r="29" ht="14.25" customHeight="1">
      <c r="A29" s="2" t="s">
        <v>115</v>
      </c>
      <c r="B29" s="2" t="s">
        <v>116</v>
      </c>
      <c r="C29" s="2" t="s">
        <v>110</v>
      </c>
      <c r="D29" s="2" t="s">
        <v>29</v>
      </c>
      <c r="E29" s="2">
        <v>2200.0</v>
      </c>
      <c r="F29" s="2" t="s">
        <v>30</v>
      </c>
      <c r="G29" s="2">
        <v>570.5</v>
      </c>
      <c r="I29" s="2">
        <v>574.5</v>
      </c>
      <c r="K29" s="2">
        <v>0.0</v>
      </c>
      <c r="L29" s="2">
        <v>0.0</v>
      </c>
      <c r="M29" s="2" t="s">
        <v>59</v>
      </c>
      <c r="N29" s="2">
        <v>0.9994</v>
      </c>
      <c r="O29" s="2">
        <v>0.0</v>
      </c>
      <c r="P29" s="2">
        <v>13.0673</v>
      </c>
      <c r="Q29" s="2">
        <v>8.0E-4</v>
      </c>
      <c r="R29" s="2">
        <v>0.1539</v>
      </c>
      <c r="S29" s="2">
        <v>2774.639893</v>
      </c>
      <c r="T29" s="2">
        <v>33.0</v>
      </c>
      <c r="V29" s="2">
        <f t="shared" si="2"/>
        <v>574.8420056</v>
      </c>
      <c r="W29" s="2">
        <f t="shared" si="3"/>
        <v>4.166887015</v>
      </c>
      <c r="X29" s="2">
        <f t="shared" si="4"/>
        <v>4.111194694</v>
      </c>
      <c r="Y29" s="2">
        <f t="shared" ref="Y29:Z29" si="32">_xlfn.NORM.S.DIST(W29)</f>
        <v>0.9999845606</v>
      </c>
      <c r="Z29" s="2">
        <f t="shared" si="32"/>
        <v>0.9999803191</v>
      </c>
      <c r="AA29" s="2">
        <f t="shared" si="6"/>
        <v>572.5</v>
      </c>
    </row>
    <row r="30" ht="14.25" customHeight="1">
      <c r="A30" s="2" t="s">
        <v>115</v>
      </c>
      <c r="B30" s="2" t="s">
        <v>116</v>
      </c>
      <c r="C30" s="2" t="s">
        <v>110</v>
      </c>
      <c r="D30" s="2" t="s">
        <v>29</v>
      </c>
      <c r="E30" s="2">
        <v>2200.0</v>
      </c>
      <c r="F30" s="2" t="s">
        <v>30</v>
      </c>
      <c r="G30" s="2">
        <v>560.6</v>
      </c>
      <c r="I30" s="2">
        <v>564.8</v>
      </c>
      <c r="K30" s="2">
        <v>0.0</v>
      </c>
      <c r="L30" s="2">
        <v>0.0</v>
      </c>
      <c r="M30" s="2" t="s">
        <v>60</v>
      </c>
      <c r="N30" s="2">
        <v>1.0</v>
      </c>
      <c r="O30" s="2">
        <v>0.0</v>
      </c>
      <c r="P30" s="2">
        <v>-6.4031</v>
      </c>
      <c r="Q30" s="2">
        <v>0.0136</v>
      </c>
      <c r="R30" s="2">
        <v>0.1743</v>
      </c>
      <c r="S30" s="2">
        <v>2762.620117</v>
      </c>
      <c r="T30" s="2">
        <v>32.0</v>
      </c>
      <c r="V30" s="2">
        <f t="shared" si="2"/>
        <v>562.8201561</v>
      </c>
      <c r="W30" s="2">
        <f t="shared" si="3"/>
        <v>3.666344244</v>
      </c>
      <c r="X30" s="2">
        <f t="shared" si="4"/>
        <v>3.604232732</v>
      </c>
      <c r="Y30" s="2">
        <f t="shared" ref="Y30:Z30" si="33">_xlfn.NORM.S.DIST(W30)</f>
        <v>0.9998769787</v>
      </c>
      <c r="Z30" s="2">
        <f t="shared" si="33"/>
        <v>0.9998434618</v>
      </c>
      <c r="AA30" s="2">
        <f t="shared" si="6"/>
        <v>562.7</v>
      </c>
    </row>
    <row r="31" ht="14.25" customHeight="1">
      <c r="A31" s="2" t="s">
        <v>115</v>
      </c>
      <c r="B31" s="2" t="s">
        <v>116</v>
      </c>
      <c r="C31" s="2" t="s">
        <v>110</v>
      </c>
      <c r="D31" s="2" t="s">
        <v>29</v>
      </c>
      <c r="E31" s="2">
        <v>2200.0</v>
      </c>
      <c r="F31" s="2" t="s">
        <v>30</v>
      </c>
      <c r="G31" s="2">
        <v>570.5</v>
      </c>
      <c r="I31" s="2">
        <v>574.9</v>
      </c>
      <c r="K31" s="2">
        <v>0.0</v>
      </c>
      <c r="L31" s="2">
        <v>0.0</v>
      </c>
      <c r="M31" s="2" t="s">
        <v>61</v>
      </c>
      <c r="N31" s="2">
        <v>0.9994</v>
      </c>
      <c r="O31" s="2">
        <v>0.0</v>
      </c>
      <c r="P31" s="2">
        <v>13.0373</v>
      </c>
      <c r="Q31" s="2">
        <v>0.0227</v>
      </c>
      <c r="R31" s="2">
        <v>0.1848</v>
      </c>
      <c r="S31" s="2">
        <v>2773.77002</v>
      </c>
      <c r="T31" s="2">
        <v>31.0</v>
      </c>
      <c r="V31" s="2">
        <f t="shared" si="2"/>
        <v>573.9662666</v>
      </c>
      <c r="W31" s="2">
        <f t="shared" si="3"/>
        <v>3.575504244</v>
      </c>
      <c r="X31" s="2">
        <f t="shared" si="4"/>
        <v>3.510688197</v>
      </c>
      <c r="Y31" s="2">
        <f t="shared" ref="Y31:Z31" si="34">_xlfn.NORM.S.DIST(W31)</f>
        <v>0.9998252232</v>
      </c>
      <c r="Z31" s="2">
        <f t="shared" si="34"/>
        <v>0.9997765258</v>
      </c>
      <c r="AA31" s="2">
        <f t="shared" si="6"/>
        <v>572.7</v>
      </c>
    </row>
    <row r="32" ht="14.25" customHeight="1">
      <c r="A32" s="2" t="s">
        <v>115</v>
      </c>
      <c r="B32" s="2" t="s">
        <v>116</v>
      </c>
      <c r="C32" s="2" t="s">
        <v>110</v>
      </c>
      <c r="D32" s="2" t="s">
        <v>29</v>
      </c>
      <c r="E32" s="2">
        <v>2200.0</v>
      </c>
      <c r="F32" s="2" t="s">
        <v>30</v>
      </c>
      <c r="G32" s="2">
        <v>566.5</v>
      </c>
      <c r="I32" s="2">
        <v>571.0</v>
      </c>
      <c r="K32" s="2">
        <v>0.0</v>
      </c>
      <c r="L32" s="2">
        <v>0.0</v>
      </c>
      <c r="M32" s="2" t="s">
        <v>62</v>
      </c>
      <c r="N32" s="2">
        <v>1.0</v>
      </c>
      <c r="O32" s="2">
        <v>0.0</v>
      </c>
      <c r="P32" s="2">
        <v>-6.3895</v>
      </c>
      <c r="Q32" s="2">
        <v>0.0</v>
      </c>
      <c r="R32" s="2">
        <v>0.1204</v>
      </c>
      <c r="S32" s="2">
        <v>2771.429932</v>
      </c>
      <c r="T32" s="2">
        <v>30.0</v>
      </c>
      <c r="V32" s="2">
        <f t="shared" si="2"/>
        <v>571.6132579</v>
      </c>
      <c r="W32" s="2">
        <f t="shared" si="3"/>
        <v>5.558382938</v>
      </c>
      <c r="X32" s="2">
        <f t="shared" si="4"/>
        <v>5.516840991</v>
      </c>
      <c r="Y32" s="2">
        <f t="shared" ref="Y32:Z32" si="35">_xlfn.NORM.S.DIST(W32)</f>
        <v>0.9999999864</v>
      </c>
      <c r="Z32" s="2">
        <f t="shared" si="35"/>
        <v>0.9999999827</v>
      </c>
      <c r="AA32" s="2">
        <f t="shared" si="6"/>
        <v>568.75</v>
      </c>
    </row>
    <row r="33" ht="14.25" customHeight="1">
      <c r="A33" s="2" t="s">
        <v>115</v>
      </c>
      <c r="B33" s="2" t="s">
        <v>116</v>
      </c>
      <c r="C33" s="2" t="s">
        <v>110</v>
      </c>
      <c r="D33" s="2" t="s">
        <v>29</v>
      </c>
      <c r="E33" s="2">
        <v>2200.0</v>
      </c>
      <c r="F33" s="2" t="s">
        <v>30</v>
      </c>
      <c r="G33" s="2">
        <v>561.1</v>
      </c>
      <c r="I33" s="2">
        <v>565.4</v>
      </c>
      <c r="K33" s="2">
        <v>0.0</v>
      </c>
      <c r="L33" s="2">
        <v>0.0</v>
      </c>
      <c r="M33" s="2" t="s">
        <v>63</v>
      </c>
      <c r="N33" s="2">
        <v>1.0</v>
      </c>
      <c r="O33" s="2">
        <v>0.0</v>
      </c>
      <c r="P33" s="2">
        <v>-6.3896</v>
      </c>
      <c r="Q33" s="2">
        <v>0.0</v>
      </c>
      <c r="R33" s="2">
        <v>0.1432</v>
      </c>
      <c r="S33" s="2">
        <v>2764.669922</v>
      </c>
      <c r="T33" s="2">
        <v>29.0</v>
      </c>
      <c r="V33" s="2">
        <f t="shared" si="2"/>
        <v>564.8471668</v>
      </c>
      <c r="W33" s="2">
        <f t="shared" si="3"/>
        <v>4.703009122</v>
      </c>
      <c r="X33" s="2">
        <f t="shared" si="4"/>
        <v>4.654430886</v>
      </c>
      <c r="Y33" s="2">
        <f t="shared" ref="Y33:Z33" si="36">_xlfn.NORM.S.DIST(W33)</f>
        <v>0.9999987182</v>
      </c>
      <c r="Z33" s="2">
        <f t="shared" si="36"/>
        <v>0.9999983756</v>
      </c>
      <c r="AA33" s="2">
        <f t="shared" si="6"/>
        <v>563.25</v>
      </c>
    </row>
    <row r="34" ht="14.25" customHeight="1">
      <c r="A34" s="2" t="s">
        <v>115</v>
      </c>
      <c r="B34" s="2" t="s">
        <v>116</v>
      </c>
      <c r="C34" s="2" t="s">
        <v>110</v>
      </c>
      <c r="D34" s="2" t="s">
        <v>29</v>
      </c>
      <c r="E34" s="2">
        <v>2200.0</v>
      </c>
      <c r="F34" s="2" t="s">
        <v>30</v>
      </c>
      <c r="G34" s="2">
        <v>578.9</v>
      </c>
      <c r="I34" s="2">
        <v>583.6</v>
      </c>
      <c r="K34" s="2">
        <v>0.0</v>
      </c>
      <c r="L34" s="2">
        <v>0.0</v>
      </c>
      <c r="M34" s="2" t="s">
        <v>64</v>
      </c>
      <c r="N34" s="2">
        <v>1.0</v>
      </c>
      <c r="O34" s="2">
        <v>0.0</v>
      </c>
      <c r="P34" s="2">
        <v>-6.3898</v>
      </c>
      <c r="Q34" s="2">
        <v>0.0</v>
      </c>
      <c r="R34" s="2">
        <v>0.1305</v>
      </c>
      <c r="S34" s="2">
        <v>2782.860107</v>
      </c>
      <c r="T34" s="2">
        <v>25.0</v>
      </c>
      <c r="V34" s="2">
        <f t="shared" si="2"/>
        <v>583.0128796</v>
      </c>
      <c r="W34" s="2">
        <f t="shared" si="3"/>
        <v>5.717787386</v>
      </c>
      <c r="X34" s="2">
        <f t="shared" si="4"/>
        <v>5.676683749</v>
      </c>
      <c r="Y34" s="2">
        <f t="shared" ref="Y34:Z34" si="37">_xlfn.NORM.S.DIST(W34)</f>
        <v>0.9999999946</v>
      </c>
      <c r="Z34" s="2">
        <f t="shared" si="37"/>
        <v>0.9999999931</v>
      </c>
      <c r="AA34" s="2">
        <f t="shared" si="6"/>
        <v>581.25</v>
      </c>
    </row>
    <row r="35" ht="14.25" customHeight="1">
      <c r="A35" s="2" t="s">
        <v>115</v>
      </c>
      <c r="B35" s="2" t="s">
        <v>116</v>
      </c>
      <c r="C35" s="2" t="s">
        <v>110</v>
      </c>
      <c r="D35" s="2" t="s">
        <v>29</v>
      </c>
      <c r="E35" s="2">
        <v>2200.0</v>
      </c>
      <c r="F35" s="2" t="s">
        <v>30</v>
      </c>
      <c r="G35" s="2">
        <v>535.1</v>
      </c>
      <c r="I35" s="2">
        <v>541.0</v>
      </c>
      <c r="K35" s="2">
        <v>0.0</v>
      </c>
      <c r="L35" s="2">
        <v>0.0</v>
      </c>
      <c r="M35" s="2" t="s">
        <v>65</v>
      </c>
      <c r="N35" s="2">
        <v>1.0</v>
      </c>
      <c r="O35" s="2">
        <v>0.0</v>
      </c>
      <c r="P35" s="2">
        <v>-6.3901</v>
      </c>
      <c r="Q35" s="2">
        <v>2.0E-4</v>
      </c>
      <c r="R35" s="2">
        <v>0.1639</v>
      </c>
      <c r="S35" s="2">
        <v>2739.98999</v>
      </c>
      <c r="T35" s="2">
        <v>24.0</v>
      </c>
      <c r="V35" s="2">
        <f t="shared" si="2"/>
        <v>540.1368358</v>
      </c>
      <c r="W35" s="2">
        <f t="shared" si="3"/>
        <v>4.339544041</v>
      </c>
      <c r="X35" s="2">
        <f t="shared" si="4"/>
        <v>4.288963403</v>
      </c>
      <c r="Y35" s="2">
        <f t="shared" ref="Y35:Z35" si="38">_xlfn.NORM.S.DIST(W35)</f>
        <v>0.9999928611</v>
      </c>
      <c r="Z35" s="2">
        <f t="shared" si="38"/>
        <v>0.9999910246</v>
      </c>
      <c r="AA35" s="2">
        <f t="shared" si="6"/>
        <v>538.05</v>
      </c>
    </row>
    <row r="36" ht="14.25" customHeight="1">
      <c r="A36" s="2" t="s">
        <v>115</v>
      </c>
      <c r="B36" s="2" t="s">
        <v>116</v>
      </c>
      <c r="C36" s="2" t="s">
        <v>110</v>
      </c>
      <c r="D36" s="2" t="s">
        <v>29</v>
      </c>
      <c r="E36" s="2">
        <v>2200.0</v>
      </c>
      <c r="F36" s="2" t="s">
        <v>30</v>
      </c>
      <c r="G36" s="2">
        <v>511.5</v>
      </c>
      <c r="I36" s="2">
        <v>515.9</v>
      </c>
      <c r="K36" s="2">
        <v>0.0</v>
      </c>
      <c r="L36" s="2">
        <v>0.0</v>
      </c>
      <c r="M36" s="2" t="s">
        <v>66</v>
      </c>
      <c r="N36" s="2">
        <v>0.9986</v>
      </c>
      <c r="O36" s="2">
        <v>0.0</v>
      </c>
      <c r="P36" s="2">
        <v>-13.3804</v>
      </c>
      <c r="Q36" s="2">
        <v>3.0</v>
      </c>
      <c r="R36" s="2">
        <v>0.2856</v>
      </c>
      <c r="S36" s="2">
        <v>2711.51001</v>
      </c>
      <c r="T36" s="2">
        <v>23.0</v>
      </c>
      <c r="V36" s="2">
        <f t="shared" si="2"/>
        <v>512.1793779</v>
      </c>
      <c r="W36" s="2">
        <f t="shared" si="3"/>
        <v>2.422840519</v>
      </c>
      <c r="X36" s="2">
        <f t="shared" si="4"/>
        <v>2.336558192</v>
      </c>
      <c r="Y36" s="2">
        <f t="shared" ref="Y36:Z36" si="39">_xlfn.NORM.S.DIST(W36)</f>
        <v>0.9923001572</v>
      </c>
      <c r="Z36" s="2">
        <f t="shared" si="39"/>
        <v>0.9902689158</v>
      </c>
      <c r="AA36" s="2">
        <f t="shared" si="6"/>
        <v>513.7</v>
      </c>
    </row>
    <row r="37" ht="14.25" customHeight="1">
      <c r="A37" s="2" t="s">
        <v>115</v>
      </c>
      <c r="B37" s="2" t="s">
        <v>116</v>
      </c>
      <c r="C37" s="2" t="s">
        <v>110</v>
      </c>
      <c r="D37" s="2" t="s">
        <v>29</v>
      </c>
      <c r="E37" s="2">
        <v>2200.0</v>
      </c>
      <c r="F37" s="2" t="s">
        <v>30</v>
      </c>
      <c r="G37" s="2">
        <v>535.2</v>
      </c>
      <c r="I37" s="2">
        <v>540.6</v>
      </c>
      <c r="K37" s="2">
        <v>0.0</v>
      </c>
      <c r="L37" s="2">
        <v>0.0</v>
      </c>
      <c r="M37" s="2" t="s">
        <v>67</v>
      </c>
      <c r="N37" s="2">
        <v>1.0</v>
      </c>
      <c r="O37" s="2">
        <v>0.0</v>
      </c>
      <c r="P37" s="2">
        <v>-6.4347</v>
      </c>
      <c r="Q37" s="2">
        <v>0.0248</v>
      </c>
      <c r="R37" s="2">
        <v>0.2113</v>
      </c>
      <c r="S37" s="2">
        <v>2737.280029</v>
      </c>
      <c r="T37" s="2">
        <v>22.0</v>
      </c>
      <c r="V37" s="2">
        <f t="shared" si="2"/>
        <v>537.4233193</v>
      </c>
      <c r="W37" s="2">
        <f t="shared" si="3"/>
        <v>3.499899199</v>
      </c>
      <c r="X37" s="2">
        <f t="shared" si="4"/>
        <v>3.437466722</v>
      </c>
      <c r="Y37" s="2">
        <f t="shared" ref="Y37:Z37" si="40">_xlfn.NORM.S.DIST(W37)</f>
        <v>0.9997672829</v>
      </c>
      <c r="Z37" s="2">
        <f t="shared" si="40"/>
        <v>0.9997064086</v>
      </c>
      <c r="AA37" s="2">
        <f t="shared" si="6"/>
        <v>537.9</v>
      </c>
    </row>
    <row r="38" ht="14.25" customHeight="1">
      <c r="A38" s="2" t="s">
        <v>115</v>
      </c>
      <c r="B38" s="2" t="s">
        <v>116</v>
      </c>
      <c r="C38" s="2" t="s">
        <v>110</v>
      </c>
      <c r="D38" s="2" t="s">
        <v>29</v>
      </c>
      <c r="E38" s="2">
        <v>2200.0</v>
      </c>
      <c r="F38" s="2" t="s">
        <v>30</v>
      </c>
      <c r="G38" s="2">
        <v>500.0</v>
      </c>
      <c r="I38" s="2">
        <v>504.4</v>
      </c>
      <c r="K38" s="2">
        <v>0.0</v>
      </c>
      <c r="L38" s="2">
        <v>0.0</v>
      </c>
      <c r="M38" s="2" t="s">
        <v>68</v>
      </c>
      <c r="N38" s="2">
        <v>0.9984</v>
      </c>
      <c r="O38" s="2">
        <v>0.0</v>
      </c>
      <c r="P38" s="2">
        <v>-16.3913</v>
      </c>
      <c r="Q38" s="2">
        <v>3.1916</v>
      </c>
      <c r="R38" s="2">
        <v>0.3152</v>
      </c>
      <c r="S38" s="2">
        <v>2700.969971</v>
      </c>
      <c r="T38" s="2">
        <v>19.0</v>
      </c>
      <c r="V38" s="2">
        <f t="shared" si="2"/>
        <v>501.7065347</v>
      </c>
      <c r="W38" s="2">
        <f t="shared" si="3"/>
        <v>2.370371388</v>
      </c>
      <c r="X38" s="2">
        <f t="shared" si="4"/>
        <v>2.283822252</v>
      </c>
      <c r="Y38" s="2">
        <f t="shared" ref="Y38:Z38" si="41">_xlfn.NORM.S.DIST(W38)</f>
        <v>0.9911148874</v>
      </c>
      <c r="Z38" s="2">
        <f t="shared" si="41"/>
        <v>0.9888090103</v>
      </c>
      <c r="AA38" s="2">
        <f t="shared" si="6"/>
        <v>502.2</v>
      </c>
    </row>
    <row r="39" ht="14.25" customHeight="1">
      <c r="A39" s="2" t="s">
        <v>115</v>
      </c>
      <c r="B39" s="2" t="s">
        <v>116</v>
      </c>
      <c r="C39" s="2" t="s">
        <v>110</v>
      </c>
      <c r="D39" s="2" t="s">
        <v>29</v>
      </c>
      <c r="E39" s="2">
        <v>2200.0</v>
      </c>
      <c r="F39" s="2" t="s">
        <v>30</v>
      </c>
      <c r="G39" s="2">
        <v>510.1</v>
      </c>
      <c r="I39" s="2">
        <v>514.6</v>
      </c>
      <c r="K39" s="2">
        <v>0.0</v>
      </c>
      <c r="L39" s="2">
        <v>0.0</v>
      </c>
      <c r="M39" s="2" t="s">
        <v>69</v>
      </c>
      <c r="N39" s="2">
        <v>1.0</v>
      </c>
      <c r="O39" s="2">
        <v>0.0</v>
      </c>
      <c r="P39" s="2">
        <v>-6.3984</v>
      </c>
      <c r="Q39" s="2">
        <v>0.0038</v>
      </c>
      <c r="R39" s="2">
        <v>0.2059</v>
      </c>
      <c r="S39" s="2">
        <v>2713.02002</v>
      </c>
      <c r="T39" s="2">
        <v>18.0</v>
      </c>
      <c r="V39" s="2">
        <f t="shared" si="2"/>
        <v>513.1321945</v>
      </c>
      <c r="W39" s="2">
        <f t="shared" si="3"/>
        <v>3.808986368</v>
      </c>
      <c r="X39" s="2">
        <f t="shared" si="4"/>
        <v>3.753957279</v>
      </c>
      <c r="Y39" s="2">
        <f t="shared" ref="Y39:Z39" si="42">_xlfn.NORM.S.DIST(W39)</f>
        <v>0.9999302312</v>
      </c>
      <c r="Z39" s="2">
        <f t="shared" si="42"/>
        <v>0.9999129677</v>
      </c>
      <c r="AA39" s="2">
        <f t="shared" si="6"/>
        <v>512.35</v>
      </c>
    </row>
    <row r="40" ht="14.25" customHeight="1">
      <c r="A40" s="2" t="s">
        <v>115</v>
      </c>
      <c r="B40" s="2" t="s">
        <v>116</v>
      </c>
      <c r="C40" s="2" t="s">
        <v>110</v>
      </c>
      <c r="D40" s="2" t="s">
        <v>29</v>
      </c>
      <c r="E40" s="2">
        <v>2200.0</v>
      </c>
      <c r="F40" s="2" t="s">
        <v>30</v>
      </c>
      <c r="G40" s="2">
        <v>538.3</v>
      </c>
      <c r="I40" s="2">
        <v>542.7</v>
      </c>
      <c r="K40" s="2">
        <v>0.0</v>
      </c>
      <c r="L40" s="2">
        <v>0.0</v>
      </c>
      <c r="M40" s="2" t="s">
        <v>70</v>
      </c>
      <c r="N40" s="2">
        <v>0.9996</v>
      </c>
      <c r="O40" s="2">
        <v>0.0</v>
      </c>
      <c r="P40" s="2">
        <v>15.5437</v>
      </c>
      <c r="Q40" s="2">
        <v>7.0E-4</v>
      </c>
      <c r="R40" s="2">
        <v>0.2073</v>
      </c>
      <c r="S40" s="2">
        <v>2741.26001</v>
      </c>
      <c r="T40" s="2">
        <v>17.0</v>
      </c>
      <c r="V40" s="2">
        <f t="shared" si="2"/>
        <v>541.3645337</v>
      </c>
      <c r="W40" s="2">
        <f t="shared" si="3"/>
        <v>4.085270657</v>
      </c>
      <c r="X40" s="2">
        <f t="shared" si="4"/>
        <v>4.031428371</v>
      </c>
      <c r="Y40" s="2">
        <f t="shared" ref="Y40:Z40" si="43">_xlfn.NORM.S.DIST(W40)</f>
        <v>0.9999779873</v>
      </c>
      <c r="Z40" s="2">
        <f t="shared" si="43"/>
        <v>0.9999722806</v>
      </c>
      <c r="AA40" s="2">
        <f t="shared" si="6"/>
        <v>540.5</v>
      </c>
    </row>
    <row r="41" ht="14.25" customHeight="1">
      <c r="A41" s="2" t="s">
        <v>115</v>
      </c>
      <c r="B41" s="2" t="s">
        <v>116</v>
      </c>
      <c r="C41" s="2" t="s">
        <v>110</v>
      </c>
      <c r="D41" s="2" t="s">
        <v>29</v>
      </c>
      <c r="E41" s="2">
        <v>2200.0</v>
      </c>
      <c r="F41" s="2" t="s">
        <v>30</v>
      </c>
      <c r="G41" s="2">
        <v>534.6</v>
      </c>
      <c r="I41" s="2">
        <v>539.0</v>
      </c>
      <c r="K41" s="2">
        <v>0.0</v>
      </c>
      <c r="L41" s="2">
        <v>0.0</v>
      </c>
      <c r="M41" s="2" t="s">
        <v>71</v>
      </c>
      <c r="N41" s="2">
        <v>0.9993</v>
      </c>
      <c r="O41" s="2">
        <v>0.0</v>
      </c>
      <c r="P41" s="2">
        <v>37.7977</v>
      </c>
      <c r="Q41" s="2">
        <v>1.0E-4</v>
      </c>
      <c r="R41" s="2">
        <v>0.1981</v>
      </c>
      <c r="S41" s="2">
        <v>2738.580078</v>
      </c>
      <c r="T41" s="2">
        <v>16.0</v>
      </c>
      <c r="V41" s="2">
        <f t="shared" si="2"/>
        <v>538.6779988</v>
      </c>
      <c r="W41" s="2">
        <f t="shared" si="3"/>
        <v>4.386969651</v>
      </c>
      <c r="X41" s="2">
        <f t="shared" si="4"/>
        <v>4.337053143</v>
      </c>
      <c r="Y41" s="2">
        <f t="shared" ref="Y41:Z41" si="44">_xlfn.NORM.S.DIST(W41)</f>
        <v>0.999994253</v>
      </c>
      <c r="Z41" s="2">
        <f t="shared" si="44"/>
        <v>0.9999927797</v>
      </c>
      <c r="AA41" s="2">
        <f t="shared" si="6"/>
        <v>536.8</v>
      </c>
    </row>
    <row r="42" ht="14.25" customHeight="1">
      <c r="A42" s="2" t="s">
        <v>115</v>
      </c>
      <c r="B42" s="2" t="s">
        <v>116</v>
      </c>
      <c r="C42" s="2" t="s">
        <v>110</v>
      </c>
      <c r="D42" s="2" t="s">
        <v>29</v>
      </c>
      <c r="E42" s="2">
        <v>2200.0</v>
      </c>
      <c r="F42" s="2" t="s">
        <v>30</v>
      </c>
      <c r="G42" s="2">
        <v>545.6</v>
      </c>
      <c r="I42" s="2">
        <v>549.9</v>
      </c>
      <c r="K42" s="2">
        <v>0.0</v>
      </c>
      <c r="L42" s="2">
        <v>0.0</v>
      </c>
      <c r="M42" s="2" t="s">
        <v>72</v>
      </c>
      <c r="N42" s="2">
        <v>0.9994</v>
      </c>
      <c r="O42" s="2">
        <v>0.0</v>
      </c>
      <c r="P42" s="2">
        <v>38.4235</v>
      </c>
      <c r="Q42" s="2">
        <v>0.0262</v>
      </c>
      <c r="R42" s="2">
        <v>0.2651</v>
      </c>
      <c r="S42" s="2">
        <v>2747.75</v>
      </c>
      <c r="T42" s="2">
        <v>15.0</v>
      </c>
      <c r="V42" s="2">
        <f t="shared" si="2"/>
        <v>547.8534352</v>
      </c>
      <c r="W42" s="2">
        <f t="shared" si="3"/>
        <v>3.4374254</v>
      </c>
      <c r="X42" s="2">
        <f t="shared" si="4"/>
        <v>3.372747622</v>
      </c>
      <c r="Y42" s="2">
        <f t="shared" ref="Y42:Z42" si="45">_xlfn.NORM.S.DIST(W42)</f>
        <v>0.9997063638</v>
      </c>
      <c r="Z42" s="2">
        <f t="shared" si="45"/>
        <v>0.9996278893</v>
      </c>
      <c r="AA42" s="2">
        <f t="shared" si="6"/>
        <v>547.75</v>
      </c>
    </row>
    <row r="43" ht="14.25" customHeight="1">
      <c r="A43" s="2" t="s">
        <v>115</v>
      </c>
      <c r="B43" s="2" t="s">
        <v>116</v>
      </c>
      <c r="C43" s="2" t="s">
        <v>110</v>
      </c>
      <c r="D43" s="2" t="s">
        <v>29</v>
      </c>
      <c r="E43" s="2">
        <v>2200.0</v>
      </c>
      <c r="F43" s="2" t="s">
        <v>30</v>
      </c>
      <c r="G43" s="2">
        <v>556.8</v>
      </c>
      <c r="I43" s="2">
        <v>561.5</v>
      </c>
      <c r="K43" s="2">
        <v>0.0</v>
      </c>
      <c r="L43" s="2">
        <v>0.0</v>
      </c>
      <c r="M43" s="2" t="s">
        <v>73</v>
      </c>
      <c r="N43" s="2">
        <v>0.9994</v>
      </c>
      <c r="O43" s="2">
        <v>0.0</v>
      </c>
      <c r="P43" s="2">
        <v>44.3215</v>
      </c>
      <c r="Q43" s="2">
        <v>0.0</v>
      </c>
      <c r="R43" s="2">
        <v>0.2003</v>
      </c>
      <c r="S43" s="2">
        <v>2759.530029</v>
      </c>
      <c r="T43" s="2">
        <v>12.0</v>
      </c>
      <c r="V43" s="2">
        <f t="shared" si="2"/>
        <v>559.6033632</v>
      </c>
      <c r="W43" s="2">
        <f t="shared" si="3"/>
        <v>5.184351059</v>
      </c>
      <c r="X43" s="2">
        <f t="shared" si="4"/>
        <v>5.140642016</v>
      </c>
      <c r="Y43" s="2">
        <f t="shared" ref="Y43:Z43" si="46">_xlfn.NORM.S.DIST(W43)</f>
        <v>0.9999998916</v>
      </c>
      <c r="Z43" s="2">
        <f t="shared" si="46"/>
        <v>0.9999998631</v>
      </c>
      <c r="AA43" s="2">
        <f t="shared" si="6"/>
        <v>559.15</v>
      </c>
    </row>
    <row r="44" ht="14.25" customHeight="1">
      <c r="A44" s="2" t="s">
        <v>115</v>
      </c>
      <c r="B44" s="2" t="s">
        <v>116</v>
      </c>
      <c r="C44" s="2" t="s">
        <v>110</v>
      </c>
      <c r="D44" s="2" t="s">
        <v>29</v>
      </c>
      <c r="E44" s="2">
        <v>2200.0</v>
      </c>
      <c r="F44" s="2" t="s">
        <v>30</v>
      </c>
      <c r="G44" s="2">
        <v>594.8</v>
      </c>
      <c r="I44" s="2">
        <v>599.5</v>
      </c>
      <c r="K44" s="2">
        <v>0.0</v>
      </c>
      <c r="L44" s="2">
        <v>0.0</v>
      </c>
      <c r="M44" s="2" t="s">
        <v>74</v>
      </c>
      <c r="N44" s="2">
        <v>0.9995</v>
      </c>
      <c r="O44" s="2">
        <v>0.0</v>
      </c>
      <c r="P44" s="2">
        <v>46.3924</v>
      </c>
      <c r="Q44" s="2">
        <v>0.0</v>
      </c>
      <c r="R44" s="2">
        <v>0.1434</v>
      </c>
      <c r="S44" s="2">
        <v>2799.25</v>
      </c>
      <c r="T44" s="2">
        <v>11.0</v>
      </c>
      <c r="V44" s="2">
        <f t="shared" si="2"/>
        <v>599.3172212</v>
      </c>
      <c r="W44" s="2">
        <f t="shared" si="3"/>
        <v>8.040462946</v>
      </c>
      <c r="X44" s="2">
        <f t="shared" si="4"/>
        <v>8.01050271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597.15</v>
      </c>
    </row>
    <row r="45" ht="14.25" customHeight="1">
      <c r="A45" s="2" t="s">
        <v>115</v>
      </c>
      <c r="B45" s="2" t="s">
        <v>116</v>
      </c>
      <c r="C45" s="2" t="s">
        <v>110</v>
      </c>
      <c r="D45" s="2" t="s">
        <v>29</v>
      </c>
      <c r="E45" s="2">
        <v>2200.0</v>
      </c>
      <c r="F45" s="2" t="s">
        <v>30</v>
      </c>
      <c r="G45" s="2">
        <v>588.6</v>
      </c>
      <c r="I45" s="2">
        <v>593.3</v>
      </c>
      <c r="K45" s="2">
        <v>0.0</v>
      </c>
      <c r="L45" s="2">
        <v>0.0</v>
      </c>
      <c r="M45" s="2" t="s">
        <v>75</v>
      </c>
      <c r="N45" s="2">
        <v>0.9995</v>
      </c>
      <c r="O45" s="2">
        <v>0.0</v>
      </c>
      <c r="P45" s="2">
        <v>46.2694</v>
      </c>
      <c r="Q45" s="2">
        <v>0.0</v>
      </c>
      <c r="R45" s="2">
        <v>0.1458</v>
      </c>
      <c r="S45" s="2">
        <v>2792.560059</v>
      </c>
      <c r="T45" s="2">
        <v>10.0</v>
      </c>
      <c r="V45" s="2">
        <f t="shared" si="2"/>
        <v>592.6211693</v>
      </c>
      <c r="W45" s="2">
        <f t="shared" si="3"/>
        <v>8.211711378</v>
      </c>
      <c r="X45" s="2">
        <f t="shared" si="4"/>
        <v>8.182667323</v>
      </c>
      <c r="Y45" s="2">
        <f t="shared" ref="Y45:Z45" si="48">_xlfn.NORM.S.DIST(W45)</f>
        <v>1</v>
      </c>
      <c r="Z45" s="2">
        <f t="shared" si="48"/>
        <v>1</v>
      </c>
      <c r="AA45" s="2">
        <f t="shared" si="6"/>
        <v>590.95</v>
      </c>
    </row>
    <row r="46" ht="14.25" customHeight="1">
      <c r="A46" s="2" t="s">
        <v>115</v>
      </c>
      <c r="B46" s="2" t="s">
        <v>116</v>
      </c>
      <c r="C46" s="2" t="s">
        <v>110</v>
      </c>
      <c r="D46" s="2" t="s">
        <v>29</v>
      </c>
      <c r="E46" s="2">
        <v>2200.0</v>
      </c>
      <c r="F46" s="2" t="s">
        <v>30</v>
      </c>
      <c r="G46" s="2">
        <v>595.6</v>
      </c>
      <c r="I46" s="2">
        <v>600.4</v>
      </c>
      <c r="K46" s="2">
        <v>0.0</v>
      </c>
      <c r="L46" s="2">
        <v>0.0</v>
      </c>
      <c r="M46" s="2" t="s">
        <v>76</v>
      </c>
      <c r="N46" s="2">
        <v>0.9996</v>
      </c>
      <c r="O46" s="2">
        <v>0.0</v>
      </c>
      <c r="P46" s="2">
        <v>46.4022</v>
      </c>
      <c r="Q46" s="2">
        <v>0.0</v>
      </c>
      <c r="R46" s="2">
        <v>0.1293</v>
      </c>
      <c r="S46" s="2">
        <v>2799.48999</v>
      </c>
      <c r="T46" s="2">
        <v>9.0</v>
      </c>
      <c r="V46" s="2">
        <f t="shared" si="2"/>
        <v>599.5449893</v>
      </c>
      <c r="W46" s="2">
        <f t="shared" si="3"/>
        <v>9.861916009</v>
      </c>
      <c r="X46" s="2">
        <f t="shared" si="4"/>
        <v>9.837480605</v>
      </c>
      <c r="Y46" s="2">
        <f t="shared" ref="Y46:Z46" si="49">_xlfn.NORM.S.DIST(W46)</f>
        <v>1</v>
      </c>
      <c r="Z46" s="2">
        <f t="shared" si="49"/>
        <v>1</v>
      </c>
      <c r="AA46" s="2">
        <f t="shared" si="6"/>
        <v>598</v>
      </c>
    </row>
    <row r="47" ht="14.25" customHeight="1">
      <c r="A47" s="2" t="s">
        <v>115</v>
      </c>
      <c r="B47" s="2" t="s">
        <v>116</v>
      </c>
      <c r="C47" s="2" t="s">
        <v>110</v>
      </c>
      <c r="D47" s="2" t="s">
        <v>29</v>
      </c>
      <c r="E47" s="2">
        <v>2200.0</v>
      </c>
      <c r="F47" s="2" t="s">
        <v>30</v>
      </c>
      <c r="G47" s="2">
        <v>600.2</v>
      </c>
      <c r="I47" s="2">
        <v>604.9</v>
      </c>
      <c r="K47" s="2">
        <v>0.0</v>
      </c>
      <c r="L47" s="2">
        <v>0.0</v>
      </c>
      <c r="M47" s="2" t="s">
        <v>77</v>
      </c>
      <c r="N47" s="2">
        <v>1.0</v>
      </c>
      <c r="O47" s="2">
        <v>0.0</v>
      </c>
      <c r="P47" s="2">
        <v>-6.2014</v>
      </c>
      <c r="Q47" s="2">
        <v>0.0</v>
      </c>
      <c r="R47" s="2">
        <v>0.0997</v>
      </c>
      <c r="S47" s="2">
        <v>2804.110107</v>
      </c>
      <c r="T47" s="2">
        <v>8.0</v>
      </c>
      <c r="V47" s="2">
        <f t="shared" si="2"/>
        <v>604.1589953</v>
      </c>
      <c r="W47" s="2">
        <f t="shared" si="3"/>
        <v>13.65848735</v>
      </c>
      <c r="X47" s="2">
        <f t="shared" si="4"/>
        <v>13.64072338</v>
      </c>
      <c r="Y47" s="2">
        <f t="shared" ref="Y47:Z47" si="50">_xlfn.NORM.S.DIST(W47)</f>
        <v>1</v>
      </c>
      <c r="Z47" s="2">
        <f t="shared" si="50"/>
        <v>1</v>
      </c>
      <c r="AA47" s="2">
        <f t="shared" si="6"/>
        <v>602.55</v>
      </c>
    </row>
    <row r="48" ht="14.25" customHeight="1">
      <c r="A48" s="2" t="s">
        <v>115</v>
      </c>
      <c r="B48" s="2" t="s">
        <v>116</v>
      </c>
      <c r="C48" s="2" t="s">
        <v>110</v>
      </c>
      <c r="D48" s="2" t="s">
        <v>29</v>
      </c>
      <c r="E48" s="2">
        <v>2200.0</v>
      </c>
      <c r="F48" s="2" t="s">
        <v>30</v>
      </c>
      <c r="G48" s="2">
        <v>608.2</v>
      </c>
      <c r="I48" s="2">
        <v>612.6</v>
      </c>
      <c r="K48" s="2">
        <v>0.0</v>
      </c>
      <c r="L48" s="2">
        <v>0.0</v>
      </c>
      <c r="M48" s="2" t="s">
        <v>78</v>
      </c>
      <c r="N48" s="2">
        <v>1.0</v>
      </c>
      <c r="O48" s="2">
        <v>0.0</v>
      </c>
      <c r="P48" s="2">
        <v>-6.2016</v>
      </c>
      <c r="Q48" s="2">
        <v>0.0</v>
      </c>
      <c r="R48" s="2">
        <v>0.1142</v>
      </c>
      <c r="S48" s="2">
        <v>2811.860107</v>
      </c>
      <c r="T48" s="2">
        <v>5.0</v>
      </c>
      <c r="V48" s="2">
        <f t="shared" si="2"/>
        <v>611.8906623</v>
      </c>
      <c r="W48" s="2">
        <f t="shared" si="3"/>
        <v>15.25471204</v>
      </c>
      <c r="X48" s="2">
        <f t="shared" si="4"/>
        <v>15.23862594</v>
      </c>
      <c r="Y48" s="2">
        <f t="shared" ref="Y48:Z48" si="51">_xlfn.NORM.S.DIST(W48)</f>
        <v>1</v>
      </c>
      <c r="Z48" s="2">
        <f t="shared" si="51"/>
        <v>1</v>
      </c>
      <c r="AA48" s="2">
        <f t="shared" si="6"/>
        <v>610.4</v>
      </c>
    </row>
    <row r="49" ht="14.25" customHeight="1">
      <c r="A49" s="2" t="s">
        <v>115</v>
      </c>
      <c r="B49" s="2" t="s">
        <v>116</v>
      </c>
      <c r="C49" s="2" t="s">
        <v>110</v>
      </c>
      <c r="D49" s="2" t="s">
        <v>29</v>
      </c>
      <c r="E49" s="2">
        <v>2200.0</v>
      </c>
      <c r="F49" s="2" t="s">
        <v>30</v>
      </c>
      <c r="G49" s="2">
        <v>599.3</v>
      </c>
      <c r="I49" s="2">
        <v>603.7</v>
      </c>
      <c r="K49" s="2">
        <v>0.0</v>
      </c>
      <c r="L49" s="2">
        <v>0.0</v>
      </c>
      <c r="M49" s="2" t="s">
        <v>79</v>
      </c>
      <c r="N49" s="2">
        <v>1.0</v>
      </c>
      <c r="O49" s="2">
        <v>0.0</v>
      </c>
      <c r="P49" s="2">
        <v>-6.2016</v>
      </c>
      <c r="Q49" s="2">
        <v>0.0</v>
      </c>
      <c r="R49" s="2">
        <v>0.1591</v>
      </c>
      <c r="S49" s="2">
        <v>2800.810059</v>
      </c>
      <c r="T49" s="2">
        <v>4.0</v>
      </c>
      <c r="V49" s="2">
        <f t="shared" si="2"/>
        <v>600.8345033</v>
      </c>
      <c r="W49" s="2">
        <f t="shared" si="3"/>
        <v>12.04563453</v>
      </c>
      <c r="X49" s="2">
        <f t="shared" si="4"/>
        <v>12.02558981</v>
      </c>
      <c r="Y49" s="2">
        <f t="shared" ref="Y49:Z49" si="52">_xlfn.NORM.S.DIST(W49)</f>
        <v>1</v>
      </c>
      <c r="Z49" s="2">
        <f t="shared" si="52"/>
        <v>1</v>
      </c>
      <c r="AA49" s="2">
        <f t="shared" si="6"/>
        <v>601.5</v>
      </c>
    </row>
    <row r="50" ht="14.25" customHeight="1">
      <c r="A50" s="2" t="s">
        <v>115</v>
      </c>
      <c r="B50" s="2" t="s">
        <v>116</v>
      </c>
      <c r="C50" s="2" t="s">
        <v>110</v>
      </c>
      <c r="D50" s="2" t="s">
        <v>29</v>
      </c>
      <c r="E50" s="2">
        <v>2200.0</v>
      </c>
      <c r="F50" s="2" t="s">
        <v>30</v>
      </c>
      <c r="G50" s="2">
        <v>598.0</v>
      </c>
      <c r="I50" s="2">
        <v>602.5</v>
      </c>
      <c r="K50" s="2">
        <v>0.0</v>
      </c>
      <c r="L50" s="2">
        <v>0.0</v>
      </c>
      <c r="M50" s="2" t="s">
        <v>80</v>
      </c>
      <c r="N50" s="2">
        <v>1.0</v>
      </c>
      <c r="O50" s="2">
        <v>0.0</v>
      </c>
      <c r="P50" s="2">
        <v>-6.2017</v>
      </c>
      <c r="Q50" s="2">
        <v>0.0</v>
      </c>
      <c r="R50" s="2">
        <v>0.1658</v>
      </c>
      <c r="S50" s="2">
        <v>2798.679932</v>
      </c>
      <c r="T50" s="2">
        <v>3.0</v>
      </c>
      <c r="V50" s="2">
        <f t="shared" si="2"/>
        <v>598.6982653</v>
      </c>
      <c r="W50" s="2">
        <f t="shared" si="3"/>
        <v>13.3049747</v>
      </c>
      <c r="X50" s="2">
        <f t="shared" si="4"/>
        <v>13.28688443</v>
      </c>
      <c r="Y50" s="2">
        <f t="shared" ref="Y50:Z50" si="53">_xlfn.NORM.S.DIST(W50)</f>
        <v>1</v>
      </c>
      <c r="Z50" s="2">
        <f t="shared" si="53"/>
        <v>1</v>
      </c>
      <c r="AA50" s="2">
        <f t="shared" si="6"/>
        <v>600.25</v>
      </c>
    </row>
    <row r="51" ht="14.25" customHeight="1">
      <c r="A51" s="2" t="s">
        <v>115</v>
      </c>
      <c r="B51" s="2" t="s">
        <v>116</v>
      </c>
      <c r="C51" s="2" t="s">
        <v>110</v>
      </c>
      <c r="D51" s="2" t="s">
        <v>29</v>
      </c>
      <c r="E51" s="2">
        <v>2200.0</v>
      </c>
      <c r="F51" s="2" t="s">
        <v>30</v>
      </c>
      <c r="G51" s="2">
        <v>605.6</v>
      </c>
      <c r="I51" s="2">
        <v>610.1</v>
      </c>
      <c r="K51" s="2">
        <v>0.0</v>
      </c>
      <c r="L51" s="2">
        <v>0.0</v>
      </c>
      <c r="M51" s="2" t="s">
        <v>81</v>
      </c>
      <c r="N51" s="2">
        <v>1.0</v>
      </c>
      <c r="O51" s="2">
        <v>0.0</v>
      </c>
      <c r="P51" s="2">
        <v>-6.2017</v>
      </c>
      <c r="Q51" s="2">
        <v>0.0</v>
      </c>
      <c r="R51" s="2">
        <v>0.1005</v>
      </c>
      <c r="S51" s="2">
        <v>2807.300049</v>
      </c>
      <c r="T51" s="2">
        <v>2.0</v>
      </c>
      <c r="V51" s="2">
        <f t="shared" si="2"/>
        <v>607.3122712</v>
      </c>
      <c r="W51" s="2">
        <f t="shared" si="3"/>
        <v>27.22651336</v>
      </c>
      <c r="X51" s="2">
        <f t="shared" si="4"/>
        <v>27.21756011</v>
      </c>
      <c r="Y51" s="2">
        <f t="shared" ref="Y51:Z51" si="54">_xlfn.NORM.S.DIST(W51)</f>
        <v>1</v>
      </c>
      <c r="Z51" s="2">
        <f t="shared" si="54"/>
        <v>1</v>
      </c>
      <c r="AA51" s="2">
        <f t="shared" si="6"/>
        <v>607.85</v>
      </c>
    </row>
    <row r="52" ht="14.25" customHeight="1">
      <c r="A52" s="2" t="s">
        <v>115</v>
      </c>
      <c r="B52" s="2" t="s">
        <v>116</v>
      </c>
      <c r="C52" s="2" t="s">
        <v>110</v>
      </c>
      <c r="D52" s="2" t="s">
        <v>29</v>
      </c>
      <c r="E52" s="2">
        <v>2200.0</v>
      </c>
      <c r="F52" s="2" t="s">
        <v>30</v>
      </c>
      <c r="G52" s="2">
        <v>602.4</v>
      </c>
      <c r="I52" s="2">
        <v>611.7</v>
      </c>
      <c r="K52" s="2">
        <v>0.0</v>
      </c>
      <c r="L52" s="2">
        <v>0.0</v>
      </c>
      <c r="M52" s="2" t="s">
        <v>82</v>
      </c>
      <c r="N52" s="2">
        <v>1.0</v>
      </c>
      <c r="O52" s="2">
        <v>0.0</v>
      </c>
      <c r="P52" s="2">
        <v>-6.2019</v>
      </c>
      <c r="Q52" s="2">
        <v>0.0</v>
      </c>
      <c r="R52" s="2">
        <v>0.191</v>
      </c>
      <c r="S52" s="2">
        <v>2799.409912</v>
      </c>
      <c r="T52" s="2">
        <v>1.0</v>
      </c>
      <c r="V52" s="2">
        <f t="shared" si="2"/>
        <v>599.4160231</v>
      </c>
      <c r="W52" s="2">
        <f t="shared" si="3"/>
        <v>20.02608969</v>
      </c>
      <c r="X52" s="2">
        <f t="shared" si="4"/>
        <v>20.01405782</v>
      </c>
      <c r="Y52" s="2">
        <f t="shared" ref="Y52:Z52" si="55">_xlfn.NORM.S.DIST(W52)</f>
        <v>1</v>
      </c>
      <c r="Z52" s="2">
        <f t="shared" si="55"/>
        <v>1</v>
      </c>
      <c r="AA52" s="2">
        <f t="shared" si="6"/>
        <v>607.05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117</v>
      </c>
      <c r="B2" s="2" t="s">
        <v>118</v>
      </c>
      <c r="C2" s="2" t="s">
        <v>119</v>
      </c>
      <c r="D2" s="2" t="s">
        <v>29</v>
      </c>
      <c r="E2" s="2">
        <v>165.0</v>
      </c>
      <c r="F2" s="2" t="s">
        <v>30</v>
      </c>
      <c r="G2" s="2">
        <v>59.3</v>
      </c>
      <c r="I2" s="2">
        <v>62.7</v>
      </c>
      <c r="K2" s="2">
        <v>0.0</v>
      </c>
      <c r="L2" s="2">
        <v>0.0</v>
      </c>
      <c r="M2" s="2" t="s">
        <v>31</v>
      </c>
      <c r="N2" s="2">
        <v>0.9786</v>
      </c>
      <c r="O2" s="2">
        <v>0.0013</v>
      </c>
      <c r="P2" s="2">
        <v>-2.1837</v>
      </c>
      <c r="Q2" s="2">
        <v>5.114</v>
      </c>
      <c r="R2" s="2">
        <v>0.3275</v>
      </c>
      <c r="S2" s="2">
        <v>225.91</v>
      </c>
      <c r="T2" s="2">
        <v>85.0</v>
      </c>
      <c r="V2" s="2">
        <f t="shared" ref="V2:V51" si="2">S2*Y2 - E2*Z2*exp(-0.0007*T2/252)</f>
        <v>61.67939568</v>
      </c>
      <c r="W2" s="2">
        <f t="shared" ref="W2:W51" si="3">((LN(S2/E2) + (0.0007 + (R2^2)/2) * U2/$AB$2)) / (R2 * SQRT(T2/252))</f>
        <v>1.651861162</v>
      </c>
      <c r="X2" s="2">
        <f t="shared" ref="X2:X51" si="4">W2-(R2*SQRT(T2/$AB$2))</f>
        <v>1.461656789</v>
      </c>
      <c r="Y2" s="2">
        <f t="shared" ref="Y2:Z2" si="1">_xlfn.NORM.S.DIST(W2)</f>
        <v>0.9507185715</v>
      </c>
      <c r="Z2" s="2">
        <f t="shared" si="1"/>
        <v>0.928082358</v>
      </c>
      <c r="AA2" s="2">
        <f t="shared" ref="AA2:AA51" si="6">if(0.5*(G2+I2)=0,0,0.5*(G2+I2))</f>
        <v>61</v>
      </c>
      <c r="AB2" s="2">
        <v>252.0</v>
      </c>
    </row>
    <row r="3" ht="14.25" customHeight="1">
      <c r="A3" s="2" t="s">
        <v>117</v>
      </c>
      <c r="B3" s="2" t="s">
        <v>118</v>
      </c>
      <c r="C3" s="2" t="s">
        <v>119</v>
      </c>
      <c r="D3" s="2" t="s">
        <v>29</v>
      </c>
      <c r="E3" s="2">
        <v>165.0</v>
      </c>
      <c r="F3" s="2" t="s">
        <v>30</v>
      </c>
      <c r="G3" s="2">
        <v>60.6</v>
      </c>
      <c r="I3" s="2">
        <v>64.2</v>
      </c>
      <c r="K3" s="2">
        <v>0.0</v>
      </c>
      <c r="L3" s="2">
        <v>0.0</v>
      </c>
      <c r="M3" s="2" t="s">
        <v>32</v>
      </c>
      <c r="N3" s="2">
        <v>0.9958</v>
      </c>
      <c r="O3" s="2">
        <v>4.0E-4</v>
      </c>
      <c r="P3" s="2">
        <v>-1.2703</v>
      </c>
      <c r="Q3" s="2">
        <v>1.3522</v>
      </c>
      <c r="R3" s="2">
        <v>0.2614</v>
      </c>
      <c r="S3" s="2">
        <v>227.32</v>
      </c>
      <c r="T3" s="2">
        <v>84.0</v>
      </c>
      <c r="V3" s="2">
        <f t="shared" si="2"/>
        <v>62.53063874</v>
      </c>
      <c r="W3" s="2">
        <f t="shared" si="3"/>
        <v>2.123075805</v>
      </c>
      <c r="X3" s="2">
        <f t="shared" si="4"/>
        <v>1.972156445</v>
      </c>
      <c r="Y3" s="2">
        <f t="shared" ref="Y3:Z3" si="5">_xlfn.NORM.S.DIST(W3)</f>
        <v>0.9831262499</v>
      </c>
      <c r="Z3" s="2">
        <f t="shared" si="5"/>
        <v>0.975704125</v>
      </c>
      <c r="AA3" s="2">
        <f t="shared" si="6"/>
        <v>62.4</v>
      </c>
    </row>
    <row r="4" ht="14.25" customHeight="1">
      <c r="A4" s="2" t="s">
        <v>117</v>
      </c>
      <c r="B4" s="2" t="s">
        <v>118</v>
      </c>
      <c r="C4" s="2" t="s">
        <v>119</v>
      </c>
      <c r="D4" s="2" t="s">
        <v>29</v>
      </c>
      <c r="E4" s="2">
        <v>165.0</v>
      </c>
      <c r="F4" s="2" t="s">
        <v>30</v>
      </c>
      <c r="G4" s="2">
        <v>65.6</v>
      </c>
      <c r="I4" s="2">
        <v>68.9</v>
      </c>
      <c r="K4" s="2">
        <v>0.0</v>
      </c>
      <c r="L4" s="2">
        <v>0.0</v>
      </c>
      <c r="M4" s="2" t="s">
        <v>33</v>
      </c>
      <c r="N4" s="2">
        <v>0.9995</v>
      </c>
      <c r="O4" s="2">
        <v>1.0E-4</v>
      </c>
      <c r="P4" s="2">
        <v>-0.5914</v>
      </c>
      <c r="Q4" s="2">
        <v>0.1873</v>
      </c>
      <c r="R4" s="2">
        <v>0.2226</v>
      </c>
      <c r="S4" s="2">
        <v>232.54</v>
      </c>
      <c r="T4" s="2">
        <v>83.0</v>
      </c>
      <c r="V4" s="2">
        <f t="shared" si="2"/>
        <v>67.60495507</v>
      </c>
      <c r="W4" s="2">
        <f t="shared" si="3"/>
        <v>2.685826911</v>
      </c>
      <c r="X4" s="2">
        <f t="shared" si="4"/>
        <v>2.55807602</v>
      </c>
      <c r="Y4" s="2">
        <f t="shared" ref="Y4:Z4" si="7">_xlfn.NORM.S.DIST(W4)</f>
        <v>0.9963824721</v>
      </c>
      <c r="Z4" s="2">
        <f t="shared" si="7"/>
        <v>0.994737346</v>
      </c>
      <c r="AA4" s="2">
        <f t="shared" si="6"/>
        <v>67.25</v>
      </c>
      <c r="AB4" s="2">
        <f>average(R2:R51)</f>
        <v>0.26255</v>
      </c>
    </row>
    <row r="5" ht="14.25" customHeight="1">
      <c r="A5" s="2" t="s">
        <v>117</v>
      </c>
      <c r="B5" s="2" t="s">
        <v>118</v>
      </c>
      <c r="C5" s="2" t="s">
        <v>119</v>
      </c>
      <c r="D5" s="2" t="s">
        <v>29</v>
      </c>
      <c r="E5" s="2">
        <v>165.0</v>
      </c>
      <c r="F5" s="2" t="s">
        <v>30</v>
      </c>
      <c r="G5" s="2">
        <v>64.9</v>
      </c>
      <c r="I5" s="2">
        <v>68.1</v>
      </c>
      <c r="K5" s="2">
        <v>0.0</v>
      </c>
      <c r="L5" s="2">
        <v>0.0</v>
      </c>
      <c r="M5" s="2" t="s">
        <v>34</v>
      </c>
      <c r="N5" s="2">
        <v>0.9994</v>
      </c>
      <c r="O5" s="2">
        <v>1.0E-4</v>
      </c>
      <c r="P5" s="2">
        <v>-0.6274</v>
      </c>
      <c r="Q5" s="2">
        <v>0.2425</v>
      </c>
      <c r="R5" s="2">
        <v>0.2305</v>
      </c>
      <c r="S5" s="2">
        <v>231.69</v>
      </c>
      <c r="T5" s="2">
        <v>80.0</v>
      </c>
      <c r="V5" s="2">
        <f t="shared" si="2"/>
        <v>66.76115294</v>
      </c>
      <c r="W5" s="2">
        <f t="shared" si="3"/>
        <v>2.613763554</v>
      </c>
      <c r="X5" s="2">
        <f t="shared" si="4"/>
        <v>2.483891517</v>
      </c>
      <c r="Y5" s="2">
        <f t="shared" ref="Y5:Z5" si="8">_xlfn.NORM.S.DIST(W5)</f>
        <v>0.9955224507</v>
      </c>
      <c r="Z5" s="2">
        <f t="shared" si="8"/>
        <v>0.9935022305</v>
      </c>
      <c r="AA5" s="2">
        <f t="shared" si="6"/>
        <v>66.5</v>
      </c>
    </row>
    <row r="6" ht="14.25" customHeight="1">
      <c r="A6" s="2" t="s">
        <v>117</v>
      </c>
      <c r="B6" s="2" t="s">
        <v>118</v>
      </c>
      <c r="C6" s="2" t="s">
        <v>119</v>
      </c>
      <c r="D6" s="2" t="s">
        <v>29</v>
      </c>
      <c r="E6" s="2">
        <v>165.0</v>
      </c>
      <c r="F6" s="2" t="s">
        <v>30</v>
      </c>
      <c r="G6" s="2">
        <v>62.0</v>
      </c>
      <c r="I6" s="2">
        <v>65.2</v>
      </c>
      <c r="K6" s="2">
        <v>0.0</v>
      </c>
      <c r="L6" s="2">
        <v>0.0</v>
      </c>
      <c r="M6" s="2" t="s">
        <v>35</v>
      </c>
      <c r="N6" s="2">
        <v>0.999</v>
      </c>
      <c r="O6" s="2">
        <v>1.0E-4</v>
      </c>
      <c r="P6" s="2">
        <v>-0.6907</v>
      </c>
      <c r="Q6" s="2">
        <v>0.3542</v>
      </c>
      <c r="R6" s="2">
        <v>0.2328</v>
      </c>
      <c r="S6" s="2">
        <v>228.84</v>
      </c>
      <c r="T6" s="2">
        <v>79.0</v>
      </c>
      <c r="V6" s="2">
        <f t="shared" si="2"/>
        <v>63.92409404</v>
      </c>
      <c r="W6" s="2">
        <f t="shared" si="3"/>
        <v>2.509311316</v>
      </c>
      <c r="X6" s="2">
        <f t="shared" si="4"/>
        <v>2.378965754</v>
      </c>
      <c r="Y6" s="2">
        <f t="shared" ref="Y6:Z6" si="9">_xlfn.NORM.S.DIST(W6)</f>
        <v>0.9939516589</v>
      </c>
      <c r="Z6" s="2">
        <f t="shared" si="9"/>
        <v>0.9913193556</v>
      </c>
      <c r="AA6" s="2">
        <f t="shared" si="6"/>
        <v>63.6</v>
      </c>
    </row>
    <row r="7" ht="14.25" customHeight="1">
      <c r="A7" s="2" t="s">
        <v>117</v>
      </c>
      <c r="B7" s="2" t="s">
        <v>118</v>
      </c>
      <c r="C7" s="2" t="s">
        <v>119</v>
      </c>
      <c r="D7" s="2" t="s">
        <v>29</v>
      </c>
      <c r="E7" s="2">
        <v>165.0</v>
      </c>
      <c r="F7" s="2" t="s">
        <v>30</v>
      </c>
      <c r="G7" s="2">
        <v>62.5</v>
      </c>
      <c r="I7" s="2">
        <v>65.8</v>
      </c>
      <c r="K7" s="2">
        <v>0.0</v>
      </c>
      <c r="L7" s="2">
        <v>0.0</v>
      </c>
      <c r="M7" s="2" t="s">
        <v>36</v>
      </c>
      <c r="N7" s="2">
        <v>0.9993</v>
      </c>
      <c r="O7" s="2">
        <v>1.0E-4</v>
      </c>
      <c r="P7" s="2">
        <v>-0.6277</v>
      </c>
      <c r="Q7" s="2">
        <v>0.2403</v>
      </c>
      <c r="R7" s="2">
        <v>0.227</v>
      </c>
      <c r="S7" s="2">
        <v>229.46</v>
      </c>
      <c r="T7" s="2">
        <v>78.0</v>
      </c>
      <c r="V7" s="2">
        <f t="shared" si="2"/>
        <v>64.52943714</v>
      </c>
      <c r="W7" s="2">
        <f t="shared" si="3"/>
        <v>2.611293595</v>
      </c>
      <c r="X7" s="2">
        <f t="shared" si="4"/>
        <v>2.485002454</v>
      </c>
      <c r="Y7" s="2">
        <f t="shared" ref="Y7:Z7" si="10">_xlfn.NORM.S.DIST(W7)</f>
        <v>0.995489979</v>
      </c>
      <c r="Z7" s="2">
        <f t="shared" si="10"/>
        <v>0.9935224729</v>
      </c>
      <c r="AA7" s="2">
        <f t="shared" si="6"/>
        <v>64.15</v>
      </c>
    </row>
    <row r="8" ht="14.25" customHeight="1">
      <c r="A8" s="2" t="s">
        <v>117</v>
      </c>
      <c r="B8" s="2" t="s">
        <v>118</v>
      </c>
      <c r="C8" s="2" t="s">
        <v>119</v>
      </c>
      <c r="D8" s="2" t="s">
        <v>29</v>
      </c>
      <c r="E8" s="2">
        <v>165.0</v>
      </c>
      <c r="F8" s="2" t="s">
        <v>30</v>
      </c>
      <c r="G8" s="2">
        <v>65.3</v>
      </c>
      <c r="I8" s="2">
        <v>68.5</v>
      </c>
      <c r="K8" s="2">
        <v>0.0</v>
      </c>
      <c r="L8" s="2">
        <v>0.0</v>
      </c>
      <c r="M8" s="2" t="s">
        <v>37</v>
      </c>
      <c r="N8" s="2">
        <v>0.9997</v>
      </c>
      <c r="O8" s="2">
        <v>0.0</v>
      </c>
      <c r="P8" s="2">
        <v>-0.5605</v>
      </c>
      <c r="Q8" s="2">
        <v>0.116</v>
      </c>
      <c r="R8" s="2">
        <v>0.2215</v>
      </c>
      <c r="S8" s="2">
        <v>232.33</v>
      </c>
      <c r="T8" s="2">
        <v>77.0</v>
      </c>
      <c r="V8" s="2">
        <f t="shared" si="2"/>
        <v>67.38327737</v>
      </c>
      <c r="W8" s="2">
        <f t="shared" si="3"/>
        <v>2.794975869</v>
      </c>
      <c r="X8" s="2">
        <f t="shared" si="4"/>
        <v>2.672537137</v>
      </c>
      <c r="Y8" s="2">
        <f t="shared" ref="Y8:Z8" si="11">_xlfn.NORM.S.DIST(W8)</f>
        <v>0.9974048205</v>
      </c>
      <c r="Z8" s="2">
        <f t="shared" si="11"/>
        <v>0.9962359979</v>
      </c>
      <c r="AA8" s="2">
        <f t="shared" si="6"/>
        <v>66.9</v>
      </c>
    </row>
    <row r="9" ht="14.25" customHeight="1">
      <c r="A9" s="2" t="s">
        <v>117</v>
      </c>
      <c r="B9" s="2" t="s">
        <v>118</v>
      </c>
      <c r="C9" s="2" t="s">
        <v>119</v>
      </c>
      <c r="D9" s="2" t="s">
        <v>29</v>
      </c>
      <c r="E9" s="2">
        <v>165.0</v>
      </c>
      <c r="F9" s="2" t="s">
        <v>30</v>
      </c>
      <c r="G9" s="2">
        <v>65.1</v>
      </c>
      <c r="I9" s="2">
        <v>68.4</v>
      </c>
      <c r="K9" s="2">
        <v>0.0</v>
      </c>
      <c r="L9" s="2">
        <v>0.0</v>
      </c>
      <c r="M9" s="2" t="s">
        <v>38</v>
      </c>
      <c r="N9" s="2">
        <v>0.9997</v>
      </c>
      <c r="O9" s="2">
        <v>0.0</v>
      </c>
      <c r="P9" s="2">
        <v>-0.5635</v>
      </c>
      <c r="Q9" s="2">
        <v>0.1191</v>
      </c>
      <c r="R9" s="2">
        <v>0.2231</v>
      </c>
      <c r="S9" s="2">
        <v>232.15</v>
      </c>
      <c r="T9" s="2">
        <v>76.0</v>
      </c>
      <c r="V9" s="2">
        <f t="shared" si="2"/>
        <v>67.20332713</v>
      </c>
      <c r="W9" s="2">
        <f t="shared" si="3"/>
        <v>2.786801681</v>
      </c>
      <c r="X9" s="2">
        <f t="shared" si="4"/>
        <v>2.664281932</v>
      </c>
      <c r="Y9" s="2">
        <f t="shared" ref="Y9:Z9" si="12">_xlfn.NORM.S.DIST(W9)</f>
        <v>0.9973384478</v>
      </c>
      <c r="Z9" s="2">
        <f t="shared" si="12"/>
        <v>0.9961423565</v>
      </c>
      <c r="AA9" s="2">
        <f t="shared" si="6"/>
        <v>66.75</v>
      </c>
    </row>
    <row r="10" ht="14.25" customHeight="1">
      <c r="A10" s="2" t="s">
        <v>117</v>
      </c>
      <c r="B10" s="2" t="s">
        <v>118</v>
      </c>
      <c r="C10" s="2" t="s">
        <v>119</v>
      </c>
      <c r="D10" s="2" t="s">
        <v>29</v>
      </c>
      <c r="E10" s="2">
        <v>165.0</v>
      </c>
      <c r="F10" s="2" t="s">
        <v>30</v>
      </c>
      <c r="G10" s="2">
        <v>63.0</v>
      </c>
      <c r="I10" s="2">
        <v>66.3</v>
      </c>
      <c r="K10" s="2">
        <v>0.0</v>
      </c>
      <c r="L10" s="2">
        <v>0.0</v>
      </c>
      <c r="M10" s="2" t="s">
        <v>39</v>
      </c>
      <c r="N10" s="2">
        <v>0.9964</v>
      </c>
      <c r="O10" s="2">
        <v>1.0E-4</v>
      </c>
      <c r="P10" s="2">
        <v>2.4976</v>
      </c>
      <c r="Q10" s="2">
        <v>0.3021</v>
      </c>
      <c r="R10" s="2">
        <v>0.2404</v>
      </c>
      <c r="S10" s="2">
        <v>229.87</v>
      </c>
      <c r="T10" s="2">
        <v>73.0</v>
      </c>
      <c r="V10" s="2">
        <f t="shared" si="2"/>
        <v>64.94378354</v>
      </c>
      <c r="W10" s="2">
        <f t="shared" si="3"/>
        <v>2.562580909</v>
      </c>
      <c r="X10" s="2">
        <f t="shared" si="4"/>
        <v>2.433192425</v>
      </c>
      <c r="Y10" s="2">
        <f t="shared" ref="Y10:Z10" si="13">_xlfn.NORM.S.DIST(W10)</f>
        <v>0.9948051312</v>
      </c>
      <c r="Z10" s="2">
        <f t="shared" si="13"/>
        <v>0.9925168276</v>
      </c>
      <c r="AA10" s="2">
        <f t="shared" si="6"/>
        <v>64.65</v>
      </c>
    </row>
    <row r="11" ht="14.25" customHeight="1">
      <c r="A11" s="2" t="s">
        <v>117</v>
      </c>
      <c r="B11" s="2" t="s">
        <v>118</v>
      </c>
      <c r="C11" s="2" t="s">
        <v>119</v>
      </c>
      <c r="D11" s="2" t="s">
        <v>29</v>
      </c>
      <c r="E11" s="2">
        <v>165.0</v>
      </c>
      <c r="F11" s="2" t="s">
        <v>30</v>
      </c>
      <c r="G11" s="2">
        <v>65.2</v>
      </c>
      <c r="I11" s="2">
        <v>68.4</v>
      </c>
      <c r="K11" s="2">
        <v>0.0</v>
      </c>
      <c r="L11" s="2">
        <v>0.0</v>
      </c>
      <c r="M11" s="2" t="s">
        <v>40</v>
      </c>
      <c r="N11" s="2">
        <v>0.9965</v>
      </c>
      <c r="O11" s="2">
        <v>1.0E-4</v>
      </c>
      <c r="P11" s="2">
        <v>2.6762</v>
      </c>
      <c r="Q11" s="2">
        <v>0.2543</v>
      </c>
      <c r="R11" s="2">
        <v>0.2448</v>
      </c>
      <c r="S11" s="2">
        <v>232.11</v>
      </c>
      <c r="T11" s="2">
        <v>72.0</v>
      </c>
      <c r="V11" s="2">
        <f t="shared" si="2"/>
        <v>67.17843459</v>
      </c>
      <c r="W11" s="2">
        <f t="shared" si="3"/>
        <v>2.608047718</v>
      </c>
      <c r="X11" s="2">
        <f t="shared" si="4"/>
        <v>2.477196614</v>
      </c>
      <c r="Y11" s="2">
        <f t="shared" ref="Y11:Z11" si="14">_xlfn.NORM.S.DIST(W11)</f>
        <v>0.995446987</v>
      </c>
      <c r="Z11" s="2">
        <f t="shared" si="14"/>
        <v>0.9933790533</v>
      </c>
      <c r="AA11" s="2">
        <f t="shared" si="6"/>
        <v>66.8</v>
      </c>
    </row>
    <row r="12" ht="14.25" customHeight="1">
      <c r="A12" s="2" t="s">
        <v>117</v>
      </c>
      <c r="B12" s="2" t="s">
        <v>118</v>
      </c>
      <c r="C12" s="2" t="s">
        <v>119</v>
      </c>
      <c r="D12" s="2" t="s">
        <v>29</v>
      </c>
      <c r="E12" s="2">
        <v>165.0</v>
      </c>
      <c r="F12" s="2" t="s">
        <v>30</v>
      </c>
      <c r="G12" s="2">
        <v>66.9</v>
      </c>
      <c r="I12" s="2">
        <v>70.1</v>
      </c>
      <c r="K12" s="2">
        <v>0.0</v>
      </c>
      <c r="L12" s="2">
        <v>0.0</v>
      </c>
      <c r="M12" s="2" t="s">
        <v>41</v>
      </c>
      <c r="N12" s="2">
        <v>0.9926</v>
      </c>
      <c r="O12" s="2">
        <v>4.0E-4</v>
      </c>
      <c r="P12" s="2">
        <v>1.8166</v>
      </c>
      <c r="Q12" s="2">
        <v>1.3655</v>
      </c>
      <c r="R12" s="2">
        <v>0.3108</v>
      </c>
      <c r="S12" s="2">
        <v>233.82</v>
      </c>
      <c r="T12" s="2">
        <v>71.0</v>
      </c>
      <c r="V12" s="2">
        <f t="shared" si="2"/>
        <v>69.04800019</v>
      </c>
      <c r="W12" s="2">
        <f t="shared" si="3"/>
        <v>2.113124505</v>
      </c>
      <c r="X12" s="2">
        <f t="shared" si="4"/>
        <v>1.948152629</v>
      </c>
      <c r="Y12" s="2">
        <f t="shared" ref="Y12:Z12" si="15">_xlfn.NORM.S.DIST(W12)</f>
        <v>0.9827049436</v>
      </c>
      <c r="Z12" s="2">
        <f t="shared" si="15"/>
        <v>0.9743016485</v>
      </c>
      <c r="AA12" s="2">
        <f t="shared" si="6"/>
        <v>68.5</v>
      </c>
    </row>
    <row r="13" ht="14.25" customHeight="1">
      <c r="A13" s="2" t="s">
        <v>117</v>
      </c>
      <c r="B13" s="2" t="s">
        <v>118</v>
      </c>
      <c r="C13" s="2" t="s">
        <v>119</v>
      </c>
      <c r="D13" s="2" t="s">
        <v>29</v>
      </c>
      <c r="E13" s="2">
        <v>165.0</v>
      </c>
      <c r="F13" s="2" t="s">
        <v>30</v>
      </c>
      <c r="G13" s="2">
        <v>68.7</v>
      </c>
      <c r="I13" s="2">
        <v>72.0</v>
      </c>
      <c r="K13" s="2">
        <v>0.0</v>
      </c>
      <c r="L13" s="2">
        <v>0.0</v>
      </c>
      <c r="M13" s="2" t="s">
        <v>42</v>
      </c>
      <c r="N13" s="2">
        <v>0.9912</v>
      </c>
      <c r="O13" s="2">
        <v>5.0E-4</v>
      </c>
      <c r="P13" s="2">
        <v>1.4919</v>
      </c>
      <c r="Q13" s="2">
        <v>1.7326</v>
      </c>
      <c r="R13" s="2">
        <v>0.3322</v>
      </c>
      <c r="S13" s="2">
        <v>235.5</v>
      </c>
      <c r="T13" s="2">
        <v>70.0</v>
      </c>
      <c r="V13" s="2">
        <f t="shared" si="2"/>
        <v>70.79162967</v>
      </c>
      <c r="W13" s="2">
        <f t="shared" si="3"/>
        <v>2.031961051</v>
      </c>
      <c r="X13" s="2">
        <f t="shared" si="4"/>
        <v>1.856876278</v>
      </c>
      <c r="Y13" s="2">
        <f t="shared" ref="Y13:Z13" si="16">_xlfn.NORM.S.DIST(W13)</f>
        <v>0.9789212004</v>
      </c>
      <c r="Z13" s="2">
        <f t="shared" si="16"/>
        <v>0.9683356208</v>
      </c>
      <c r="AA13" s="2">
        <f t="shared" si="6"/>
        <v>70.35</v>
      </c>
    </row>
    <row r="14" ht="14.25" customHeight="1">
      <c r="A14" s="2" t="s">
        <v>117</v>
      </c>
      <c r="B14" s="2" t="s">
        <v>118</v>
      </c>
      <c r="C14" s="2" t="s">
        <v>119</v>
      </c>
      <c r="D14" s="2" t="s">
        <v>29</v>
      </c>
      <c r="E14" s="2">
        <v>165.0</v>
      </c>
      <c r="F14" s="2" t="s">
        <v>30</v>
      </c>
      <c r="G14" s="2">
        <v>72.5</v>
      </c>
      <c r="I14" s="2">
        <v>76.2</v>
      </c>
      <c r="K14" s="2">
        <v>0.0</v>
      </c>
      <c r="L14" s="2">
        <v>0.0</v>
      </c>
      <c r="M14" s="2" t="s">
        <v>43</v>
      </c>
      <c r="N14" s="2">
        <v>0.9972</v>
      </c>
      <c r="O14" s="2">
        <v>0.0</v>
      </c>
      <c r="P14" s="2">
        <v>3.0143</v>
      </c>
      <c r="Q14" s="2">
        <v>0.0148</v>
      </c>
      <c r="R14" s="2">
        <v>0.2191</v>
      </c>
      <c r="S14" s="2">
        <v>240.14</v>
      </c>
      <c r="T14" s="2">
        <v>69.0</v>
      </c>
      <c r="V14" s="2">
        <f t="shared" si="2"/>
        <v>75.17472601</v>
      </c>
      <c r="W14" s="2">
        <f t="shared" si="3"/>
        <v>3.273292741</v>
      </c>
      <c r="X14" s="2">
        <f t="shared" si="4"/>
        <v>3.158644696</v>
      </c>
      <c r="Y14" s="2">
        <f t="shared" ref="Y14:Z14" si="17">_xlfn.NORM.S.DIST(W14)</f>
        <v>0.9994684884</v>
      </c>
      <c r="Z14" s="2">
        <f t="shared" si="17"/>
        <v>0.999207477</v>
      </c>
      <c r="AA14" s="2">
        <f t="shared" si="6"/>
        <v>74.35</v>
      </c>
    </row>
    <row r="15" ht="14.25" customHeight="1">
      <c r="A15" s="2" t="s">
        <v>117</v>
      </c>
      <c r="B15" s="2" t="s">
        <v>118</v>
      </c>
      <c r="C15" s="2" t="s">
        <v>119</v>
      </c>
      <c r="D15" s="2" t="s">
        <v>29</v>
      </c>
      <c r="E15" s="2">
        <v>165.0</v>
      </c>
      <c r="F15" s="2" t="s">
        <v>30</v>
      </c>
      <c r="G15" s="2">
        <v>75.6</v>
      </c>
      <c r="I15" s="2">
        <v>78.9</v>
      </c>
      <c r="K15" s="2">
        <v>0.0</v>
      </c>
      <c r="L15" s="2">
        <v>0.0</v>
      </c>
      <c r="M15" s="2" t="s">
        <v>45</v>
      </c>
      <c r="N15" s="2">
        <v>0.9972</v>
      </c>
      <c r="O15" s="2">
        <v>0.0</v>
      </c>
      <c r="P15" s="2">
        <v>3.22</v>
      </c>
      <c r="Q15" s="2">
        <v>0.0458</v>
      </c>
      <c r="R15" s="2">
        <v>0.2539</v>
      </c>
      <c r="S15" s="2">
        <v>242.0</v>
      </c>
      <c r="T15" s="2">
        <v>64.0</v>
      </c>
      <c r="V15" s="2">
        <f t="shared" si="2"/>
        <v>77.03899151</v>
      </c>
      <c r="W15" s="2">
        <f t="shared" si="3"/>
        <v>2.993212643</v>
      </c>
      <c r="X15" s="2">
        <f t="shared" si="4"/>
        <v>2.86525907</v>
      </c>
      <c r="Y15" s="2">
        <f t="shared" ref="Y15:Z15" si="18">_xlfn.NORM.S.DIST(W15)</f>
        <v>0.9986197133</v>
      </c>
      <c r="Z15" s="2">
        <f t="shared" si="18"/>
        <v>0.997916659</v>
      </c>
      <c r="AA15" s="2">
        <f t="shared" si="6"/>
        <v>77.25</v>
      </c>
    </row>
    <row r="16" ht="14.25" customHeight="1">
      <c r="A16" s="2" t="s">
        <v>117</v>
      </c>
      <c r="B16" s="2" t="s">
        <v>118</v>
      </c>
      <c r="C16" s="2" t="s">
        <v>119</v>
      </c>
      <c r="D16" s="2" t="s">
        <v>29</v>
      </c>
      <c r="E16" s="2">
        <v>165.0</v>
      </c>
      <c r="F16" s="2" t="s">
        <v>30</v>
      </c>
      <c r="G16" s="2">
        <v>74.6</v>
      </c>
      <c r="I16" s="2">
        <v>78.0</v>
      </c>
      <c r="K16" s="2">
        <v>0.0</v>
      </c>
      <c r="L16" s="2">
        <v>0.0</v>
      </c>
      <c r="M16" s="2" t="s">
        <v>46</v>
      </c>
      <c r="N16" s="2">
        <v>0.9973</v>
      </c>
      <c r="O16" s="2">
        <v>0.0</v>
      </c>
      <c r="P16" s="2">
        <v>3.3606</v>
      </c>
      <c r="Q16" s="2">
        <v>0.0</v>
      </c>
      <c r="R16" s="2">
        <v>0.1738</v>
      </c>
      <c r="S16" s="2">
        <v>242.72</v>
      </c>
      <c r="T16" s="2">
        <v>63.0</v>
      </c>
      <c r="V16" s="2">
        <f t="shared" si="2"/>
        <v>77.74888793</v>
      </c>
      <c r="W16" s="2">
        <f t="shared" si="3"/>
        <v>4.44146193</v>
      </c>
      <c r="X16" s="2">
        <f t="shared" si="4"/>
        <v>4.35456193</v>
      </c>
      <c r="Y16" s="2">
        <f t="shared" ref="Y16:Z16" si="19">_xlfn.NORM.S.DIST(W16)</f>
        <v>0.9999955325</v>
      </c>
      <c r="Z16" s="2">
        <f t="shared" si="19"/>
        <v>0.9999933333</v>
      </c>
      <c r="AA16" s="2">
        <f t="shared" si="6"/>
        <v>76.3</v>
      </c>
    </row>
    <row r="17" ht="14.25" customHeight="1">
      <c r="A17" s="2" t="s">
        <v>117</v>
      </c>
      <c r="B17" s="2" t="s">
        <v>118</v>
      </c>
      <c r="C17" s="2" t="s">
        <v>119</v>
      </c>
      <c r="D17" s="2" t="s">
        <v>29</v>
      </c>
      <c r="E17" s="2">
        <v>165.0</v>
      </c>
      <c r="F17" s="2" t="s">
        <v>30</v>
      </c>
      <c r="G17" s="2">
        <v>79.4</v>
      </c>
      <c r="I17" s="2">
        <v>83.0</v>
      </c>
      <c r="K17" s="2">
        <v>0.0</v>
      </c>
      <c r="L17" s="2">
        <v>0.0</v>
      </c>
      <c r="M17" s="2" t="s">
        <v>48</v>
      </c>
      <c r="N17" s="2">
        <v>0.9974</v>
      </c>
      <c r="O17" s="2">
        <v>0.0</v>
      </c>
      <c r="P17" s="2">
        <v>3.5475</v>
      </c>
      <c r="Q17" s="2">
        <v>0.0014</v>
      </c>
      <c r="R17" s="2">
        <v>0.2226</v>
      </c>
      <c r="S17" s="2">
        <v>241.58</v>
      </c>
      <c r="T17" s="2">
        <v>59.0</v>
      </c>
      <c r="V17" s="2">
        <f t="shared" si="2"/>
        <v>76.60807629</v>
      </c>
      <c r="W17" s="2">
        <f t="shared" si="3"/>
        <v>3.539687227</v>
      </c>
      <c r="X17" s="2">
        <f t="shared" si="4"/>
        <v>3.431978499</v>
      </c>
      <c r="Y17" s="2">
        <f t="shared" ref="Y17:Z17" si="20">_xlfn.NORM.S.DIST(W17)</f>
        <v>0.9997996992</v>
      </c>
      <c r="Z17" s="2">
        <f t="shared" si="20"/>
        <v>0.9997004025</v>
      </c>
      <c r="AA17" s="2">
        <f t="shared" si="6"/>
        <v>81.2</v>
      </c>
    </row>
    <row r="18" ht="14.25" customHeight="1">
      <c r="A18" s="2" t="s">
        <v>117</v>
      </c>
      <c r="B18" s="2" t="s">
        <v>118</v>
      </c>
      <c r="C18" s="2" t="s">
        <v>119</v>
      </c>
      <c r="D18" s="2" t="s">
        <v>29</v>
      </c>
      <c r="E18" s="2">
        <v>165.0</v>
      </c>
      <c r="F18" s="2" t="s">
        <v>30</v>
      </c>
      <c r="G18" s="2">
        <v>80.3</v>
      </c>
      <c r="I18" s="2">
        <v>84.1</v>
      </c>
      <c r="K18" s="2">
        <v>0.0</v>
      </c>
      <c r="L18" s="2">
        <v>0.0</v>
      </c>
      <c r="M18" s="2" t="s">
        <v>49</v>
      </c>
      <c r="N18" s="2">
        <v>0.9974</v>
      </c>
      <c r="O18" s="2">
        <v>0.0</v>
      </c>
      <c r="P18" s="2">
        <v>3.6195</v>
      </c>
      <c r="Q18" s="2">
        <v>5.0E-4</v>
      </c>
      <c r="R18" s="2">
        <v>0.2199</v>
      </c>
      <c r="S18" s="2">
        <v>245.0</v>
      </c>
      <c r="T18" s="2">
        <v>58.0</v>
      </c>
      <c r="V18" s="2">
        <f t="shared" si="2"/>
        <v>80.02701649</v>
      </c>
      <c r="W18" s="2">
        <f t="shared" si="3"/>
        <v>3.747156669</v>
      </c>
      <c r="X18" s="2">
        <f t="shared" si="4"/>
        <v>3.64165995</v>
      </c>
      <c r="Y18" s="2">
        <f t="shared" ref="Y18:Z18" si="21">_xlfn.NORM.S.DIST(W18)</f>
        <v>0.9999105748</v>
      </c>
      <c r="Z18" s="2">
        <f t="shared" si="21"/>
        <v>0.9998645571</v>
      </c>
      <c r="AA18" s="2">
        <f t="shared" si="6"/>
        <v>82.2</v>
      </c>
    </row>
    <row r="19" ht="14.25" customHeight="1">
      <c r="A19" s="2" t="s">
        <v>117</v>
      </c>
      <c r="B19" s="2" t="s">
        <v>118</v>
      </c>
      <c r="C19" s="2" t="s">
        <v>119</v>
      </c>
      <c r="D19" s="2" t="s">
        <v>29</v>
      </c>
      <c r="E19" s="2">
        <v>165.0</v>
      </c>
      <c r="F19" s="2" t="s">
        <v>30</v>
      </c>
      <c r="G19" s="2">
        <v>78.4</v>
      </c>
      <c r="I19" s="2">
        <v>82.5</v>
      </c>
      <c r="K19" s="2">
        <v>0.0</v>
      </c>
      <c r="L19" s="2">
        <v>0.0</v>
      </c>
      <c r="M19" s="2" t="s">
        <v>50</v>
      </c>
      <c r="N19" s="2">
        <v>0.9974</v>
      </c>
      <c r="O19" s="2">
        <v>0.0</v>
      </c>
      <c r="P19" s="2">
        <v>3.6251</v>
      </c>
      <c r="Q19" s="2">
        <v>0.0092</v>
      </c>
      <c r="R19" s="2">
        <v>0.251</v>
      </c>
      <c r="S19" s="2">
        <v>246.32</v>
      </c>
      <c r="T19" s="2">
        <v>57.0</v>
      </c>
      <c r="V19" s="2">
        <f t="shared" si="2"/>
        <v>81.34850074</v>
      </c>
      <c r="W19" s="2">
        <f t="shared" si="3"/>
        <v>3.356551552</v>
      </c>
      <c r="X19" s="2">
        <f t="shared" si="4"/>
        <v>3.23717724</v>
      </c>
      <c r="Y19" s="2">
        <f t="shared" ref="Y19:Z19" si="22">_xlfn.NORM.S.DIST(W19)</f>
        <v>0.999605395</v>
      </c>
      <c r="Z19" s="2">
        <f t="shared" si="22"/>
        <v>0.999396408</v>
      </c>
      <c r="AA19" s="2">
        <f t="shared" si="6"/>
        <v>80.45</v>
      </c>
    </row>
    <row r="20" ht="14.25" customHeight="1">
      <c r="A20" s="2" t="s">
        <v>117</v>
      </c>
      <c r="B20" s="2" t="s">
        <v>118</v>
      </c>
      <c r="C20" s="2" t="s">
        <v>91</v>
      </c>
      <c r="D20" s="2" t="s">
        <v>29</v>
      </c>
      <c r="E20" s="2">
        <v>165.0</v>
      </c>
      <c r="F20" s="2" t="s">
        <v>30</v>
      </c>
      <c r="G20" s="2">
        <v>78.8</v>
      </c>
      <c r="I20" s="2">
        <v>82.0</v>
      </c>
      <c r="K20" s="2">
        <v>0.0</v>
      </c>
      <c r="L20" s="2">
        <v>0.0</v>
      </c>
      <c r="M20" s="2" t="s">
        <v>59</v>
      </c>
      <c r="N20" s="2">
        <v>0.9979</v>
      </c>
      <c r="O20" s="2">
        <v>0.0</v>
      </c>
      <c r="P20" s="2">
        <v>3.5583</v>
      </c>
      <c r="Q20" s="2">
        <v>0.0279</v>
      </c>
      <c r="R20" s="2">
        <v>0.306</v>
      </c>
      <c r="S20" s="2">
        <v>247.95</v>
      </c>
      <c r="T20" s="2">
        <v>45.0</v>
      </c>
      <c r="V20" s="2">
        <f t="shared" si="2"/>
        <v>82.97624488</v>
      </c>
      <c r="W20" s="2">
        <f t="shared" si="3"/>
        <v>3.149687151</v>
      </c>
      <c r="X20" s="2">
        <f t="shared" si="4"/>
        <v>3.02037855</v>
      </c>
      <c r="Y20" s="2">
        <f t="shared" ref="Y20:Z20" si="23">_xlfn.NORM.S.DIST(W20)</f>
        <v>0.9991827731</v>
      </c>
      <c r="Z20" s="2">
        <f t="shared" si="23"/>
        <v>0.9987377053</v>
      </c>
      <c r="AA20" s="2">
        <f t="shared" si="6"/>
        <v>80.4</v>
      </c>
    </row>
    <row r="21" ht="14.25" customHeight="1">
      <c r="A21" s="2" t="s">
        <v>117</v>
      </c>
      <c r="B21" s="2" t="s">
        <v>118</v>
      </c>
      <c r="C21" s="2" t="s">
        <v>91</v>
      </c>
      <c r="D21" s="2" t="s">
        <v>29</v>
      </c>
      <c r="E21" s="2">
        <v>165.0</v>
      </c>
      <c r="F21" s="2" t="s">
        <v>30</v>
      </c>
      <c r="G21" s="2">
        <v>79.3</v>
      </c>
      <c r="I21" s="2">
        <v>82.6</v>
      </c>
      <c r="K21" s="2">
        <v>0.0</v>
      </c>
      <c r="L21" s="2">
        <v>0.0</v>
      </c>
      <c r="M21" s="2" t="s">
        <v>60</v>
      </c>
      <c r="N21" s="2">
        <v>0.998</v>
      </c>
      <c r="O21" s="2">
        <v>0.0</v>
      </c>
      <c r="P21" s="2">
        <v>3.6323</v>
      </c>
      <c r="Q21" s="2">
        <v>2.0E-4</v>
      </c>
      <c r="R21" s="2">
        <v>0.2421</v>
      </c>
      <c r="S21" s="2">
        <v>246.05</v>
      </c>
      <c r="T21" s="2">
        <v>44.0</v>
      </c>
      <c r="V21" s="2">
        <f t="shared" si="2"/>
        <v>81.07034077</v>
      </c>
      <c r="W21" s="2">
        <f t="shared" si="3"/>
        <v>3.949962622</v>
      </c>
      <c r="X21" s="2">
        <f t="shared" si="4"/>
        <v>3.848799818</v>
      </c>
      <c r="Y21" s="2">
        <f t="shared" ref="Y21:Z21" si="24">_xlfn.NORM.S.DIST(W21)</f>
        <v>0.9999609183</v>
      </c>
      <c r="Z21" s="2">
        <f t="shared" si="24"/>
        <v>0.999940651</v>
      </c>
      <c r="AA21" s="2">
        <f t="shared" si="6"/>
        <v>80.95</v>
      </c>
    </row>
    <row r="22" ht="14.25" customHeight="1">
      <c r="A22" s="2" t="s">
        <v>117</v>
      </c>
      <c r="B22" s="2" t="s">
        <v>118</v>
      </c>
      <c r="C22" s="2" t="s">
        <v>91</v>
      </c>
      <c r="D22" s="2" t="s">
        <v>29</v>
      </c>
      <c r="E22" s="2">
        <v>165.0</v>
      </c>
      <c r="F22" s="2" t="s">
        <v>30</v>
      </c>
      <c r="G22" s="2">
        <v>81.1</v>
      </c>
      <c r="I22" s="2">
        <v>84.5</v>
      </c>
      <c r="K22" s="2">
        <v>0.0</v>
      </c>
      <c r="L22" s="2">
        <v>0.0</v>
      </c>
      <c r="M22" s="2" t="s">
        <v>61</v>
      </c>
      <c r="N22" s="2">
        <v>0.9981</v>
      </c>
      <c r="O22" s="2">
        <v>0.0</v>
      </c>
      <c r="P22" s="2">
        <v>3.6608</v>
      </c>
      <c r="Q22" s="2">
        <v>0.0</v>
      </c>
      <c r="R22" s="2">
        <v>0.1642</v>
      </c>
      <c r="S22" s="2">
        <v>247.66</v>
      </c>
      <c r="T22" s="2">
        <v>43.0</v>
      </c>
      <c r="V22" s="2">
        <f t="shared" si="2"/>
        <v>82.67970716</v>
      </c>
      <c r="W22" s="2">
        <f t="shared" si="3"/>
        <v>5.987396677</v>
      </c>
      <c r="X22" s="2">
        <f t="shared" si="4"/>
        <v>5.919568974</v>
      </c>
      <c r="Y22" s="2">
        <f t="shared" ref="Y22:Z22" si="25">_xlfn.NORM.S.DIST(W22)</f>
        <v>0.9999999989</v>
      </c>
      <c r="Z22" s="2">
        <f t="shared" si="25"/>
        <v>0.9999999984</v>
      </c>
      <c r="AA22" s="2">
        <f t="shared" si="6"/>
        <v>82.8</v>
      </c>
    </row>
    <row r="23" ht="14.25" customHeight="1">
      <c r="A23" s="2" t="s">
        <v>117</v>
      </c>
      <c r="B23" s="2" t="s">
        <v>118</v>
      </c>
      <c r="C23" s="2" t="s">
        <v>91</v>
      </c>
      <c r="D23" s="2" t="s">
        <v>29</v>
      </c>
      <c r="E23" s="2">
        <v>165.0</v>
      </c>
      <c r="F23" s="2" t="s">
        <v>30</v>
      </c>
      <c r="G23" s="2">
        <v>88.9</v>
      </c>
      <c r="I23" s="2">
        <v>92.2</v>
      </c>
      <c r="K23" s="2">
        <v>0.0</v>
      </c>
      <c r="L23" s="2">
        <v>0.0</v>
      </c>
      <c r="M23" s="2" t="s">
        <v>62</v>
      </c>
      <c r="N23" s="2">
        <v>0.9981</v>
      </c>
      <c r="O23" s="2">
        <v>0.0</v>
      </c>
      <c r="P23" s="2">
        <v>3.7623</v>
      </c>
      <c r="Q23" s="2">
        <v>7.0E-4</v>
      </c>
      <c r="R23" s="2">
        <v>0.2821</v>
      </c>
      <c r="S23" s="2">
        <v>250.67</v>
      </c>
      <c r="T23" s="2">
        <v>42.0</v>
      </c>
      <c r="V23" s="2">
        <f t="shared" si="2"/>
        <v>85.69002565</v>
      </c>
      <c r="W23" s="2">
        <f t="shared" si="3"/>
        <v>3.631182806</v>
      </c>
      <c r="X23" s="2">
        <f t="shared" si="4"/>
        <v>3.516015963</v>
      </c>
      <c r="Y23" s="2">
        <f t="shared" ref="Y23:Z23" si="26">_xlfn.NORM.S.DIST(W23)</f>
        <v>0.9998589374</v>
      </c>
      <c r="Z23" s="2">
        <f t="shared" si="26"/>
        <v>0.9997809627</v>
      </c>
      <c r="AA23" s="2">
        <f t="shared" si="6"/>
        <v>90.55</v>
      </c>
    </row>
    <row r="24" ht="14.25" customHeight="1">
      <c r="A24" s="2" t="s">
        <v>117</v>
      </c>
      <c r="B24" s="2" t="s">
        <v>118</v>
      </c>
      <c r="C24" s="2" t="s">
        <v>91</v>
      </c>
      <c r="D24" s="2" t="s">
        <v>29</v>
      </c>
      <c r="E24" s="2">
        <v>165.0</v>
      </c>
      <c r="F24" s="2" t="s">
        <v>30</v>
      </c>
      <c r="G24" s="2">
        <v>85.1</v>
      </c>
      <c r="I24" s="2">
        <v>88.3</v>
      </c>
      <c r="K24" s="2">
        <v>0.0</v>
      </c>
      <c r="L24" s="2">
        <v>0.0</v>
      </c>
      <c r="M24" s="2" t="s">
        <v>63</v>
      </c>
      <c r="N24" s="2">
        <v>0.9982</v>
      </c>
      <c r="O24" s="2">
        <v>0.0</v>
      </c>
      <c r="P24" s="2">
        <v>3.4788</v>
      </c>
      <c r="Q24" s="2">
        <v>0.0091</v>
      </c>
      <c r="R24" s="2">
        <v>0.3175</v>
      </c>
      <c r="S24" s="2">
        <v>248.08</v>
      </c>
      <c r="T24" s="2">
        <v>41.0</v>
      </c>
      <c r="V24" s="2">
        <f t="shared" si="2"/>
        <v>83.10369471</v>
      </c>
      <c r="W24" s="2">
        <f t="shared" si="3"/>
        <v>3.184329583</v>
      </c>
      <c r="X24" s="2">
        <f t="shared" si="4"/>
        <v>3.056263128</v>
      </c>
      <c r="Y24" s="2">
        <f t="shared" ref="Y24:Z24" si="27">_xlfn.NORM.S.DIST(W24)</f>
        <v>0.9992745514</v>
      </c>
      <c r="Z24" s="2">
        <f t="shared" si="27"/>
        <v>0.9988794276</v>
      </c>
      <c r="AA24" s="2">
        <f t="shared" si="6"/>
        <v>86.7</v>
      </c>
    </row>
    <row r="25" ht="14.25" customHeight="1">
      <c r="A25" s="2" t="s">
        <v>117</v>
      </c>
      <c r="B25" s="2" t="s">
        <v>118</v>
      </c>
      <c r="C25" s="2" t="s">
        <v>91</v>
      </c>
      <c r="D25" s="2" t="s">
        <v>29</v>
      </c>
      <c r="E25" s="2">
        <v>165.0</v>
      </c>
      <c r="F25" s="2" t="s">
        <v>30</v>
      </c>
      <c r="G25" s="2">
        <v>86.8</v>
      </c>
      <c r="I25" s="2">
        <v>90.0</v>
      </c>
      <c r="K25" s="2">
        <v>0.0</v>
      </c>
      <c r="L25" s="2">
        <v>0.0</v>
      </c>
      <c r="M25" s="2" t="s">
        <v>64</v>
      </c>
      <c r="N25" s="2">
        <v>0.9987</v>
      </c>
      <c r="O25" s="2">
        <v>0.0</v>
      </c>
      <c r="P25" s="2">
        <v>2.769</v>
      </c>
      <c r="Q25" s="2">
        <v>0.0</v>
      </c>
      <c r="R25" s="2">
        <v>0.2607</v>
      </c>
      <c r="S25" s="2">
        <v>247.4</v>
      </c>
      <c r="T25" s="2">
        <v>37.0</v>
      </c>
      <c r="V25" s="2">
        <f t="shared" si="2"/>
        <v>82.41706651</v>
      </c>
      <c r="W25" s="2">
        <f t="shared" si="3"/>
        <v>4.054887344</v>
      </c>
      <c r="X25" s="2">
        <f t="shared" si="4"/>
        <v>3.954992833</v>
      </c>
      <c r="Y25" s="2">
        <f t="shared" ref="Y25:Z25" si="28">_xlfn.NORM.S.DIST(W25)</f>
        <v>0.9999749208</v>
      </c>
      <c r="Z25" s="2">
        <f t="shared" si="28"/>
        <v>0.9999617315</v>
      </c>
      <c r="AA25" s="2">
        <f t="shared" si="6"/>
        <v>88.4</v>
      </c>
    </row>
    <row r="26" ht="14.25" customHeight="1">
      <c r="A26" s="2" t="s">
        <v>117</v>
      </c>
      <c r="B26" s="2" t="s">
        <v>118</v>
      </c>
      <c r="C26" s="2" t="s">
        <v>91</v>
      </c>
      <c r="D26" s="2" t="s">
        <v>29</v>
      </c>
      <c r="E26" s="2">
        <v>165.0</v>
      </c>
      <c r="F26" s="2" t="s">
        <v>30</v>
      </c>
      <c r="G26" s="2">
        <v>80.3</v>
      </c>
      <c r="I26" s="2">
        <v>83.5</v>
      </c>
      <c r="K26" s="2">
        <v>0.0</v>
      </c>
      <c r="L26" s="2">
        <v>0.0</v>
      </c>
      <c r="M26" s="2" t="s">
        <v>65</v>
      </c>
      <c r="N26" s="2">
        <v>0.9988</v>
      </c>
      <c r="O26" s="2">
        <v>0.0</v>
      </c>
      <c r="P26" s="2">
        <v>2.684</v>
      </c>
      <c r="Q26" s="2">
        <v>0.0015</v>
      </c>
      <c r="R26" s="2">
        <v>0.2936</v>
      </c>
      <c r="S26" s="2">
        <v>246.43</v>
      </c>
      <c r="T26" s="2">
        <v>36.0</v>
      </c>
      <c r="V26" s="2">
        <f t="shared" si="2"/>
        <v>81.44729549</v>
      </c>
      <c r="W26" s="2">
        <f t="shared" si="3"/>
        <v>3.614771278</v>
      </c>
      <c r="X26" s="2">
        <f t="shared" si="4"/>
        <v>3.503800909</v>
      </c>
      <c r="Y26" s="2">
        <f t="shared" ref="Y26:Z26" si="29">_xlfn.NORM.S.DIST(W26)</f>
        <v>0.9998496936</v>
      </c>
      <c r="Z26" s="2">
        <f t="shared" si="29"/>
        <v>0.9997706659</v>
      </c>
      <c r="AA26" s="2">
        <f t="shared" si="6"/>
        <v>81.9</v>
      </c>
    </row>
    <row r="27" ht="14.25" customHeight="1">
      <c r="A27" s="2" t="s">
        <v>117</v>
      </c>
      <c r="B27" s="2" t="s">
        <v>118</v>
      </c>
      <c r="C27" s="2" t="s">
        <v>91</v>
      </c>
      <c r="D27" s="2" t="s">
        <v>29</v>
      </c>
      <c r="E27" s="2">
        <v>165.0</v>
      </c>
      <c r="F27" s="2" t="s">
        <v>30</v>
      </c>
      <c r="G27" s="2">
        <v>76.6</v>
      </c>
      <c r="I27" s="2">
        <v>79.8</v>
      </c>
      <c r="K27" s="2">
        <v>0.0</v>
      </c>
      <c r="L27" s="2">
        <v>0.0</v>
      </c>
      <c r="M27" s="2" t="s">
        <v>66</v>
      </c>
      <c r="N27" s="2">
        <v>0.9988</v>
      </c>
      <c r="O27" s="2">
        <v>0.0</v>
      </c>
      <c r="P27" s="2">
        <v>2.6392</v>
      </c>
      <c r="Q27" s="2">
        <v>0.0</v>
      </c>
      <c r="R27" s="2">
        <v>0.1903</v>
      </c>
      <c r="S27" s="2">
        <v>246.26</v>
      </c>
      <c r="T27" s="2">
        <v>35.0</v>
      </c>
      <c r="V27" s="2">
        <f t="shared" si="2"/>
        <v>81.27604091</v>
      </c>
      <c r="W27" s="2">
        <f t="shared" si="3"/>
        <v>5.646346567</v>
      </c>
      <c r="X27" s="2">
        <f t="shared" si="4"/>
        <v>5.575425945</v>
      </c>
      <c r="Y27" s="2">
        <f t="shared" ref="Y27:Z27" si="30">_xlfn.NORM.S.DIST(W27)</f>
        <v>0.9999999918</v>
      </c>
      <c r="Z27" s="2">
        <f t="shared" si="30"/>
        <v>0.9999999877</v>
      </c>
      <c r="AA27" s="2">
        <f t="shared" si="6"/>
        <v>78.2</v>
      </c>
    </row>
    <row r="28" ht="14.25" customHeight="1">
      <c r="A28" s="2" t="s">
        <v>117</v>
      </c>
      <c r="B28" s="2" t="s">
        <v>118</v>
      </c>
      <c r="C28" s="2" t="s">
        <v>91</v>
      </c>
      <c r="D28" s="2" t="s">
        <v>29</v>
      </c>
      <c r="E28" s="2">
        <v>165.0</v>
      </c>
      <c r="F28" s="2" t="s">
        <v>30</v>
      </c>
      <c r="G28" s="2">
        <v>78.9</v>
      </c>
      <c r="I28" s="2">
        <v>82.2</v>
      </c>
      <c r="K28" s="2">
        <v>0.0</v>
      </c>
      <c r="L28" s="2">
        <v>0.0</v>
      </c>
      <c r="M28" s="2" t="s">
        <v>67</v>
      </c>
      <c r="N28" s="2">
        <v>0.9988</v>
      </c>
      <c r="O28" s="2">
        <v>0.0</v>
      </c>
      <c r="P28" s="2">
        <v>2.6668</v>
      </c>
      <c r="Q28" s="2">
        <v>7.0E-4</v>
      </c>
      <c r="R28" s="2">
        <v>0.2875</v>
      </c>
      <c r="S28" s="2">
        <v>248.61</v>
      </c>
      <c r="T28" s="2">
        <v>34.0</v>
      </c>
      <c r="V28" s="2">
        <f t="shared" si="2"/>
        <v>83.62583008</v>
      </c>
      <c r="W28" s="2">
        <f t="shared" si="3"/>
        <v>3.881889645</v>
      </c>
      <c r="X28" s="2">
        <f t="shared" si="4"/>
        <v>3.776286455</v>
      </c>
      <c r="Y28" s="2">
        <f t="shared" ref="Y28:Z28" si="31">_xlfn.NORM.S.DIST(W28)</f>
        <v>0.999948176</v>
      </c>
      <c r="Z28" s="2">
        <f t="shared" si="31"/>
        <v>0.999920408</v>
      </c>
      <c r="AA28" s="2">
        <f t="shared" si="6"/>
        <v>80.55</v>
      </c>
    </row>
    <row r="29" ht="14.25" customHeight="1">
      <c r="A29" s="2" t="s">
        <v>117</v>
      </c>
      <c r="B29" s="2" t="s">
        <v>118</v>
      </c>
      <c r="C29" s="2" t="s">
        <v>91</v>
      </c>
      <c r="D29" s="2" t="s">
        <v>29</v>
      </c>
      <c r="E29" s="2">
        <v>165.0</v>
      </c>
      <c r="F29" s="2" t="s">
        <v>30</v>
      </c>
      <c r="G29" s="2">
        <v>70.8</v>
      </c>
      <c r="I29" s="2">
        <v>74.3</v>
      </c>
      <c r="K29" s="2">
        <v>0.0</v>
      </c>
      <c r="L29" s="2">
        <v>0.0</v>
      </c>
      <c r="M29" s="2" t="s">
        <v>68</v>
      </c>
      <c r="N29" s="2">
        <v>0.9989</v>
      </c>
      <c r="O29" s="2">
        <v>0.0</v>
      </c>
      <c r="P29" s="2">
        <v>2.5419</v>
      </c>
      <c r="Q29" s="2">
        <v>0.0037</v>
      </c>
      <c r="R29" s="2">
        <v>0.3023</v>
      </c>
      <c r="S29" s="2">
        <v>245.69</v>
      </c>
      <c r="T29" s="2">
        <v>31.0</v>
      </c>
      <c r="V29" s="2">
        <f t="shared" si="2"/>
        <v>80.70463321</v>
      </c>
      <c r="W29" s="2">
        <f t="shared" si="3"/>
        <v>3.754921311</v>
      </c>
      <c r="X29" s="2">
        <f t="shared" si="4"/>
        <v>3.648893762</v>
      </c>
      <c r="Y29" s="2">
        <f t="shared" ref="Y29:Z29" si="32">_xlfn.NORM.S.DIST(W29)</f>
        <v>0.999913302</v>
      </c>
      <c r="Z29" s="2">
        <f t="shared" si="32"/>
        <v>0.999868314</v>
      </c>
      <c r="AA29" s="2">
        <f t="shared" si="6"/>
        <v>72.55</v>
      </c>
    </row>
    <row r="30" ht="14.25" customHeight="1">
      <c r="A30" s="2" t="s">
        <v>117</v>
      </c>
      <c r="B30" s="2" t="s">
        <v>118</v>
      </c>
      <c r="C30" s="2" t="s">
        <v>91</v>
      </c>
      <c r="D30" s="2" t="s">
        <v>29</v>
      </c>
      <c r="E30" s="2">
        <v>165.0</v>
      </c>
      <c r="F30" s="2" t="s">
        <v>30</v>
      </c>
      <c r="G30" s="2">
        <v>73.2</v>
      </c>
      <c r="I30" s="2">
        <v>76.4</v>
      </c>
      <c r="K30" s="2">
        <v>0.0</v>
      </c>
      <c r="L30" s="2">
        <v>0.0</v>
      </c>
      <c r="M30" s="2" t="s">
        <v>69</v>
      </c>
      <c r="N30" s="2">
        <v>0.999</v>
      </c>
      <c r="O30" s="2">
        <v>0.0</v>
      </c>
      <c r="P30" s="2">
        <v>2.5468</v>
      </c>
      <c r="Q30" s="2">
        <v>0.0076</v>
      </c>
      <c r="R30" s="2">
        <v>0.3299</v>
      </c>
      <c r="S30" s="2">
        <v>246.49</v>
      </c>
      <c r="T30" s="2">
        <v>30.0</v>
      </c>
      <c r="V30" s="2">
        <f t="shared" si="2"/>
        <v>81.50491862</v>
      </c>
      <c r="W30" s="2">
        <f t="shared" si="3"/>
        <v>3.526214077</v>
      </c>
      <c r="X30" s="2">
        <f t="shared" si="4"/>
        <v>3.412387763</v>
      </c>
      <c r="Y30" s="2">
        <f t="shared" ref="Y30:Z30" si="33">_xlfn.NORM.S.DIST(W30)</f>
        <v>0.999789227</v>
      </c>
      <c r="Z30" s="2">
        <f t="shared" si="33"/>
        <v>0.9996780178</v>
      </c>
      <c r="AA30" s="2">
        <f t="shared" si="6"/>
        <v>74.8</v>
      </c>
    </row>
    <row r="31" ht="14.25" customHeight="1">
      <c r="A31" s="2" t="s">
        <v>117</v>
      </c>
      <c r="B31" s="2" t="s">
        <v>118</v>
      </c>
      <c r="C31" s="2" t="s">
        <v>91</v>
      </c>
      <c r="D31" s="2" t="s">
        <v>29</v>
      </c>
      <c r="E31" s="2">
        <v>165.0</v>
      </c>
      <c r="F31" s="2" t="s">
        <v>30</v>
      </c>
      <c r="G31" s="2">
        <v>77.1</v>
      </c>
      <c r="I31" s="2">
        <v>80.5</v>
      </c>
      <c r="K31" s="2">
        <v>0.0</v>
      </c>
      <c r="L31" s="2">
        <v>0.0</v>
      </c>
      <c r="M31" s="2" t="s">
        <v>70</v>
      </c>
      <c r="N31" s="2">
        <v>0.999</v>
      </c>
      <c r="O31" s="2">
        <v>0.0</v>
      </c>
      <c r="P31" s="2">
        <v>2.5524</v>
      </c>
      <c r="Q31" s="2">
        <v>0.0011</v>
      </c>
      <c r="R31" s="2">
        <v>0.3144</v>
      </c>
      <c r="S31" s="2">
        <v>248.17</v>
      </c>
      <c r="T31" s="2">
        <v>29.0</v>
      </c>
      <c r="V31" s="2">
        <f t="shared" si="2"/>
        <v>83.18360763</v>
      </c>
      <c r="W31" s="2">
        <f t="shared" si="3"/>
        <v>3.826998061</v>
      </c>
      <c r="X31" s="2">
        <f t="shared" si="4"/>
        <v>3.72034305</v>
      </c>
      <c r="Y31" s="2">
        <f t="shared" ref="Y31:Z31" si="34">_xlfn.NORM.S.DIST(W31)</f>
        <v>0.9999351422</v>
      </c>
      <c r="Z31" s="2">
        <f t="shared" si="34"/>
        <v>0.9999005238</v>
      </c>
      <c r="AA31" s="2">
        <f t="shared" si="6"/>
        <v>78.8</v>
      </c>
    </row>
    <row r="32" ht="14.25" customHeight="1">
      <c r="A32" s="2" t="s">
        <v>117</v>
      </c>
      <c r="B32" s="2" t="s">
        <v>118</v>
      </c>
      <c r="C32" s="2" t="s">
        <v>91</v>
      </c>
      <c r="D32" s="2" t="s">
        <v>29</v>
      </c>
      <c r="E32" s="2">
        <v>165.0</v>
      </c>
      <c r="F32" s="2" t="s">
        <v>30</v>
      </c>
      <c r="G32" s="2">
        <v>76.5</v>
      </c>
      <c r="I32" s="2">
        <v>80.2</v>
      </c>
      <c r="K32" s="2">
        <v>0.0</v>
      </c>
      <c r="L32" s="2">
        <v>0.0</v>
      </c>
      <c r="M32" s="2" t="s">
        <v>71</v>
      </c>
      <c r="N32" s="2">
        <v>0.9991</v>
      </c>
      <c r="O32" s="2">
        <v>0.0</v>
      </c>
      <c r="P32" s="2">
        <v>2.4308</v>
      </c>
      <c r="Q32" s="2">
        <v>0.0</v>
      </c>
      <c r="R32" s="2">
        <v>0.189</v>
      </c>
      <c r="S32" s="2">
        <v>255.88</v>
      </c>
      <c r="T32" s="2">
        <v>28.0</v>
      </c>
      <c r="V32" s="2">
        <f t="shared" si="2"/>
        <v>90.89283283</v>
      </c>
      <c r="W32" s="2">
        <f t="shared" si="3"/>
        <v>6.96449382</v>
      </c>
      <c r="X32" s="2">
        <f t="shared" si="4"/>
        <v>6.90149382</v>
      </c>
      <c r="Y32" s="2">
        <f t="shared" ref="Y32:Z32" si="35">_xlfn.NORM.S.DIST(W32)</f>
        <v>1</v>
      </c>
      <c r="Z32" s="2">
        <f t="shared" si="35"/>
        <v>1</v>
      </c>
      <c r="AA32" s="2">
        <f t="shared" si="6"/>
        <v>78.35</v>
      </c>
    </row>
    <row r="33" ht="14.25" customHeight="1">
      <c r="A33" s="2" t="s">
        <v>117</v>
      </c>
      <c r="B33" s="2" t="s">
        <v>118</v>
      </c>
      <c r="C33" s="2" t="s">
        <v>91</v>
      </c>
      <c r="D33" s="2" t="s">
        <v>29</v>
      </c>
      <c r="E33" s="2">
        <v>165.0</v>
      </c>
      <c r="F33" s="2" t="s">
        <v>30</v>
      </c>
      <c r="G33" s="2">
        <v>74.9</v>
      </c>
      <c r="I33" s="2">
        <v>78.3</v>
      </c>
      <c r="K33" s="2">
        <v>0.0</v>
      </c>
      <c r="L33" s="2">
        <v>0.0</v>
      </c>
      <c r="M33" s="2" t="s">
        <v>72</v>
      </c>
      <c r="N33" s="2">
        <v>0.9992</v>
      </c>
      <c r="O33" s="2">
        <v>0.0</v>
      </c>
      <c r="P33" s="2">
        <v>2.362</v>
      </c>
      <c r="Q33" s="2">
        <v>0.0</v>
      </c>
      <c r="R33" s="2">
        <v>0.1843</v>
      </c>
      <c r="S33" s="2">
        <v>251.96</v>
      </c>
      <c r="T33" s="2">
        <v>27.0</v>
      </c>
      <c r="V33" s="2">
        <f t="shared" si="2"/>
        <v>86.97237454</v>
      </c>
      <c r="W33" s="2">
        <f t="shared" si="3"/>
        <v>7.017248198</v>
      </c>
      <c r="X33" s="2">
        <f t="shared" si="4"/>
        <v>6.956921862</v>
      </c>
      <c r="Y33" s="2">
        <f t="shared" ref="Y33:Z33" si="36">_xlfn.NORM.S.DIST(W33)</f>
        <v>1</v>
      </c>
      <c r="Z33" s="2">
        <f t="shared" si="36"/>
        <v>1</v>
      </c>
      <c r="AA33" s="2">
        <f t="shared" si="6"/>
        <v>76.6</v>
      </c>
    </row>
    <row r="34" ht="14.25" customHeight="1">
      <c r="A34" s="2" t="s">
        <v>117</v>
      </c>
      <c r="B34" s="2" t="s">
        <v>118</v>
      </c>
      <c r="C34" s="2" t="s">
        <v>91</v>
      </c>
      <c r="D34" s="2" t="s">
        <v>29</v>
      </c>
      <c r="E34" s="2">
        <v>165.0</v>
      </c>
      <c r="F34" s="2" t="s">
        <v>30</v>
      </c>
      <c r="G34" s="2">
        <v>71.8</v>
      </c>
      <c r="I34" s="2">
        <v>75.3</v>
      </c>
      <c r="K34" s="2">
        <v>0.0</v>
      </c>
      <c r="L34" s="2">
        <v>0.0</v>
      </c>
      <c r="M34" s="2" t="s">
        <v>73</v>
      </c>
      <c r="N34" s="2">
        <v>0.9996</v>
      </c>
      <c r="O34" s="2">
        <v>0.0</v>
      </c>
      <c r="P34" s="2">
        <v>0.8777</v>
      </c>
      <c r="Q34" s="2">
        <v>4.0E-4</v>
      </c>
      <c r="R34" s="2">
        <v>0.3125</v>
      </c>
      <c r="S34" s="2">
        <v>253.66</v>
      </c>
      <c r="T34" s="2">
        <v>24.0</v>
      </c>
      <c r="V34" s="2">
        <f t="shared" si="2"/>
        <v>88.67101574</v>
      </c>
      <c r="W34" s="2">
        <f t="shared" si="3"/>
        <v>4.459260944</v>
      </c>
      <c r="X34" s="2">
        <f t="shared" si="4"/>
        <v>4.36282135</v>
      </c>
      <c r="Y34" s="2">
        <f t="shared" ref="Y34:Z34" si="37">_xlfn.NORM.S.DIST(W34)</f>
        <v>0.9999958879</v>
      </c>
      <c r="Z34" s="2">
        <f t="shared" si="37"/>
        <v>0.9999935802</v>
      </c>
      <c r="AA34" s="2">
        <f t="shared" si="6"/>
        <v>73.55</v>
      </c>
    </row>
    <row r="35" ht="14.25" customHeight="1">
      <c r="A35" s="2" t="s">
        <v>117</v>
      </c>
      <c r="B35" s="2" t="s">
        <v>118</v>
      </c>
      <c r="C35" s="2" t="s">
        <v>91</v>
      </c>
      <c r="D35" s="2" t="s">
        <v>29</v>
      </c>
      <c r="E35" s="2">
        <v>165.0</v>
      </c>
      <c r="F35" s="2" t="s">
        <v>30</v>
      </c>
      <c r="G35" s="2">
        <v>75.0</v>
      </c>
      <c r="I35" s="2">
        <v>78.3</v>
      </c>
      <c r="K35" s="2">
        <v>0.0</v>
      </c>
      <c r="L35" s="2">
        <v>0.0</v>
      </c>
      <c r="M35" s="2" t="s">
        <v>74</v>
      </c>
      <c r="N35" s="2">
        <v>1.0</v>
      </c>
      <c r="O35" s="2">
        <v>0.0</v>
      </c>
      <c r="P35" s="2">
        <v>-0.4651</v>
      </c>
      <c r="Q35" s="2">
        <v>0.0</v>
      </c>
      <c r="R35" s="2">
        <v>0.1792</v>
      </c>
      <c r="S35" s="2">
        <v>247.19</v>
      </c>
      <c r="T35" s="2">
        <v>23.0</v>
      </c>
      <c r="V35" s="2">
        <f t="shared" si="2"/>
        <v>82.20054133</v>
      </c>
      <c r="W35" s="2">
        <f t="shared" si="3"/>
        <v>7.466332598</v>
      </c>
      <c r="X35" s="2">
        <f t="shared" si="4"/>
        <v>7.412194667</v>
      </c>
      <c r="Y35" s="2">
        <f t="shared" ref="Y35:Z35" si="38">_xlfn.NORM.S.DIST(W35)</f>
        <v>1</v>
      </c>
      <c r="Z35" s="2">
        <f t="shared" si="38"/>
        <v>1</v>
      </c>
      <c r="AA35" s="2">
        <f t="shared" si="6"/>
        <v>76.65</v>
      </c>
    </row>
    <row r="36" ht="14.25" customHeight="1">
      <c r="A36" s="2" t="s">
        <v>117</v>
      </c>
      <c r="B36" s="2" t="s">
        <v>118</v>
      </c>
      <c r="C36" s="2" t="s">
        <v>91</v>
      </c>
      <c r="D36" s="2" t="s">
        <v>29</v>
      </c>
      <c r="E36" s="2">
        <v>165.0</v>
      </c>
      <c r="F36" s="2" t="s">
        <v>30</v>
      </c>
      <c r="G36" s="2">
        <v>74.9</v>
      </c>
      <c r="I36" s="2">
        <v>78.2</v>
      </c>
      <c r="K36" s="2">
        <v>0.0</v>
      </c>
      <c r="L36" s="2">
        <v>0.0</v>
      </c>
      <c r="M36" s="2" t="s">
        <v>75</v>
      </c>
      <c r="N36" s="2">
        <v>0.9997</v>
      </c>
      <c r="O36" s="2">
        <v>0.0</v>
      </c>
      <c r="P36" s="2">
        <v>0.8963</v>
      </c>
      <c r="Q36" s="2">
        <v>0.0</v>
      </c>
      <c r="R36" s="2">
        <v>0.177</v>
      </c>
      <c r="S36" s="2">
        <v>243.51</v>
      </c>
      <c r="T36" s="2">
        <v>22.0</v>
      </c>
      <c r="V36" s="2">
        <f t="shared" si="2"/>
        <v>78.52008303</v>
      </c>
      <c r="W36" s="2">
        <f t="shared" si="3"/>
        <v>7.442219638</v>
      </c>
      <c r="X36" s="2">
        <f t="shared" si="4"/>
        <v>7.389921728</v>
      </c>
      <c r="Y36" s="2">
        <f t="shared" ref="Y36:Z36" si="39">_xlfn.NORM.S.DIST(W36)</f>
        <v>1</v>
      </c>
      <c r="Z36" s="2">
        <f t="shared" si="39"/>
        <v>1</v>
      </c>
      <c r="AA36" s="2">
        <f t="shared" si="6"/>
        <v>76.55</v>
      </c>
    </row>
    <row r="37" ht="14.25" customHeight="1">
      <c r="A37" s="2" t="s">
        <v>117</v>
      </c>
      <c r="B37" s="2" t="s">
        <v>118</v>
      </c>
      <c r="C37" s="2" t="s">
        <v>91</v>
      </c>
      <c r="D37" s="2" t="s">
        <v>29</v>
      </c>
      <c r="E37" s="2">
        <v>165.0</v>
      </c>
      <c r="F37" s="2" t="s">
        <v>30</v>
      </c>
      <c r="G37" s="2">
        <v>75.8</v>
      </c>
      <c r="I37" s="2">
        <v>79.3</v>
      </c>
      <c r="K37" s="2">
        <v>0.0</v>
      </c>
      <c r="L37" s="2">
        <v>0.0</v>
      </c>
      <c r="M37" s="2" t="s">
        <v>76</v>
      </c>
      <c r="N37" s="2">
        <v>0.9997</v>
      </c>
      <c r="O37" s="2">
        <v>0.0</v>
      </c>
      <c r="P37" s="2">
        <v>0.8393</v>
      </c>
      <c r="Q37" s="2">
        <v>0.0</v>
      </c>
      <c r="R37" s="2">
        <v>0.1686</v>
      </c>
      <c r="S37" s="2">
        <v>245.79</v>
      </c>
      <c r="T37" s="2">
        <v>21.0</v>
      </c>
      <c r="V37" s="2">
        <f t="shared" si="2"/>
        <v>80.79962472</v>
      </c>
      <c r="W37" s="2">
        <f t="shared" si="3"/>
        <v>8.188348041</v>
      </c>
      <c r="X37" s="2">
        <f t="shared" si="4"/>
        <v>8.139677413</v>
      </c>
      <c r="Y37" s="2">
        <f t="shared" ref="Y37:Z37" si="40">_xlfn.NORM.S.DIST(W37)</f>
        <v>1</v>
      </c>
      <c r="Z37" s="2">
        <f t="shared" si="40"/>
        <v>1</v>
      </c>
      <c r="AA37" s="2">
        <f t="shared" si="6"/>
        <v>77.55</v>
      </c>
    </row>
    <row r="38" ht="14.25" customHeight="1">
      <c r="A38" s="2" t="s">
        <v>117</v>
      </c>
      <c r="B38" s="2" t="s">
        <v>118</v>
      </c>
      <c r="C38" s="2" t="s">
        <v>91</v>
      </c>
      <c r="D38" s="2" t="s">
        <v>29</v>
      </c>
      <c r="E38" s="2">
        <v>165.0</v>
      </c>
      <c r="F38" s="2" t="s">
        <v>30</v>
      </c>
      <c r="G38" s="2">
        <v>78.1</v>
      </c>
      <c r="I38" s="2">
        <v>81.3</v>
      </c>
      <c r="K38" s="2">
        <v>0.0</v>
      </c>
      <c r="L38" s="2">
        <v>0.0</v>
      </c>
      <c r="M38" s="2" t="s">
        <v>77</v>
      </c>
      <c r="N38" s="2">
        <v>0.9994</v>
      </c>
      <c r="O38" s="2">
        <v>0.0</v>
      </c>
      <c r="P38" s="2">
        <v>2.1666</v>
      </c>
      <c r="Q38" s="2">
        <v>0.0</v>
      </c>
      <c r="R38" s="2">
        <v>0.1624</v>
      </c>
      <c r="S38" s="2">
        <v>237.69</v>
      </c>
      <c r="T38" s="2">
        <v>20.0</v>
      </c>
      <c r="V38" s="2">
        <f t="shared" si="2"/>
        <v>72.69916641</v>
      </c>
      <c r="W38" s="2">
        <f t="shared" si="3"/>
        <v>7.978441874</v>
      </c>
      <c r="X38" s="2">
        <f t="shared" si="4"/>
        <v>7.932690857</v>
      </c>
      <c r="Y38" s="2">
        <f t="shared" ref="Y38:Z38" si="41">_xlfn.NORM.S.DIST(W38)</f>
        <v>1</v>
      </c>
      <c r="Z38" s="2">
        <f t="shared" si="41"/>
        <v>1</v>
      </c>
      <c r="AA38" s="2">
        <f t="shared" si="6"/>
        <v>79.7</v>
      </c>
    </row>
    <row r="39" ht="14.25" customHeight="1">
      <c r="A39" s="2" t="s">
        <v>117</v>
      </c>
      <c r="B39" s="2" t="s">
        <v>118</v>
      </c>
      <c r="C39" s="2" t="s">
        <v>91</v>
      </c>
      <c r="D39" s="2" t="s">
        <v>29</v>
      </c>
      <c r="E39" s="2">
        <v>165.0</v>
      </c>
      <c r="F39" s="2" t="s">
        <v>30</v>
      </c>
      <c r="G39" s="2">
        <v>77.7</v>
      </c>
      <c r="I39" s="2">
        <v>81.1</v>
      </c>
      <c r="K39" s="2">
        <v>0.0</v>
      </c>
      <c r="L39" s="2">
        <v>0.0</v>
      </c>
      <c r="M39" s="2" t="s">
        <v>78</v>
      </c>
      <c r="N39" s="2">
        <v>0.9995</v>
      </c>
      <c r="O39" s="2">
        <v>0.0</v>
      </c>
      <c r="P39" s="2">
        <v>2.0477</v>
      </c>
      <c r="Q39" s="2">
        <v>0.0</v>
      </c>
      <c r="R39" s="2">
        <v>0.3156</v>
      </c>
      <c r="S39" s="2">
        <v>239.97</v>
      </c>
      <c r="T39" s="2">
        <v>17.0</v>
      </c>
      <c r="V39" s="2">
        <f t="shared" si="2"/>
        <v>74.97779931</v>
      </c>
      <c r="W39" s="2">
        <f t="shared" si="3"/>
        <v>4.569513864</v>
      </c>
      <c r="X39" s="2">
        <f t="shared" si="4"/>
        <v>4.487542684</v>
      </c>
      <c r="Y39" s="2">
        <f t="shared" ref="Y39:Z39" si="42">_xlfn.NORM.S.DIST(W39)</f>
        <v>0.9999975557</v>
      </c>
      <c r="Z39" s="2">
        <f t="shared" si="42"/>
        <v>0.9999963975</v>
      </c>
      <c r="AA39" s="2">
        <f t="shared" si="6"/>
        <v>79.4</v>
      </c>
    </row>
    <row r="40" ht="14.25" customHeight="1">
      <c r="A40" s="2" t="s">
        <v>117</v>
      </c>
      <c r="B40" s="2" t="s">
        <v>118</v>
      </c>
      <c r="C40" s="2" t="s">
        <v>91</v>
      </c>
      <c r="D40" s="2" t="s">
        <v>29</v>
      </c>
      <c r="E40" s="2">
        <v>165.0</v>
      </c>
      <c r="F40" s="2" t="s">
        <v>30</v>
      </c>
      <c r="G40" s="2">
        <v>77.9</v>
      </c>
      <c r="I40" s="2">
        <v>81.4</v>
      </c>
      <c r="K40" s="2">
        <v>0.0</v>
      </c>
      <c r="L40" s="2">
        <v>0.0</v>
      </c>
      <c r="M40" s="2" t="s">
        <v>79</v>
      </c>
      <c r="N40" s="2">
        <v>0.9996</v>
      </c>
      <c r="O40" s="2">
        <v>0.0</v>
      </c>
      <c r="P40" s="2">
        <v>2.0792</v>
      </c>
      <c r="Q40" s="2">
        <v>0.0</v>
      </c>
      <c r="R40" s="2">
        <v>0.1759</v>
      </c>
      <c r="S40" s="2">
        <v>244.05</v>
      </c>
      <c r="T40" s="2">
        <v>16.0</v>
      </c>
      <c r="V40" s="2">
        <f t="shared" si="2"/>
        <v>79.05733317</v>
      </c>
      <c r="W40" s="2">
        <f t="shared" si="3"/>
        <v>8.831326441</v>
      </c>
      <c r="X40" s="2">
        <f t="shared" si="4"/>
        <v>8.787003808</v>
      </c>
      <c r="Y40" s="2">
        <f t="shared" ref="Y40:Z40" si="43">_xlfn.NORM.S.DIST(W40)</f>
        <v>1</v>
      </c>
      <c r="Z40" s="2">
        <f t="shared" si="43"/>
        <v>1</v>
      </c>
      <c r="AA40" s="2">
        <f t="shared" si="6"/>
        <v>79.65</v>
      </c>
    </row>
    <row r="41" ht="14.25" customHeight="1">
      <c r="A41" s="2" t="s">
        <v>117</v>
      </c>
      <c r="B41" s="2" t="s">
        <v>118</v>
      </c>
      <c r="C41" s="2" t="s">
        <v>91</v>
      </c>
      <c r="D41" s="2" t="s">
        <v>29</v>
      </c>
      <c r="E41" s="2">
        <v>165.0</v>
      </c>
      <c r="F41" s="2" t="s">
        <v>30</v>
      </c>
      <c r="G41" s="2">
        <v>77.5</v>
      </c>
      <c r="I41" s="2">
        <v>80.9</v>
      </c>
      <c r="K41" s="2">
        <v>0.0</v>
      </c>
      <c r="L41" s="2">
        <v>0.0</v>
      </c>
      <c r="M41" s="2" t="s">
        <v>80</v>
      </c>
      <c r="N41" s="2">
        <v>0.9996</v>
      </c>
      <c r="O41" s="2">
        <v>0.0</v>
      </c>
      <c r="P41" s="2">
        <v>2.1168</v>
      </c>
      <c r="Q41" s="2">
        <v>0.0</v>
      </c>
      <c r="R41" s="2">
        <v>0.3059</v>
      </c>
      <c r="S41" s="2">
        <v>243.63</v>
      </c>
      <c r="T41" s="2">
        <v>15.0</v>
      </c>
      <c r="V41" s="2">
        <f t="shared" si="2"/>
        <v>78.63687509</v>
      </c>
      <c r="W41" s="2">
        <f t="shared" si="3"/>
        <v>5.221693455</v>
      </c>
      <c r="X41" s="2">
        <f t="shared" si="4"/>
        <v>5.147061497</v>
      </c>
      <c r="Y41" s="2">
        <f t="shared" ref="Y41:Z41" si="44">_xlfn.NORM.S.DIST(W41)</f>
        <v>0.9999999114</v>
      </c>
      <c r="Z41" s="2">
        <f t="shared" si="44"/>
        <v>0.9999998677</v>
      </c>
      <c r="AA41" s="2">
        <f t="shared" si="6"/>
        <v>79.2</v>
      </c>
    </row>
    <row r="42" ht="14.25" customHeight="1">
      <c r="A42" s="2" t="s">
        <v>117</v>
      </c>
      <c r="B42" s="2" t="s">
        <v>118</v>
      </c>
      <c r="C42" s="2" t="s">
        <v>91</v>
      </c>
      <c r="D42" s="2" t="s">
        <v>29</v>
      </c>
      <c r="E42" s="2">
        <v>165.0</v>
      </c>
      <c r="F42" s="2" t="s">
        <v>30</v>
      </c>
      <c r="G42" s="2">
        <v>80.9</v>
      </c>
      <c r="I42" s="2">
        <v>84.4</v>
      </c>
      <c r="K42" s="2">
        <v>0.0</v>
      </c>
      <c r="L42" s="2">
        <v>0.0</v>
      </c>
      <c r="M42" s="2" t="s">
        <v>81</v>
      </c>
      <c r="N42" s="2">
        <v>0.9996</v>
      </c>
      <c r="O42" s="2">
        <v>0.0</v>
      </c>
      <c r="P42" s="2">
        <v>2.083</v>
      </c>
      <c r="Q42" s="2">
        <v>0.0</v>
      </c>
      <c r="R42" s="2">
        <v>0.3054</v>
      </c>
      <c r="S42" s="2">
        <v>241.57</v>
      </c>
      <c r="T42" s="2">
        <v>14.0</v>
      </c>
      <c r="V42" s="2">
        <f t="shared" si="2"/>
        <v>76.57641669</v>
      </c>
      <c r="W42" s="2">
        <f t="shared" si="3"/>
        <v>5.295852097</v>
      </c>
      <c r="X42" s="2">
        <f t="shared" si="4"/>
        <v>5.223868627</v>
      </c>
      <c r="Y42" s="2">
        <f t="shared" ref="Y42:Z42" si="45">_xlfn.NORM.S.DIST(W42)</f>
        <v>0.9999999408</v>
      </c>
      <c r="Z42" s="2">
        <f t="shared" si="45"/>
        <v>0.9999999124</v>
      </c>
      <c r="AA42" s="2">
        <f t="shared" si="6"/>
        <v>82.65</v>
      </c>
    </row>
    <row r="43" ht="14.25" customHeight="1">
      <c r="A43" s="2" t="s">
        <v>117</v>
      </c>
      <c r="B43" s="2" t="s">
        <v>118</v>
      </c>
      <c r="C43" s="2" t="s">
        <v>91</v>
      </c>
      <c r="D43" s="2" t="s">
        <v>29</v>
      </c>
      <c r="E43" s="2">
        <v>165.0</v>
      </c>
      <c r="F43" s="2" t="s">
        <v>30</v>
      </c>
      <c r="G43" s="2">
        <v>82.8</v>
      </c>
      <c r="I43" s="2">
        <v>86.2</v>
      </c>
      <c r="K43" s="2">
        <v>0.0</v>
      </c>
      <c r="L43" s="2">
        <v>0.0</v>
      </c>
      <c r="M43" s="2" t="s">
        <v>82</v>
      </c>
      <c r="N43" s="2">
        <v>0.9997</v>
      </c>
      <c r="O43" s="2">
        <v>0.0</v>
      </c>
      <c r="P43" s="2">
        <v>2.0749</v>
      </c>
      <c r="Q43" s="2">
        <v>0.0</v>
      </c>
      <c r="R43" s="2">
        <v>0.1602</v>
      </c>
      <c r="S43" s="2">
        <v>238.6</v>
      </c>
      <c r="T43" s="2">
        <v>13.0</v>
      </c>
      <c r="V43" s="2">
        <f t="shared" si="2"/>
        <v>73.60595823</v>
      </c>
      <c r="W43" s="2">
        <f t="shared" si="3"/>
        <v>10.13695854</v>
      </c>
      <c r="X43" s="2">
        <f t="shared" si="4"/>
        <v>10.10057258</v>
      </c>
      <c r="Y43" s="2">
        <f t="shared" ref="Y43:Z43" si="46">_xlfn.NORM.S.DIST(W43)</f>
        <v>1</v>
      </c>
      <c r="Z43" s="2">
        <f t="shared" si="46"/>
        <v>1</v>
      </c>
      <c r="AA43" s="2">
        <f t="shared" si="6"/>
        <v>84.5</v>
      </c>
    </row>
    <row r="44" ht="14.25" customHeight="1">
      <c r="A44" s="2" t="s">
        <v>117</v>
      </c>
      <c r="B44" s="2" t="s">
        <v>118</v>
      </c>
      <c r="C44" s="2" t="s">
        <v>91</v>
      </c>
      <c r="D44" s="2" t="s">
        <v>29</v>
      </c>
      <c r="E44" s="2">
        <v>165.0</v>
      </c>
      <c r="F44" s="2" t="s">
        <v>30</v>
      </c>
      <c r="G44" s="2">
        <v>77.1</v>
      </c>
      <c r="I44" s="2">
        <v>80.5</v>
      </c>
      <c r="K44" s="2">
        <v>0.0</v>
      </c>
      <c r="L44" s="2">
        <v>0.0</v>
      </c>
      <c r="M44" s="2" t="s">
        <v>83</v>
      </c>
      <c r="N44" s="2">
        <v>1.0</v>
      </c>
      <c r="O44" s="2">
        <v>0.0</v>
      </c>
      <c r="P44" s="2">
        <v>-0.4651</v>
      </c>
      <c r="Q44" s="2">
        <v>0.0</v>
      </c>
      <c r="R44" s="2">
        <v>0.1805</v>
      </c>
      <c r="S44" s="2">
        <v>241.82</v>
      </c>
      <c r="T44" s="2">
        <v>10.0</v>
      </c>
      <c r="V44" s="2">
        <f t="shared" si="2"/>
        <v>76.82458327</v>
      </c>
      <c r="W44" s="2">
        <f t="shared" si="3"/>
        <v>10.63086207</v>
      </c>
      <c r="X44" s="2">
        <f t="shared" si="4"/>
        <v>10.59490561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78.8</v>
      </c>
    </row>
    <row r="45" ht="14.25" customHeight="1">
      <c r="A45" s="2" t="s">
        <v>117</v>
      </c>
      <c r="B45" s="2" t="s">
        <v>118</v>
      </c>
      <c r="C45" s="2" t="s">
        <v>91</v>
      </c>
      <c r="D45" s="2" t="s">
        <v>29</v>
      </c>
      <c r="E45" s="2">
        <v>165.0</v>
      </c>
      <c r="F45" s="2" t="s">
        <v>30</v>
      </c>
      <c r="G45" s="2">
        <v>72.3</v>
      </c>
      <c r="I45" s="2">
        <v>75.5</v>
      </c>
      <c r="K45" s="2">
        <v>0.0</v>
      </c>
      <c r="L45" s="2">
        <v>0.0</v>
      </c>
      <c r="M45" s="2" t="s">
        <v>84</v>
      </c>
      <c r="N45" s="2">
        <v>1.0</v>
      </c>
      <c r="O45" s="2">
        <v>0.0</v>
      </c>
      <c r="P45" s="2">
        <v>-0.4651</v>
      </c>
      <c r="Q45" s="2">
        <v>0.0</v>
      </c>
      <c r="R45" s="2">
        <v>0.2107</v>
      </c>
      <c r="S45" s="2">
        <v>241.74</v>
      </c>
      <c r="T45" s="2">
        <v>9.0</v>
      </c>
      <c r="V45" s="2">
        <f t="shared" si="2"/>
        <v>76.74412495</v>
      </c>
      <c r="W45" s="2">
        <f t="shared" si="3"/>
        <v>9.591439798</v>
      </c>
      <c r="X45" s="2">
        <f t="shared" si="4"/>
        <v>9.551621241</v>
      </c>
      <c r="Y45" s="2">
        <f t="shared" ref="Y45:Z45" si="48">_xlfn.NORM.S.DIST(W45)</f>
        <v>1</v>
      </c>
      <c r="Z45" s="2">
        <f t="shared" si="48"/>
        <v>1</v>
      </c>
      <c r="AA45" s="2">
        <f t="shared" si="6"/>
        <v>73.9</v>
      </c>
    </row>
    <row r="46" ht="14.25" customHeight="1">
      <c r="A46" s="2" t="s">
        <v>117</v>
      </c>
      <c r="B46" s="2" t="s">
        <v>118</v>
      </c>
      <c r="C46" s="2" t="s">
        <v>91</v>
      </c>
      <c r="D46" s="2" t="s">
        <v>29</v>
      </c>
      <c r="E46" s="2">
        <v>165.0</v>
      </c>
      <c r="F46" s="2" t="s">
        <v>30</v>
      </c>
      <c r="G46" s="2">
        <v>73.8</v>
      </c>
      <c r="I46" s="2">
        <v>77.0</v>
      </c>
      <c r="K46" s="2">
        <v>0.0</v>
      </c>
      <c r="L46" s="2">
        <v>0.0</v>
      </c>
      <c r="M46" s="2" t="s">
        <v>85</v>
      </c>
      <c r="N46" s="2">
        <v>1.0</v>
      </c>
      <c r="O46" s="2">
        <v>0.0</v>
      </c>
      <c r="P46" s="2">
        <v>-0.4651</v>
      </c>
      <c r="Q46" s="2">
        <v>0.0</v>
      </c>
      <c r="R46" s="2">
        <v>0.1915</v>
      </c>
      <c r="S46" s="2">
        <v>242.54</v>
      </c>
      <c r="T46" s="2">
        <v>8.0</v>
      </c>
      <c r="V46" s="2">
        <f t="shared" si="2"/>
        <v>77.54366663</v>
      </c>
      <c r="W46" s="2">
        <f t="shared" si="3"/>
        <v>11.2900703</v>
      </c>
      <c r="X46" s="2">
        <f t="shared" si="4"/>
        <v>11.25594995</v>
      </c>
      <c r="Y46" s="2">
        <f t="shared" ref="Y46:Z46" si="49">_xlfn.NORM.S.DIST(W46)</f>
        <v>1</v>
      </c>
      <c r="Z46" s="2">
        <f t="shared" si="49"/>
        <v>1</v>
      </c>
      <c r="AA46" s="2">
        <f t="shared" si="6"/>
        <v>75.4</v>
      </c>
    </row>
    <row r="47" ht="14.25" customHeight="1">
      <c r="A47" s="2" t="s">
        <v>117</v>
      </c>
      <c r="B47" s="2" t="s">
        <v>118</v>
      </c>
      <c r="C47" s="2" t="s">
        <v>91</v>
      </c>
      <c r="D47" s="2" t="s">
        <v>29</v>
      </c>
      <c r="E47" s="2">
        <v>165.0</v>
      </c>
      <c r="F47" s="2" t="s">
        <v>30</v>
      </c>
      <c r="G47" s="2">
        <v>72.0</v>
      </c>
      <c r="I47" s="2">
        <v>75.3</v>
      </c>
      <c r="K47" s="2">
        <v>0.0</v>
      </c>
      <c r="L47" s="2">
        <v>0.0</v>
      </c>
      <c r="M47" s="2" t="s">
        <v>86</v>
      </c>
      <c r="N47" s="2">
        <v>1.0</v>
      </c>
      <c r="O47" s="2">
        <v>0.0</v>
      </c>
      <c r="P47" s="2">
        <v>-0.4651</v>
      </c>
      <c r="Q47" s="2">
        <v>0.0</v>
      </c>
      <c r="R47" s="2">
        <v>0.4629</v>
      </c>
      <c r="S47" s="2">
        <v>244.74</v>
      </c>
      <c r="T47" s="2">
        <v>7.0</v>
      </c>
      <c r="V47" s="2">
        <f t="shared" si="2"/>
        <v>79.74320875</v>
      </c>
      <c r="W47" s="2">
        <f t="shared" si="3"/>
        <v>5.11018728</v>
      </c>
      <c r="X47" s="2">
        <f t="shared" si="4"/>
        <v>5.03303728</v>
      </c>
      <c r="Y47" s="2">
        <f t="shared" ref="Y47:Z47" si="50">_xlfn.NORM.S.DIST(W47)</f>
        <v>0.9999998391</v>
      </c>
      <c r="Z47" s="2">
        <f t="shared" si="50"/>
        <v>0.9999997586</v>
      </c>
      <c r="AA47" s="2">
        <f t="shared" si="6"/>
        <v>73.65</v>
      </c>
    </row>
    <row r="48" ht="14.25" customHeight="1">
      <c r="A48" s="2" t="s">
        <v>117</v>
      </c>
      <c r="B48" s="2" t="s">
        <v>118</v>
      </c>
      <c r="C48" s="2" t="s">
        <v>91</v>
      </c>
      <c r="D48" s="2" t="s">
        <v>29</v>
      </c>
      <c r="E48" s="2">
        <v>165.0</v>
      </c>
      <c r="F48" s="2" t="s">
        <v>30</v>
      </c>
      <c r="G48" s="2">
        <v>73.2</v>
      </c>
      <c r="I48" s="2">
        <v>76.7</v>
      </c>
      <c r="K48" s="2">
        <v>0.0</v>
      </c>
      <c r="L48" s="2">
        <v>0.0</v>
      </c>
      <c r="M48" s="2" t="s">
        <v>87</v>
      </c>
      <c r="N48" s="2">
        <v>1.0</v>
      </c>
      <c r="O48" s="2">
        <v>0.0</v>
      </c>
      <c r="P48" s="2">
        <v>-0.4651</v>
      </c>
      <c r="Q48" s="2">
        <v>0.0</v>
      </c>
      <c r="R48" s="2">
        <v>0.4808</v>
      </c>
      <c r="S48" s="2">
        <v>244.36</v>
      </c>
      <c r="T48" s="2">
        <v>6.0</v>
      </c>
      <c r="V48" s="2">
        <f t="shared" si="2"/>
        <v>79.36275013</v>
      </c>
      <c r="W48" s="2">
        <f t="shared" si="3"/>
        <v>5.293194486</v>
      </c>
      <c r="X48" s="2">
        <f t="shared" si="4"/>
        <v>5.219005435</v>
      </c>
      <c r="Y48" s="2">
        <f t="shared" ref="Y48:Z48" si="51">_xlfn.NORM.S.DIST(W48)</f>
        <v>0.9999999399</v>
      </c>
      <c r="Z48" s="2">
        <f t="shared" si="51"/>
        <v>0.9999999101</v>
      </c>
      <c r="AA48" s="2">
        <f t="shared" si="6"/>
        <v>74.95</v>
      </c>
    </row>
    <row r="49" ht="14.25" customHeight="1">
      <c r="A49" s="2" t="s">
        <v>117</v>
      </c>
      <c r="B49" s="2" t="s">
        <v>118</v>
      </c>
      <c r="C49" s="2" t="s">
        <v>91</v>
      </c>
      <c r="D49" s="2" t="s">
        <v>29</v>
      </c>
      <c r="E49" s="2">
        <v>165.0</v>
      </c>
      <c r="F49" s="2" t="s">
        <v>30</v>
      </c>
      <c r="G49" s="2">
        <v>73.0</v>
      </c>
      <c r="I49" s="2">
        <v>77.0</v>
      </c>
      <c r="K49" s="2">
        <v>0.0</v>
      </c>
      <c r="L49" s="2">
        <v>0.0</v>
      </c>
      <c r="M49" s="2" t="s">
        <v>88</v>
      </c>
      <c r="N49" s="2">
        <v>1.0</v>
      </c>
      <c r="O49" s="2">
        <v>0.0</v>
      </c>
      <c r="P49" s="2">
        <v>-0.4651</v>
      </c>
      <c r="Q49" s="2">
        <v>0.0</v>
      </c>
      <c r="R49" s="2">
        <v>0.4518</v>
      </c>
      <c r="S49" s="2">
        <v>244.79</v>
      </c>
      <c r="T49" s="2">
        <v>3.0</v>
      </c>
      <c r="V49" s="2">
        <f t="shared" si="2"/>
        <v>79.79137499</v>
      </c>
      <c r="W49" s="2">
        <f t="shared" si="3"/>
        <v>8.001863358</v>
      </c>
      <c r="X49" s="2">
        <f t="shared" si="4"/>
        <v>7.952567936</v>
      </c>
      <c r="Y49" s="2">
        <f t="shared" ref="Y49:Z49" si="52">_xlfn.NORM.S.DIST(W49)</f>
        <v>1</v>
      </c>
      <c r="Z49" s="2">
        <f t="shared" si="52"/>
        <v>1</v>
      </c>
      <c r="AA49" s="2">
        <f t="shared" si="6"/>
        <v>75</v>
      </c>
    </row>
    <row r="50" ht="14.25" customHeight="1">
      <c r="A50" s="2" t="s">
        <v>117</v>
      </c>
      <c r="B50" s="2" t="s">
        <v>118</v>
      </c>
      <c r="C50" s="2" t="s">
        <v>91</v>
      </c>
      <c r="D50" s="2" t="s">
        <v>29</v>
      </c>
      <c r="E50" s="2">
        <v>165.0</v>
      </c>
      <c r="F50" s="2" t="s">
        <v>30</v>
      </c>
      <c r="G50" s="2">
        <v>76.3</v>
      </c>
      <c r="I50" s="2">
        <v>79.6</v>
      </c>
      <c r="K50" s="2">
        <v>0.0</v>
      </c>
      <c r="L50" s="2">
        <v>0.0</v>
      </c>
      <c r="M50" s="2" t="s">
        <v>89</v>
      </c>
      <c r="N50" s="2">
        <v>1.0</v>
      </c>
      <c r="O50" s="2">
        <v>0.0</v>
      </c>
      <c r="P50" s="2">
        <v>-0.4651</v>
      </c>
      <c r="Q50" s="2">
        <v>0.0</v>
      </c>
      <c r="R50" s="2">
        <v>0.2234</v>
      </c>
      <c r="S50" s="2">
        <v>244.17</v>
      </c>
      <c r="T50" s="2">
        <v>2.0</v>
      </c>
      <c r="V50" s="2">
        <f t="shared" si="2"/>
        <v>79.17091666</v>
      </c>
      <c r="W50" s="2">
        <f t="shared" si="3"/>
        <v>19.69240128</v>
      </c>
      <c r="X50" s="2">
        <f t="shared" si="4"/>
        <v>19.67249923</v>
      </c>
      <c r="Y50" s="2">
        <f t="shared" ref="Y50:Z50" si="53">_xlfn.NORM.S.DIST(W50)</f>
        <v>1</v>
      </c>
      <c r="Z50" s="2">
        <f t="shared" si="53"/>
        <v>1</v>
      </c>
      <c r="AA50" s="2">
        <f t="shared" si="6"/>
        <v>77.95</v>
      </c>
    </row>
    <row r="51" ht="14.25" customHeight="1">
      <c r="A51" s="2" t="s">
        <v>117</v>
      </c>
      <c r="B51" s="2" t="s">
        <v>118</v>
      </c>
      <c r="C51" s="2" t="s">
        <v>91</v>
      </c>
      <c r="D51" s="2" t="s">
        <v>29</v>
      </c>
      <c r="E51" s="2">
        <v>165.0</v>
      </c>
      <c r="F51" s="2" t="s">
        <v>30</v>
      </c>
      <c r="G51" s="2">
        <v>78.9</v>
      </c>
      <c r="I51" s="2">
        <v>82.2</v>
      </c>
      <c r="K51" s="2">
        <v>0.0</v>
      </c>
      <c r="L51" s="2">
        <v>0.0</v>
      </c>
      <c r="M51" s="2" t="s">
        <v>90</v>
      </c>
      <c r="N51" s="2">
        <v>1.0</v>
      </c>
      <c r="O51" s="2">
        <v>0.0</v>
      </c>
      <c r="P51" s="2">
        <v>-0.4651</v>
      </c>
      <c r="Q51" s="2">
        <v>0.0</v>
      </c>
      <c r="R51" s="2">
        <v>0.5844</v>
      </c>
      <c r="S51" s="2">
        <v>247.77</v>
      </c>
      <c r="T51" s="2">
        <v>1.0</v>
      </c>
      <c r="V51" s="2">
        <f t="shared" si="2"/>
        <v>82.77045833</v>
      </c>
      <c r="W51" s="2">
        <f t="shared" si="3"/>
        <v>11.04357846</v>
      </c>
      <c r="X51" s="2">
        <f t="shared" si="4"/>
        <v>11.00676472</v>
      </c>
      <c r="Y51" s="2">
        <f t="shared" ref="Y51:Z51" si="54">_xlfn.NORM.S.DIST(W51)</f>
        <v>1</v>
      </c>
      <c r="Z51" s="2">
        <f t="shared" si="54"/>
        <v>1</v>
      </c>
      <c r="AA51" s="2">
        <f t="shared" si="6"/>
        <v>80.55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8.71"/>
    <col customWidth="1" min="3" max="3" width="10.86"/>
    <col customWidth="1" min="4" max="12" width="8.71"/>
    <col customWidth="1" min="13" max="13" width="12.29"/>
    <col customWidth="1" min="14" max="19" width="8.71"/>
    <col customWidth="1" min="20" max="20" width="15.14"/>
    <col customWidth="1" min="2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/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  <c r="AB1" s="5"/>
    </row>
    <row r="2" ht="14.25" customHeight="1">
      <c r="A2" s="5" t="s">
        <v>120</v>
      </c>
      <c r="B2" s="5" t="s">
        <v>121</v>
      </c>
      <c r="C2" s="5" t="s">
        <v>109</v>
      </c>
      <c r="D2" s="5" t="s">
        <v>29</v>
      </c>
      <c r="E2" s="6">
        <v>200.0</v>
      </c>
      <c r="F2" s="5" t="s">
        <v>30</v>
      </c>
      <c r="G2" s="6">
        <v>669.4</v>
      </c>
      <c r="H2" s="5"/>
      <c r="I2" s="6">
        <v>673.3</v>
      </c>
      <c r="J2" s="5"/>
      <c r="K2" s="6">
        <v>0.0</v>
      </c>
      <c r="L2" s="6">
        <v>0.0</v>
      </c>
      <c r="M2" s="5" t="s">
        <v>31</v>
      </c>
      <c r="N2" s="6">
        <v>1.0</v>
      </c>
      <c r="O2" s="6">
        <v>0.0</v>
      </c>
      <c r="P2" s="6">
        <v>-0.6052</v>
      </c>
      <c r="Q2" s="6">
        <v>0.0</v>
      </c>
      <c r="R2" s="6">
        <v>0.1891</v>
      </c>
      <c r="S2" s="6">
        <v>873.419983</v>
      </c>
      <c r="T2" s="6">
        <v>73.0</v>
      </c>
      <c r="U2" s="5"/>
      <c r="V2" s="2">
        <f t="shared" ref="V2:V52" si="2">S2*Y2 - E2*Z2*exp(-0.0007*T2/252)</f>
        <v>673.4605344</v>
      </c>
      <c r="W2" s="2">
        <f t="shared" ref="W2:W52" si="3">((LN(S2/E2) + (0.0007 + (R2^2)/2) * U2/$AB$2)) / (R2 * SQRT(T2/252))</f>
        <v>14.48351616</v>
      </c>
      <c r="X2" s="2">
        <f t="shared" ref="X2:X52" si="4">W2-(R2*SQRT(T2/$AB$2))</f>
        <v>14.38173845</v>
      </c>
      <c r="Y2" s="2">
        <f t="shared" ref="Y2:Z2" si="1">_xlfn.NORM.S.DIST(W2)</f>
        <v>1</v>
      </c>
      <c r="Z2" s="2">
        <f t="shared" si="1"/>
        <v>1</v>
      </c>
      <c r="AA2" s="2">
        <f t="shared" ref="AA2:AA52" si="6">if(0.5*(G2+I2)=0,0,0.5*(G2+I2))</f>
        <v>671.35</v>
      </c>
      <c r="AB2" s="6">
        <v>252.0</v>
      </c>
    </row>
    <row r="3" ht="14.25" customHeight="1">
      <c r="A3" s="5" t="s">
        <v>120</v>
      </c>
      <c r="B3" s="5" t="s">
        <v>121</v>
      </c>
      <c r="C3" s="5" t="s">
        <v>109</v>
      </c>
      <c r="D3" s="5" t="s">
        <v>29</v>
      </c>
      <c r="E3" s="6">
        <v>200.0</v>
      </c>
      <c r="F3" s="5" t="s">
        <v>30</v>
      </c>
      <c r="G3" s="6">
        <v>668.2</v>
      </c>
      <c r="H3" s="5"/>
      <c r="I3" s="6">
        <v>672.1</v>
      </c>
      <c r="J3" s="5"/>
      <c r="K3" s="6">
        <v>0.0</v>
      </c>
      <c r="L3" s="6">
        <v>0.0</v>
      </c>
      <c r="M3" s="5" t="s">
        <v>32</v>
      </c>
      <c r="N3" s="6">
        <v>1.0</v>
      </c>
      <c r="O3" s="6">
        <v>0.0</v>
      </c>
      <c r="P3" s="6">
        <v>-0.6052</v>
      </c>
      <c r="Q3" s="6">
        <v>0.0</v>
      </c>
      <c r="R3" s="6">
        <v>0.1986</v>
      </c>
      <c r="S3" s="6">
        <v>872.599976</v>
      </c>
      <c r="T3" s="6">
        <v>72.0</v>
      </c>
      <c r="U3" s="5"/>
      <c r="V3" s="2">
        <f t="shared" si="2"/>
        <v>672.639972</v>
      </c>
      <c r="W3" s="2">
        <f t="shared" si="3"/>
        <v>13.87728977</v>
      </c>
      <c r="X3" s="2">
        <f t="shared" si="4"/>
        <v>13.77113361</v>
      </c>
      <c r="Y3" s="2">
        <f t="shared" ref="Y3:Z3" si="5">_xlfn.NORM.S.DIST(W3)</f>
        <v>1</v>
      </c>
      <c r="Z3" s="2">
        <f t="shared" si="5"/>
        <v>1</v>
      </c>
      <c r="AA3" s="2">
        <f t="shared" si="6"/>
        <v>670.15</v>
      </c>
      <c r="AB3" s="5"/>
    </row>
    <row r="4" ht="14.25" customHeight="1">
      <c r="A4" s="5" t="s">
        <v>120</v>
      </c>
      <c r="B4" s="5" t="s">
        <v>121</v>
      </c>
      <c r="C4" s="5" t="s">
        <v>109</v>
      </c>
      <c r="D4" s="5" t="s">
        <v>29</v>
      </c>
      <c r="E4" s="6">
        <v>200.0</v>
      </c>
      <c r="F4" s="5" t="s">
        <v>30</v>
      </c>
      <c r="G4" s="6">
        <v>0.0</v>
      </c>
      <c r="H4" s="5"/>
      <c r="I4" s="6">
        <v>0.0</v>
      </c>
      <c r="J4" s="5"/>
      <c r="K4" s="6">
        <v>0.0</v>
      </c>
      <c r="L4" s="6">
        <v>0.0</v>
      </c>
      <c r="M4" s="5" t="s">
        <v>33</v>
      </c>
      <c r="N4" s="6">
        <v>1.0</v>
      </c>
      <c r="O4" s="6">
        <v>0.0</v>
      </c>
      <c r="P4" s="6">
        <v>-0.6052</v>
      </c>
      <c r="Q4" s="6">
        <v>0.0</v>
      </c>
      <c r="R4" s="6">
        <v>0.1555</v>
      </c>
      <c r="S4" s="6">
        <v>879.150024</v>
      </c>
      <c r="T4" s="6">
        <v>71.0</v>
      </c>
      <c r="U4" s="5"/>
      <c r="V4" s="2">
        <f t="shared" si="2"/>
        <v>679.1894646</v>
      </c>
      <c r="W4" s="2">
        <f t="shared" si="3"/>
        <v>17.93864561</v>
      </c>
      <c r="X4" s="2">
        <f t="shared" si="4"/>
        <v>17.8561066</v>
      </c>
      <c r="Y4" s="2">
        <f t="shared" ref="Y4:Z4" si="7">_xlfn.NORM.S.DIST(W4)</f>
        <v>1</v>
      </c>
      <c r="Z4" s="2">
        <f t="shared" si="7"/>
        <v>1</v>
      </c>
      <c r="AA4" s="2">
        <f t="shared" si="6"/>
        <v>0</v>
      </c>
      <c r="AB4" s="2">
        <f>average(R2:R52)</f>
        <v>0.1991392157</v>
      </c>
    </row>
    <row r="5" ht="14.25" customHeight="1">
      <c r="A5" s="5" t="s">
        <v>120</v>
      </c>
      <c r="B5" s="5" t="s">
        <v>121</v>
      </c>
      <c r="C5" s="5" t="s">
        <v>109</v>
      </c>
      <c r="D5" s="5" t="s">
        <v>29</v>
      </c>
      <c r="E5" s="6">
        <v>200.0</v>
      </c>
      <c r="F5" s="5" t="s">
        <v>30</v>
      </c>
      <c r="G5" s="6">
        <v>671.4</v>
      </c>
      <c r="H5" s="5"/>
      <c r="I5" s="6">
        <v>675.3</v>
      </c>
      <c r="J5" s="5"/>
      <c r="K5" s="6">
        <v>0.0</v>
      </c>
      <c r="L5" s="6">
        <v>0.0</v>
      </c>
      <c r="M5" s="5" t="s">
        <v>34</v>
      </c>
      <c r="N5" s="6">
        <v>0.9982</v>
      </c>
      <c r="O5" s="6">
        <v>0.0</v>
      </c>
      <c r="P5" s="6">
        <v>8.1122</v>
      </c>
      <c r="Q5" s="6">
        <v>0.0</v>
      </c>
      <c r="R5" s="6">
        <v>0.2287</v>
      </c>
      <c r="S5" s="6">
        <v>875.799988</v>
      </c>
      <c r="T5" s="6">
        <v>68.0</v>
      </c>
      <c r="U5" s="5"/>
      <c r="V5" s="2">
        <f t="shared" si="2"/>
        <v>675.8377622</v>
      </c>
      <c r="W5" s="2">
        <f t="shared" si="3"/>
        <v>12.43103601</v>
      </c>
      <c r="X5" s="2">
        <f t="shared" si="4"/>
        <v>12.31223494</v>
      </c>
      <c r="Y5" s="2">
        <f t="shared" ref="Y5:Z5" si="8">_xlfn.NORM.S.DIST(W5)</f>
        <v>1</v>
      </c>
      <c r="Z5" s="2">
        <f t="shared" si="8"/>
        <v>1</v>
      </c>
      <c r="AA5" s="2">
        <f t="shared" si="6"/>
        <v>673.35</v>
      </c>
      <c r="AB5" s="5"/>
    </row>
    <row r="6" ht="14.25" customHeight="1">
      <c r="A6" s="5" t="s">
        <v>120</v>
      </c>
      <c r="B6" s="5" t="s">
        <v>121</v>
      </c>
      <c r="C6" s="5" t="s">
        <v>109</v>
      </c>
      <c r="D6" s="5" t="s">
        <v>29</v>
      </c>
      <c r="E6" s="6">
        <v>200.0</v>
      </c>
      <c r="F6" s="5" t="s">
        <v>30</v>
      </c>
      <c r="G6" s="6">
        <v>666.9</v>
      </c>
      <c r="H6" s="5"/>
      <c r="I6" s="6">
        <v>678.0</v>
      </c>
      <c r="J6" s="5"/>
      <c r="K6" s="6">
        <v>0.0</v>
      </c>
      <c r="L6" s="6">
        <v>0.0</v>
      </c>
      <c r="M6" s="5" t="s">
        <v>35</v>
      </c>
      <c r="N6" s="6">
        <v>0.9964</v>
      </c>
      <c r="O6" s="6">
        <v>0.0</v>
      </c>
      <c r="P6" s="6">
        <v>16.7768</v>
      </c>
      <c r="Q6" s="6">
        <v>0.0</v>
      </c>
      <c r="R6" s="6">
        <v>0.2833</v>
      </c>
      <c r="S6" s="6">
        <v>874.700012</v>
      </c>
      <c r="T6" s="6">
        <v>67.0</v>
      </c>
      <c r="U6" s="5"/>
      <c r="V6" s="2">
        <f t="shared" si="2"/>
        <v>674.7372308</v>
      </c>
      <c r="W6" s="2">
        <f t="shared" si="3"/>
        <v>10.10122937</v>
      </c>
      <c r="X6" s="2">
        <f t="shared" si="4"/>
        <v>9.955151747</v>
      </c>
      <c r="Y6" s="2">
        <f t="shared" ref="Y6:Z6" si="9">_xlfn.NORM.S.DIST(W6)</f>
        <v>1</v>
      </c>
      <c r="Z6" s="2">
        <f t="shared" si="9"/>
        <v>1</v>
      </c>
      <c r="AA6" s="2">
        <f t="shared" si="6"/>
        <v>672.45</v>
      </c>
      <c r="AB6" s="5"/>
    </row>
    <row r="7" ht="14.25" customHeight="1">
      <c r="A7" s="5" t="s">
        <v>120</v>
      </c>
      <c r="B7" s="5" t="s">
        <v>121</v>
      </c>
      <c r="C7" s="5" t="s">
        <v>109</v>
      </c>
      <c r="D7" s="5" t="s">
        <v>29</v>
      </c>
      <c r="E7" s="6">
        <v>200.0</v>
      </c>
      <c r="F7" s="5" t="s">
        <v>30</v>
      </c>
      <c r="G7" s="6">
        <v>0.0</v>
      </c>
      <c r="H7" s="5"/>
      <c r="I7" s="6">
        <v>0.0</v>
      </c>
      <c r="J7" s="5"/>
      <c r="K7" s="6">
        <v>0.0</v>
      </c>
      <c r="L7" s="6">
        <v>0.0</v>
      </c>
      <c r="M7" s="5" t="s">
        <v>36</v>
      </c>
      <c r="N7" s="6">
        <v>0.9964</v>
      </c>
      <c r="O7" s="6">
        <v>0.0</v>
      </c>
      <c r="P7" s="6">
        <v>17.0201</v>
      </c>
      <c r="Q7" s="6">
        <v>0.0</v>
      </c>
      <c r="R7" s="6">
        <v>0.2368</v>
      </c>
      <c r="S7" s="6">
        <v>879.51001</v>
      </c>
      <c r="T7" s="6">
        <v>66.0</v>
      </c>
      <c r="U7" s="5"/>
      <c r="V7" s="2">
        <f t="shared" si="2"/>
        <v>679.5466733</v>
      </c>
      <c r="W7" s="2">
        <f t="shared" si="3"/>
        <v>12.22124963</v>
      </c>
      <c r="X7" s="2">
        <f t="shared" si="4"/>
        <v>12.10006337</v>
      </c>
      <c r="Y7" s="2">
        <f t="shared" ref="Y7:Z7" si="10">_xlfn.NORM.S.DIST(W7)</f>
        <v>1</v>
      </c>
      <c r="Z7" s="2">
        <f t="shared" si="10"/>
        <v>1</v>
      </c>
      <c r="AA7" s="2">
        <f t="shared" si="6"/>
        <v>0</v>
      </c>
      <c r="AB7" s="5"/>
    </row>
    <row r="8" ht="14.25" customHeight="1">
      <c r="A8" s="5" t="s">
        <v>120</v>
      </c>
      <c r="B8" s="5" t="s">
        <v>121</v>
      </c>
      <c r="C8" s="5" t="s">
        <v>109</v>
      </c>
      <c r="D8" s="5" t="s">
        <v>29</v>
      </c>
      <c r="E8" s="6">
        <v>200.0</v>
      </c>
      <c r="F8" s="5" t="s">
        <v>30</v>
      </c>
      <c r="G8" s="6">
        <v>677.1</v>
      </c>
      <c r="H8" s="5"/>
      <c r="I8" s="6">
        <v>681.1</v>
      </c>
      <c r="J8" s="5"/>
      <c r="K8" s="6">
        <v>0.0</v>
      </c>
      <c r="L8" s="6">
        <v>0.0</v>
      </c>
      <c r="M8" s="5" t="s">
        <v>37</v>
      </c>
      <c r="N8" s="6">
        <v>0.9965</v>
      </c>
      <c r="O8" s="6">
        <v>0.0</v>
      </c>
      <c r="P8" s="6">
        <v>17.0557</v>
      </c>
      <c r="Q8" s="6">
        <v>0.0</v>
      </c>
      <c r="R8" s="6">
        <v>0.2654</v>
      </c>
      <c r="S8" s="6">
        <v>881.23999</v>
      </c>
      <c r="T8" s="6">
        <v>65.0</v>
      </c>
      <c r="U8" s="5"/>
      <c r="V8" s="2">
        <f t="shared" si="2"/>
        <v>681.2760979</v>
      </c>
      <c r="W8" s="2">
        <f t="shared" si="3"/>
        <v>11.00240235</v>
      </c>
      <c r="X8" s="2">
        <f t="shared" si="4"/>
        <v>10.86761246</v>
      </c>
      <c r="Y8" s="2">
        <f t="shared" ref="Y8:Z8" si="11">_xlfn.NORM.S.DIST(W8)</f>
        <v>1</v>
      </c>
      <c r="Z8" s="2">
        <f t="shared" si="11"/>
        <v>1</v>
      </c>
      <c r="AA8" s="2">
        <f t="shared" si="6"/>
        <v>679.1</v>
      </c>
      <c r="AB8" s="5"/>
    </row>
    <row r="9" ht="14.25" customHeight="1">
      <c r="A9" s="5" t="s">
        <v>120</v>
      </c>
      <c r="B9" s="5" t="s">
        <v>121</v>
      </c>
      <c r="C9" s="5" t="s">
        <v>109</v>
      </c>
      <c r="D9" s="5" t="s">
        <v>29</v>
      </c>
      <c r="E9" s="6">
        <v>200.0</v>
      </c>
      <c r="F9" s="5" t="s">
        <v>30</v>
      </c>
      <c r="G9" s="6">
        <v>0.0</v>
      </c>
      <c r="H9" s="5"/>
      <c r="I9" s="6">
        <v>0.0</v>
      </c>
      <c r="J9" s="5"/>
      <c r="K9" s="6">
        <v>0.0</v>
      </c>
      <c r="L9" s="6">
        <v>0.0</v>
      </c>
      <c r="M9" s="5" t="s">
        <v>38</v>
      </c>
      <c r="N9" s="6">
        <v>0.9965</v>
      </c>
      <c r="O9" s="6">
        <v>0.0</v>
      </c>
      <c r="P9" s="6">
        <v>16.9003</v>
      </c>
      <c r="Q9" s="6">
        <v>0.0</v>
      </c>
      <c r="R9" s="6">
        <v>0.2393</v>
      </c>
      <c r="S9" s="6">
        <v>880.77002</v>
      </c>
      <c r="T9" s="6">
        <v>64.0</v>
      </c>
      <c r="U9" s="5"/>
      <c r="V9" s="2">
        <f t="shared" si="2"/>
        <v>680.8055724</v>
      </c>
      <c r="W9" s="2">
        <f t="shared" si="3"/>
        <v>12.29295206</v>
      </c>
      <c r="X9" s="2">
        <f t="shared" si="4"/>
        <v>12.17235619</v>
      </c>
      <c r="Y9" s="2">
        <f t="shared" ref="Y9:Z9" si="12">_xlfn.NORM.S.DIST(W9)</f>
        <v>1</v>
      </c>
      <c r="Z9" s="2">
        <f t="shared" si="12"/>
        <v>1</v>
      </c>
      <c r="AA9" s="2">
        <f t="shared" si="6"/>
        <v>0</v>
      </c>
      <c r="AB9" s="5"/>
    </row>
    <row r="10" ht="14.25" customHeight="1">
      <c r="A10" s="5" t="s">
        <v>120</v>
      </c>
      <c r="B10" s="5" t="s">
        <v>121</v>
      </c>
      <c r="C10" s="5" t="s">
        <v>109</v>
      </c>
      <c r="D10" s="5" t="s">
        <v>29</v>
      </c>
      <c r="E10" s="6">
        <v>200.0</v>
      </c>
      <c r="F10" s="5" t="s">
        <v>30</v>
      </c>
      <c r="G10" s="6">
        <v>0.0</v>
      </c>
      <c r="H10" s="5"/>
      <c r="I10" s="6">
        <v>0.0</v>
      </c>
      <c r="J10" s="5"/>
      <c r="K10" s="6">
        <v>0.0</v>
      </c>
      <c r="L10" s="6">
        <v>0.0</v>
      </c>
      <c r="M10" s="5" t="s">
        <v>39</v>
      </c>
      <c r="N10" s="6">
        <v>0.9968</v>
      </c>
      <c r="O10" s="6">
        <v>0.0</v>
      </c>
      <c r="P10" s="6">
        <v>16.605</v>
      </c>
      <c r="Q10" s="6">
        <v>0.0</v>
      </c>
      <c r="R10" s="6">
        <v>0.2406</v>
      </c>
      <c r="S10" s="6">
        <v>880.099976</v>
      </c>
      <c r="T10" s="6">
        <v>61.0</v>
      </c>
      <c r="U10" s="5"/>
      <c r="V10" s="2">
        <f t="shared" si="2"/>
        <v>680.133862</v>
      </c>
      <c r="W10" s="2">
        <f t="shared" si="3"/>
        <v>12.51714631</v>
      </c>
      <c r="X10" s="2">
        <f t="shared" si="4"/>
        <v>12.39877124</v>
      </c>
      <c r="Y10" s="2">
        <f t="shared" ref="Y10:Z10" si="13">_xlfn.NORM.S.DIST(W10)</f>
        <v>1</v>
      </c>
      <c r="Z10" s="2">
        <f t="shared" si="13"/>
        <v>1</v>
      </c>
      <c r="AA10" s="2">
        <f t="shared" si="6"/>
        <v>0</v>
      </c>
      <c r="AB10" s="5"/>
    </row>
    <row r="11" ht="14.25" customHeight="1">
      <c r="A11" s="5" t="s">
        <v>120</v>
      </c>
      <c r="B11" s="5" t="s">
        <v>121</v>
      </c>
      <c r="C11" s="5" t="s">
        <v>109</v>
      </c>
      <c r="D11" s="5" t="s">
        <v>29</v>
      </c>
      <c r="E11" s="6">
        <v>200.0</v>
      </c>
      <c r="F11" s="5" t="s">
        <v>30</v>
      </c>
      <c r="G11" s="6">
        <v>679.8</v>
      </c>
      <c r="H11" s="5"/>
      <c r="I11" s="6">
        <v>683.9</v>
      </c>
      <c r="J11" s="5"/>
      <c r="K11" s="6">
        <v>0.0</v>
      </c>
      <c r="L11" s="6">
        <v>0.0</v>
      </c>
      <c r="M11" s="5" t="s">
        <v>40</v>
      </c>
      <c r="N11" s="6">
        <v>0.9969</v>
      </c>
      <c r="O11" s="6">
        <v>0.0</v>
      </c>
      <c r="P11" s="6">
        <v>16.3983</v>
      </c>
      <c r="Q11" s="6">
        <v>0.0</v>
      </c>
      <c r="R11" s="6">
        <v>0.1349</v>
      </c>
      <c r="S11" s="6">
        <v>884.599976</v>
      </c>
      <c r="T11" s="6">
        <v>60.0</v>
      </c>
      <c r="U11" s="5"/>
      <c r="V11" s="2">
        <f t="shared" si="2"/>
        <v>684.6333066</v>
      </c>
      <c r="W11" s="2">
        <f t="shared" si="3"/>
        <v>22.58762432</v>
      </c>
      <c r="X11" s="2">
        <f t="shared" si="4"/>
        <v>22.52179986</v>
      </c>
      <c r="Y11" s="2">
        <f t="shared" ref="Y11:Z11" si="14">_xlfn.NORM.S.DIST(W11)</f>
        <v>1</v>
      </c>
      <c r="Z11" s="2">
        <f t="shared" si="14"/>
        <v>1</v>
      </c>
      <c r="AA11" s="2">
        <f t="shared" si="6"/>
        <v>681.85</v>
      </c>
      <c r="AB11" s="5"/>
    </row>
    <row r="12" ht="14.25" customHeight="1">
      <c r="A12" s="5" t="s">
        <v>120</v>
      </c>
      <c r="B12" s="5" t="s">
        <v>121</v>
      </c>
      <c r="C12" s="5" t="s">
        <v>109</v>
      </c>
      <c r="D12" s="5" t="s">
        <v>29</v>
      </c>
      <c r="E12" s="6">
        <v>200.0</v>
      </c>
      <c r="F12" s="5" t="s">
        <v>30</v>
      </c>
      <c r="G12" s="6">
        <v>0.0</v>
      </c>
      <c r="H12" s="5"/>
      <c r="I12" s="6">
        <v>0.0</v>
      </c>
      <c r="J12" s="5"/>
      <c r="K12" s="6">
        <v>0.0</v>
      </c>
      <c r="L12" s="6">
        <v>0.0</v>
      </c>
      <c r="M12" s="5" t="s">
        <v>41</v>
      </c>
      <c r="N12" s="6">
        <v>0.9969</v>
      </c>
      <c r="O12" s="6">
        <v>0.0</v>
      </c>
      <c r="P12" s="6">
        <v>16.3382</v>
      </c>
      <c r="Q12" s="6">
        <v>0.0</v>
      </c>
      <c r="R12" s="6">
        <v>0.1736</v>
      </c>
      <c r="S12" s="6">
        <v>882.309998</v>
      </c>
      <c r="T12" s="6">
        <v>59.0</v>
      </c>
      <c r="U12" s="5"/>
      <c r="V12" s="2">
        <f t="shared" si="2"/>
        <v>682.3427731</v>
      </c>
      <c r="W12" s="2">
        <f t="shared" si="3"/>
        <v>17.66951414</v>
      </c>
      <c r="X12" s="2">
        <f t="shared" si="4"/>
        <v>17.58551488</v>
      </c>
      <c r="Y12" s="2">
        <f t="shared" ref="Y12:Z12" si="15">_xlfn.NORM.S.DIST(W12)</f>
        <v>1</v>
      </c>
      <c r="Z12" s="2">
        <f t="shared" si="15"/>
        <v>1</v>
      </c>
      <c r="AA12" s="2">
        <f t="shared" si="6"/>
        <v>0</v>
      </c>
      <c r="AB12" s="5"/>
    </row>
    <row r="13" ht="14.25" customHeight="1">
      <c r="A13" s="5" t="s">
        <v>120</v>
      </c>
      <c r="B13" s="5" t="s">
        <v>121</v>
      </c>
      <c r="C13" s="5" t="s">
        <v>109</v>
      </c>
      <c r="D13" s="5" t="s">
        <v>29</v>
      </c>
      <c r="E13" s="6">
        <v>200.0</v>
      </c>
      <c r="F13" s="5" t="s">
        <v>30</v>
      </c>
      <c r="G13" s="6">
        <v>0.0</v>
      </c>
      <c r="H13" s="5"/>
      <c r="I13" s="6">
        <v>0.0</v>
      </c>
      <c r="J13" s="5"/>
      <c r="K13" s="6">
        <v>0.0</v>
      </c>
      <c r="L13" s="6">
        <v>0.0</v>
      </c>
      <c r="M13" s="5" t="s">
        <v>42</v>
      </c>
      <c r="N13" s="6">
        <v>0.997</v>
      </c>
      <c r="O13" s="6">
        <v>0.0</v>
      </c>
      <c r="P13" s="6">
        <v>16.3004</v>
      </c>
      <c r="Q13" s="6">
        <v>0.0</v>
      </c>
      <c r="R13" s="6">
        <v>0.2068</v>
      </c>
      <c r="S13" s="6">
        <v>890.359985</v>
      </c>
      <c r="T13" s="6">
        <v>58.0</v>
      </c>
      <c r="U13" s="5"/>
      <c r="V13" s="2">
        <f t="shared" si="2"/>
        <v>690.3922046</v>
      </c>
      <c r="W13" s="2">
        <f t="shared" si="3"/>
        <v>15.05169031</v>
      </c>
      <c r="X13" s="2">
        <f t="shared" si="4"/>
        <v>14.95247829</v>
      </c>
      <c r="Y13" s="2">
        <f t="shared" ref="Y13:Z13" si="16">_xlfn.NORM.S.DIST(W13)</f>
        <v>1</v>
      </c>
      <c r="Z13" s="2">
        <f t="shared" si="16"/>
        <v>1</v>
      </c>
      <c r="AA13" s="2">
        <f t="shared" si="6"/>
        <v>0</v>
      </c>
      <c r="AB13" s="5"/>
    </row>
    <row r="14" ht="14.25" customHeight="1">
      <c r="A14" s="5" t="s">
        <v>120</v>
      </c>
      <c r="B14" s="5" t="s">
        <v>121</v>
      </c>
      <c r="C14" s="5" t="s">
        <v>109</v>
      </c>
      <c r="D14" s="5" t="s">
        <v>29</v>
      </c>
      <c r="E14" s="6">
        <v>200.0</v>
      </c>
      <c r="F14" s="5" t="s">
        <v>30</v>
      </c>
      <c r="G14" s="6">
        <v>688.1</v>
      </c>
      <c r="H14" s="5"/>
      <c r="I14" s="6">
        <v>692.1</v>
      </c>
      <c r="J14" s="5"/>
      <c r="K14" s="6">
        <v>0.0</v>
      </c>
      <c r="L14" s="6">
        <v>0.0</v>
      </c>
      <c r="M14" s="5" t="s">
        <v>43</v>
      </c>
      <c r="N14" s="6">
        <v>0.9985</v>
      </c>
      <c r="O14" s="6">
        <v>0.0</v>
      </c>
      <c r="P14" s="6">
        <v>7.8836</v>
      </c>
      <c r="Q14" s="6">
        <v>0.0</v>
      </c>
      <c r="R14" s="6">
        <v>0.1658</v>
      </c>
      <c r="S14" s="6">
        <v>892.799988</v>
      </c>
      <c r="T14" s="6">
        <v>57.0</v>
      </c>
      <c r="U14" s="5"/>
      <c r="V14" s="2">
        <f t="shared" si="2"/>
        <v>692.8316522</v>
      </c>
      <c r="W14" s="2">
        <f t="shared" si="3"/>
        <v>18.9724333</v>
      </c>
      <c r="X14" s="2">
        <f t="shared" si="4"/>
        <v>18.89357968</v>
      </c>
      <c r="Y14" s="2">
        <f t="shared" ref="Y14:Z14" si="17">_xlfn.NORM.S.DIST(W14)</f>
        <v>1</v>
      </c>
      <c r="Z14" s="2">
        <f t="shared" si="17"/>
        <v>1</v>
      </c>
      <c r="AA14" s="2">
        <f t="shared" si="6"/>
        <v>690.1</v>
      </c>
      <c r="AB14" s="5"/>
    </row>
    <row r="15" ht="14.25" customHeight="1">
      <c r="A15" s="5" t="s">
        <v>120</v>
      </c>
      <c r="B15" s="5" t="s">
        <v>121</v>
      </c>
      <c r="C15" s="5" t="s">
        <v>109</v>
      </c>
      <c r="D15" s="5" t="s">
        <v>29</v>
      </c>
      <c r="E15" s="6">
        <v>200.0</v>
      </c>
      <c r="F15" s="5" t="s">
        <v>30</v>
      </c>
      <c r="G15" s="6">
        <v>695.0</v>
      </c>
      <c r="H15" s="5"/>
      <c r="I15" s="6">
        <v>699.2</v>
      </c>
      <c r="J15" s="5"/>
      <c r="K15" s="6">
        <v>0.0</v>
      </c>
      <c r="L15" s="6">
        <v>0.0</v>
      </c>
      <c r="M15" s="5" t="s">
        <v>44</v>
      </c>
      <c r="N15" s="6">
        <v>0.9986</v>
      </c>
      <c r="O15" s="6">
        <v>0.0</v>
      </c>
      <c r="P15" s="6">
        <v>8.3096</v>
      </c>
      <c r="Q15" s="6">
        <v>0.0</v>
      </c>
      <c r="R15" s="6">
        <v>0.1691</v>
      </c>
      <c r="S15" s="6">
        <v>899.23999</v>
      </c>
      <c r="T15" s="6">
        <v>53.0</v>
      </c>
      <c r="U15" s="5"/>
      <c r="V15" s="2">
        <f t="shared" si="2"/>
        <v>699.2694323</v>
      </c>
      <c r="W15" s="2">
        <f t="shared" si="3"/>
        <v>19.3840673</v>
      </c>
      <c r="X15" s="2">
        <f t="shared" si="4"/>
        <v>19.3065174</v>
      </c>
      <c r="Y15" s="2">
        <f t="shared" ref="Y15:Z15" si="18">_xlfn.NORM.S.DIST(W15)</f>
        <v>1</v>
      </c>
      <c r="Z15" s="2">
        <f t="shared" si="18"/>
        <v>1</v>
      </c>
      <c r="AA15" s="2">
        <f t="shared" si="6"/>
        <v>697.1</v>
      </c>
      <c r="AB15" s="5"/>
    </row>
    <row r="16" ht="14.25" customHeight="1">
      <c r="A16" s="5" t="s">
        <v>120</v>
      </c>
      <c r="B16" s="5" t="s">
        <v>121</v>
      </c>
      <c r="C16" s="5" t="s">
        <v>109</v>
      </c>
      <c r="D16" s="5" t="s">
        <v>29</v>
      </c>
      <c r="E16" s="6">
        <v>200.0</v>
      </c>
      <c r="F16" s="5" t="s">
        <v>30</v>
      </c>
      <c r="G16" s="6">
        <v>692.7</v>
      </c>
      <c r="H16" s="5"/>
      <c r="I16" s="6">
        <v>696.9</v>
      </c>
      <c r="J16" s="5"/>
      <c r="K16" s="6">
        <v>0.0</v>
      </c>
      <c r="L16" s="6">
        <v>0.0</v>
      </c>
      <c r="M16" s="5" t="s">
        <v>45</v>
      </c>
      <c r="N16" s="6">
        <v>0.9972</v>
      </c>
      <c r="O16" s="6">
        <v>0.0</v>
      </c>
      <c r="P16" s="6">
        <v>17.1498</v>
      </c>
      <c r="Q16" s="6">
        <v>0.0</v>
      </c>
      <c r="R16" s="6">
        <v>0.2226</v>
      </c>
      <c r="S16" s="6">
        <v>896.700012</v>
      </c>
      <c r="T16" s="6">
        <v>52.0</v>
      </c>
      <c r="U16" s="5"/>
      <c r="V16" s="2">
        <f t="shared" si="2"/>
        <v>696.7288988</v>
      </c>
      <c r="W16" s="2">
        <f t="shared" si="3"/>
        <v>14.83821478</v>
      </c>
      <c r="X16" s="2">
        <f t="shared" si="4"/>
        <v>14.73709723</v>
      </c>
      <c r="Y16" s="2">
        <f t="shared" ref="Y16:Z16" si="19">_xlfn.NORM.S.DIST(W16)</f>
        <v>1</v>
      </c>
      <c r="Z16" s="2">
        <f t="shared" si="19"/>
        <v>1</v>
      </c>
      <c r="AA16" s="2">
        <f t="shared" si="6"/>
        <v>694.8</v>
      </c>
      <c r="AB16" s="5"/>
    </row>
    <row r="17" ht="14.25" customHeight="1">
      <c r="A17" s="5" t="s">
        <v>120</v>
      </c>
      <c r="B17" s="5" t="s">
        <v>121</v>
      </c>
      <c r="C17" s="5" t="s">
        <v>109</v>
      </c>
      <c r="D17" s="5" t="s">
        <v>29</v>
      </c>
      <c r="E17" s="6">
        <v>200.0</v>
      </c>
      <c r="F17" s="5" t="s">
        <v>30</v>
      </c>
      <c r="G17" s="6">
        <v>695.5</v>
      </c>
      <c r="H17" s="5"/>
      <c r="I17" s="6">
        <v>699.7</v>
      </c>
      <c r="J17" s="5"/>
      <c r="K17" s="6">
        <v>0.0</v>
      </c>
      <c r="L17" s="6">
        <v>0.0</v>
      </c>
      <c r="M17" s="5" t="s">
        <v>46</v>
      </c>
      <c r="N17" s="6">
        <v>0.9972</v>
      </c>
      <c r="O17" s="6">
        <v>0.0</v>
      </c>
      <c r="P17" s="6">
        <v>17.7227</v>
      </c>
      <c r="Q17" s="6">
        <v>0.0</v>
      </c>
      <c r="R17" s="6">
        <v>0.19</v>
      </c>
      <c r="S17" s="6">
        <v>900.190002</v>
      </c>
      <c r="T17" s="6">
        <v>51.0</v>
      </c>
      <c r="U17" s="5"/>
      <c r="V17" s="2">
        <f t="shared" si="2"/>
        <v>700.2183333</v>
      </c>
      <c r="W17" s="2">
        <f t="shared" si="3"/>
        <v>17.59919135</v>
      </c>
      <c r="X17" s="2">
        <f t="shared" si="4"/>
        <v>17.51371649</v>
      </c>
      <c r="Y17" s="2">
        <f t="shared" ref="Y17:Z17" si="20">_xlfn.NORM.S.DIST(W17)</f>
        <v>1</v>
      </c>
      <c r="Z17" s="2">
        <f t="shared" si="20"/>
        <v>1</v>
      </c>
      <c r="AA17" s="2">
        <f t="shared" si="6"/>
        <v>697.6</v>
      </c>
      <c r="AB17" s="5"/>
    </row>
    <row r="18" ht="14.25" customHeight="1">
      <c r="A18" s="5" t="s">
        <v>120</v>
      </c>
      <c r="B18" s="5" t="s">
        <v>121</v>
      </c>
      <c r="C18" s="5" t="s">
        <v>109</v>
      </c>
      <c r="D18" s="5" t="s">
        <v>29</v>
      </c>
      <c r="E18" s="6">
        <v>200.0</v>
      </c>
      <c r="F18" s="5" t="s">
        <v>30</v>
      </c>
      <c r="G18" s="6">
        <v>701.7</v>
      </c>
      <c r="H18" s="5"/>
      <c r="I18" s="6">
        <v>705.8</v>
      </c>
      <c r="J18" s="5"/>
      <c r="K18" s="6">
        <v>0.0</v>
      </c>
      <c r="L18" s="6">
        <v>0.0</v>
      </c>
      <c r="M18" s="5" t="s">
        <v>47</v>
      </c>
      <c r="N18" s="6">
        <v>0.9986</v>
      </c>
      <c r="O18" s="6">
        <v>0.0</v>
      </c>
      <c r="P18" s="6">
        <v>8.6233</v>
      </c>
      <c r="Q18" s="6">
        <v>0.0</v>
      </c>
      <c r="R18" s="6">
        <v>0.1899</v>
      </c>
      <c r="S18" s="6">
        <v>905.23999</v>
      </c>
      <c r="T18" s="6">
        <v>50.0</v>
      </c>
      <c r="U18" s="5"/>
      <c r="V18" s="2">
        <f t="shared" si="2"/>
        <v>705.2677658</v>
      </c>
      <c r="W18" s="2">
        <f t="shared" si="3"/>
        <v>17.84980679</v>
      </c>
      <c r="X18" s="2">
        <f t="shared" si="4"/>
        <v>17.76521861</v>
      </c>
      <c r="Y18" s="2">
        <f t="shared" ref="Y18:Z18" si="21">_xlfn.NORM.S.DIST(W18)</f>
        <v>1</v>
      </c>
      <c r="Z18" s="2">
        <f t="shared" si="21"/>
        <v>1</v>
      </c>
      <c r="AA18" s="2">
        <f t="shared" si="6"/>
        <v>703.75</v>
      </c>
      <c r="AB18" s="5"/>
    </row>
    <row r="19" ht="14.25" customHeight="1">
      <c r="A19" s="5" t="s">
        <v>120</v>
      </c>
      <c r="B19" s="5" t="s">
        <v>121</v>
      </c>
      <c r="C19" s="5" t="s">
        <v>109</v>
      </c>
      <c r="D19" s="5" t="s">
        <v>29</v>
      </c>
      <c r="E19" s="6">
        <v>200.0</v>
      </c>
      <c r="F19" s="5" t="s">
        <v>30</v>
      </c>
      <c r="G19" s="6">
        <v>703.0</v>
      </c>
      <c r="H19" s="5"/>
      <c r="I19" s="6">
        <v>707.1</v>
      </c>
      <c r="J19" s="5"/>
      <c r="K19" s="6">
        <v>0.0</v>
      </c>
      <c r="L19" s="6">
        <v>0.0</v>
      </c>
      <c r="M19" s="5" t="s">
        <v>48</v>
      </c>
      <c r="N19" s="6">
        <v>0.9974</v>
      </c>
      <c r="O19" s="6">
        <v>0.0</v>
      </c>
      <c r="P19" s="6">
        <v>17.598</v>
      </c>
      <c r="Q19" s="6">
        <v>0.0</v>
      </c>
      <c r="R19" s="6">
        <v>0.2416</v>
      </c>
      <c r="S19" s="6">
        <v>906.710022</v>
      </c>
      <c r="T19" s="6">
        <v>47.0</v>
      </c>
      <c r="U19" s="5"/>
      <c r="V19" s="2">
        <f t="shared" si="2"/>
        <v>706.7361314</v>
      </c>
      <c r="W19" s="2">
        <f t="shared" si="3"/>
        <v>14.48652072</v>
      </c>
      <c r="X19" s="2">
        <f t="shared" si="4"/>
        <v>14.38218198</v>
      </c>
      <c r="Y19" s="2">
        <f t="shared" ref="Y19:Z19" si="22">_xlfn.NORM.S.DIST(W19)</f>
        <v>1</v>
      </c>
      <c r="Z19" s="2">
        <f t="shared" si="22"/>
        <v>1</v>
      </c>
      <c r="AA19" s="2">
        <f t="shared" si="6"/>
        <v>705.05</v>
      </c>
      <c r="AB19" s="5"/>
    </row>
    <row r="20" ht="14.25" customHeight="1">
      <c r="A20" s="5" t="s">
        <v>120</v>
      </c>
      <c r="B20" s="5" t="s">
        <v>121</v>
      </c>
      <c r="C20" s="5" t="s">
        <v>109</v>
      </c>
      <c r="D20" s="5" t="s">
        <v>29</v>
      </c>
      <c r="E20" s="6">
        <v>200.0</v>
      </c>
      <c r="F20" s="5" t="s">
        <v>30</v>
      </c>
      <c r="G20" s="6">
        <v>703.1</v>
      </c>
      <c r="H20" s="5"/>
      <c r="I20" s="6">
        <v>707.3</v>
      </c>
      <c r="J20" s="5"/>
      <c r="K20" s="6">
        <v>0.0</v>
      </c>
      <c r="L20" s="6">
        <v>0.0</v>
      </c>
      <c r="M20" s="5" t="s">
        <v>49</v>
      </c>
      <c r="N20" s="6">
        <v>0.9975</v>
      </c>
      <c r="O20" s="6">
        <v>0.0</v>
      </c>
      <c r="P20" s="6">
        <v>17.5553</v>
      </c>
      <c r="Q20" s="6">
        <v>0.0</v>
      </c>
      <c r="R20" s="6">
        <v>0.2144</v>
      </c>
      <c r="S20" s="6">
        <v>907.309998</v>
      </c>
      <c r="T20" s="6">
        <v>46.0</v>
      </c>
      <c r="U20" s="5"/>
      <c r="V20" s="2">
        <f t="shared" si="2"/>
        <v>707.3355519</v>
      </c>
      <c r="W20" s="2">
        <f t="shared" si="3"/>
        <v>16.50806898</v>
      </c>
      <c r="X20" s="2">
        <f t="shared" si="4"/>
        <v>16.4164673</v>
      </c>
      <c r="Y20" s="2">
        <f t="shared" ref="Y20:Z20" si="23">_xlfn.NORM.S.DIST(W20)</f>
        <v>1</v>
      </c>
      <c r="Z20" s="2">
        <f t="shared" si="23"/>
        <v>1</v>
      </c>
      <c r="AA20" s="2">
        <f t="shared" si="6"/>
        <v>705.2</v>
      </c>
      <c r="AB20" s="5"/>
    </row>
    <row r="21" ht="14.25" customHeight="1">
      <c r="A21" s="5" t="s">
        <v>120</v>
      </c>
      <c r="B21" s="5" t="s">
        <v>121</v>
      </c>
      <c r="C21" s="5" t="s">
        <v>109</v>
      </c>
      <c r="D21" s="5" t="s">
        <v>29</v>
      </c>
      <c r="E21" s="6">
        <v>200.0</v>
      </c>
      <c r="F21" s="5" t="s">
        <v>30</v>
      </c>
      <c r="G21" s="6">
        <v>692.1</v>
      </c>
      <c r="H21" s="5"/>
      <c r="I21" s="6">
        <v>696.3</v>
      </c>
      <c r="J21" s="5"/>
      <c r="K21" s="6">
        <v>0.0</v>
      </c>
      <c r="L21" s="6">
        <v>0.0</v>
      </c>
      <c r="M21" s="5" t="s">
        <v>50</v>
      </c>
      <c r="N21" s="6">
        <v>0.9976</v>
      </c>
      <c r="O21" s="6">
        <v>0.0</v>
      </c>
      <c r="P21" s="6">
        <v>16.8578</v>
      </c>
      <c r="Q21" s="6">
        <v>0.0</v>
      </c>
      <c r="R21" s="6">
        <v>0.1971</v>
      </c>
      <c r="S21" s="6">
        <v>896.909973</v>
      </c>
      <c r="T21" s="6">
        <v>45.0</v>
      </c>
      <c r="U21" s="5"/>
      <c r="V21" s="2">
        <f t="shared" si="2"/>
        <v>696.9349714</v>
      </c>
      <c r="W21" s="2">
        <f t="shared" si="3"/>
        <v>18.01703679</v>
      </c>
      <c r="X21" s="2">
        <f t="shared" si="4"/>
        <v>17.93374684</v>
      </c>
      <c r="Y21" s="2">
        <f t="shared" ref="Y21:Z21" si="24">_xlfn.NORM.S.DIST(W21)</f>
        <v>1</v>
      </c>
      <c r="Z21" s="2">
        <f t="shared" si="24"/>
        <v>1</v>
      </c>
      <c r="AA21" s="2">
        <f t="shared" si="6"/>
        <v>694.2</v>
      </c>
      <c r="AB21" s="5"/>
    </row>
    <row r="22" ht="14.25" customHeight="1">
      <c r="A22" s="5" t="s">
        <v>120</v>
      </c>
      <c r="B22" s="5" t="s">
        <v>121</v>
      </c>
      <c r="C22" s="5" t="s">
        <v>109</v>
      </c>
      <c r="D22" s="5" t="s">
        <v>29</v>
      </c>
      <c r="E22" s="6">
        <v>200.0</v>
      </c>
      <c r="F22" s="5" t="s">
        <v>30</v>
      </c>
      <c r="G22" s="6">
        <v>697.0</v>
      </c>
      <c r="H22" s="5"/>
      <c r="I22" s="6">
        <v>705.7</v>
      </c>
      <c r="J22" s="5"/>
      <c r="K22" s="6">
        <v>0.0</v>
      </c>
      <c r="L22" s="6">
        <v>0.0</v>
      </c>
      <c r="M22" s="5" t="s">
        <v>51</v>
      </c>
      <c r="N22" s="6">
        <v>0.9977</v>
      </c>
      <c r="O22" s="6">
        <v>0.0</v>
      </c>
      <c r="P22" s="6">
        <v>16.9595</v>
      </c>
      <c r="Q22" s="6">
        <v>0.0</v>
      </c>
      <c r="R22" s="6">
        <v>0.2302</v>
      </c>
      <c r="S22" s="6">
        <v>902.090027</v>
      </c>
      <c r="T22" s="6">
        <v>44.0</v>
      </c>
      <c r="U22" s="5"/>
      <c r="V22" s="2">
        <f t="shared" si="2"/>
        <v>702.11447</v>
      </c>
      <c r="W22" s="2">
        <f t="shared" si="3"/>
        <v>15.66058722</v>
      </c>
      <c r="X22" s="2">
        <f t="shared" si="4"/>
        <v>15.56439689</v>
      </c>
      <c r="Y22" s="2">
        <f t="shared" ref="Y22:Z22" si="25">_xlfn.NORM.S.DIST(W22)</f>
        <v>1</v>
      </c>
      <c r="Z22" s="2">
        <f t="shared" si="25"/>
        <v>1</v>
      </c>
      <c r="AA22" s="2">
        <f t="shared" si="6"/>
        <v>701.35</v>
      </c>
      <c r="AB22" s="5"/>
    </row>
    <row r="23" ht="14.25" customHeight="1">
      <c r="A23" s="5" t="s">
        <v>120</v>
      </c>
      <c r="B23" s="5" t="s">
        <v>121</v>
      </c>
      <c r="C23" s="5" t="s">
        <v>110</v>
      </c>
      <c r="D23" s="5" t="s">
        <v>29</v>
      </c>
      <c r="E23" s="6">
        <v>200.0</v>
      </c>
      <c r="F23" s="5" t="s">
        <v>30</v>
      </c>
      <c r="G23" s="6">
        <v>0.0</v>
      </c>
      <c r="H23" s="5"/>
      <c r="I23" s="6">
        <v>0.0</v>
      </c>
      <c r="J23" s="5"/>
      <c r="K23" s="6">
        <v>0.0</v>
      </c>
      <c r="L23" s="6">
        <v>0.0</v>
      </c>
      <c r="M23" s="5" t="s">
        <v>53</v>
      </c>
      <c r="N23" s="6">
        <v>0.9978</v>
      </c>
      <c r="O23" s="6">
        <v>0.0</v>
      </c>
      <c r="P23" s="6">
        <v>16.6642</v>
      </c>
      <c r="Q23" s="6">
        <v>0.0</v>
      </c>
      <c r="R23" s="6">
        <v>0.171</v>
      </c>
      <c r="S23" s="6">
        <v>911.200012</v>
      </c>
      <c r="T23" s="6">
        <v>43.0</v>
      </c>
      <c r="U23" s="5"/>
      <c r="V23" s="2">
        <f t="shared" si="2"/>
        <v>711.2238995</v>
      </c>
      <c r="W23" s="2">
        <f t="shared" si="3"/>
        <v>21.46824844</v>
      </c>
      <c r="X23" s="2">
        <f t="shared" si="4"/>
        <v>21.3976118</v>
      </c>
      <c r="Y23" s="2">
        <f t="shared" ref="Y23:Z23" si="26">_xlfn.NORM.S.DIST(W23)</f>
        <v>1</v>
      </c>
      <c r="Z23" s="2">
        <f t="shared" si="26"/>
        <v>1</v>
      </c>
      <c r="AA23" s="2">
        <f t="shared" si="6"/>
        <v>0</v>
      </c>
      <c r="AB23" s="5"/>
    </row>
    <row r="24" ht="14.25" customHeight="1">
      <c r="A24" s="5" t="s">
        <v>120</v>
      </c>
      <c r="B24" s="5" t="s">
        <v>121</v>
      </c>
      <c r="C24" s="5" t="s">
        <v>110</v>
      </c>
      <c r="D24" s="5" t="s">
        <v>29</v>
      </c>
      <c r="E24" s="6">
        <v>200.0</v>
      </c>
      <c r="F24" s="5" t="s">
        <v>30</v>
      </c>
      <c r="G24" s="6">
        <v>695.8</v>
      </c>
      <c r="H24" s="5"/>
      <c r="I24" s="6">
        <v>699.7</v>
      </c>
      <c r="J24" s="5"/>
      <c r="K24" s="6">
        <v>0.0</v>
      </c>
      <c r="L24" s="6">
        <v>0.0</v>
      </c>
      <c r="M24" s="5" t="s">
        <v>54</v>
      </c>
      <c r="N24" s="6">
        <v>0.998</v>
      </c>
      <c r="O24" s="6">
        <v>0.0</v>
      </c>
      <c r="P24" s="6">
        <v>16.1243</v>
      </c>
      <c r="Q24" s="6">
        <v>0.0</v>
      </c>
      <c r="R24" s="6">
        <v>0.232</v>
      </c>
      <c r="S24" s="6">
        <v>899.280029</v>
      </c>
      <c r="T24" s="6">
        <v>40.0</v>
      </c>
      <c r="U24" s="5"/>
      <c r="V24" s="2">
        <f t="shared" si="2"/>
        <v>699.30225</v>
      </c>
      <c r="W24" s="2">
        <f t="shared" si="3"/>
        <v>16.26377413</v>
      </c>
      <c r="X24" s="2">
        <f t="shared" si="4"/>
        <v>16.17134311</v>
      </c>
      <c r="Y24" s="2">
        <f t="shared" ref="Y24:Z24" si="27">_xlfn.NORM.S.DIST(W24)</f>
        <v>1</v>
      </c>
      <c r="Z24" s="2">
        <f t="shared" si="27"/>
        <v>1</v>
      </c>
      <c r="AA24" s="2">
        <f t="shared" si="6"/>
        <v>697.75</v>
      </c>
      <c r="AB24" s="5"/>
    </row>
    <row r="25" ht="14.25" customHeight="1">
      <c r="A25" s="5" t="s">
        <v>120</v>
      </c>
      <c r="B25" s="5" t="s">
        <v>121</v>
      </c>
      <c r="C25" s="5" t="s">
        <v>110</v>
      </c>
      <c r="D25" s="5" t="s">
        <v>29</v>
      </c>
      <c r="E25" s="6">
        <v>200.0</v>
      </c>
      <c r="F25" s="5" t="s">
        <v>30</v>
      </c>
      <c r="G25" s="6">
        <v>0.0</v>
      </c>
      <c r="H25" s="5"/>
      <c r="I25" s="6">
        <v>0.0</v>
      </c>
      <c r="J25" s="5"/>
      <c r="K25" s="6">
        <v>0.0</v>
      </c>
      <c r="L25" s="6">
        <v>0.0</v>
      </c>
      <c r="M25" s="5" t="s">
        <v>55</v>
      </c>
      <c r="N25" s="6">
        <v>0.998</v>
      </c>
      <c r="O25" s="6">
        <v>0.0</v>
      </c>
      <c r="P25" s="6">
        <v>16.2673</v>
      </c>
      <c r="Q25" s="6">
        <v>0.0</v>
      </c>
      <c r="R25" s="6">
        <v>0.1663</v>
      </c>
      <c r="S25" s="6">
        <v>908.219971</v>
      </c>
      <c r="T25" s="6">
        <v>39.0</v>
      </c>
      <c r="U25" s="5"/>
      <c r="V25" s="2">
        <f t="shared" si="2"/>
        <v>708.2416365</v>
      </c>
      <c r="W25" s="2">
        <f t="shared" si="3"/>
        <v>23.12933905</v>
      </c>
      <c r="X25" s="2">
        <f t="shared" si="4"/>
        <v>23.06391698</v>
      </c>
      <c r="Y25" s="2">
        <f t="shared" ref="Y25:Z25" si="28">_xlfn.NORM.S.DIST(W25)</f>
        <v>1</v>
      </c>
      <c r="Z25" s="2">
        <f t="shared" si="28"/>
        <v>1</v>
      </c>
      <c r="AA25" s="2">
        <f t="shared" si="6"/>
        <v>0</v>
      </c>
      <c r="AB25" s="5"/>
    </row>
    <row r="26" ht="14.25" customHeight="1">
      <c r="A26" s="5" t="s">
        <v>120</v>
      </c>
      <c r="B26" s="5" t="s">
        <v>121</v>
      </c>
      <c r="C26" s="5" t="s">
        <v>110</v>
      </c>
      <c r="D26" s="5" t="s">
        <v>29</v>
      </c>
      <c r="E26" s="6">
        <v>200.0</v>
      </c>
      <c r="F26" s="5" t="s">
        <v>30</v>
      </c>
      <c r="G26" s="6">
        <v>707.2</v>
      </c>
      <c r="H26" s="5"/>
      <c r="I26" s="6">
        <v>711.2</v>
      </c>
      <c r="J26" s="5"/>
      <c r="K26" s="6">
        <v>0.0</v>
      </c>
      <c r="L26" s="6">
        <v>0.0</v>
      </c>
      <c r="M26" s="5" t="s">
        <v>56</v>
      </c>
      <c r="N26" s="6">
        <v>0.9981</v>
      </c>
      <c r="O26" s="6">
        <v>0.0</v>
      </c>
      <c r="P26" s="6">
        <v>16.2711</v>
      </c>
      <c r="Q26" s="6">
        <v>0.0</v>
      </c>
      <c r="R26" s="6">
        <v>0.2147</v>
      </c>
      <c r="S26" s="6">
        <v>911.289978</v>
      </c>
      <c r="T26" s="6">
        <v>38.0</v>
      </c>
      <c r="U26" s="5"/>
      <c r="V26" s="2">
        <f t="shared" si="2"/>
        <v>711.311088</v>
      </c>
      <c r="W26" s="2">
        <f t="shared" si="3"/>
        <v>18.18994483</v>
      </c>
      <c r="X26" s="2">
        <f t="shared" si="4"/>
        <v>18.10657219</v>
      </c>
      <c r="Y26" s="2">
        <f t="shared" ref="Y26:Z26" si="29">_xlfn.NORM.S.DIST(W26)</f>
        <v>1</v>
      </c>
      <c r="Z26" s="2">
        <f t="shared" si="29"/>
        <v>1</v>
      </c>
      <c r="AA26" s="2">
        <f t="shared" si="6"/>
        <v>709.2</v>
      </c>
      <c r="AB26" s="5"/>
    </row>
    <row r="27" ht="14.25" customHeight="1">
      <c r="A27" s="5" t="s">
        <v>120</v>
      </c>
      <c r="B27" s="5" t="s">
        <v>121</v>
      </c>
      <c r="C27" s="5" t="s">
        <v>110</v>
      </c>
      <c r="D27" s="5" t="s">
        <v>29</v>
      </c>
      <c r="E27" s="6">
        <v>200.0</v>
      </c>
      <c r="F27" s="5" t="s">
        <v>30</v>
      </c>
      <c r="G27" s="6">
        <v>704.1</v>
      </c>
      <c r="H27" s="5"/>
      <c r="I27" s="6">
        <v>708.0</v>
      </c>
      <c r="J27" s="5"/>
      <c r="K27" s="6">
        <v>0.0</v>
      </c>
      <c r="L27" s="6">
        <v>0.0</v>
      </c>
      <c r="M27" s="5" t="s">
        <v>57</v>
      </c>
      <c r="N27" s="6">
        <v>0.9982</v>
      </c>
      <c r="O27" s="6">
        <v>0.0</v>
      </c>
      <c r="P27" s="6">
        <v>16.213</v>
      </c>
      <c r="Q27" s="6">
        <v>0.0</v>
      </c>
      <c r="R27" s="6">
        <v>0.1823</v>
      </c>
      <c r="S27" s="6">
        <v>908.099976</v>
      </c>
      <c r="T27" s="6">
        <v>37.0</v>
      </c>
      <c r="U27" s="5"/>
      <c r="V27" s="2">
        <f t="shared" si="2"/>
        <v>708.1205305</v>
      </c>
      <c r="W27" s="2">
        <f t="shared" si="3"/>
        <v>21.66019291</v>
      </c>
      <c r="X27" s="2">
        <f t="shared" si="4"/>
        <v>21.59033956</v>
      </c>
      <c r="Y27" s="2">
        <f t="shared" ref="Y27:Z27" si="30">_xlfn.NORM.S.DIST(W27)</f>
        <v>1</v>
      </c>
      <c r="Z27" s="2">
        <f t="shared" si="30"/>
        <v>1</v>
      </c>
      <c r="AA27" s="2">
        <f t="shared" si="6"/>
        <v>706.05</v>
      </c>
      <c r="AB27" s="5"/>
    </row>
    <row r="28" ht="14.25" customHeight="1">
      <c r="A28" s="5" t="s">
        <v>120</v>
      </c>
      <c r="B28" s="5" t="s">
        <v>121</v>
      </c>
      <c r="C28" s="5" t="s">
        <v>110</v>
      </c>
      <c r="D28" s="5" t="s">
        <v>29</v>
      </c>
      <c r="E28" s="6">
        <v>200.0</v>
      </c>
      <c r="F28" s="5" t="s">
        <v>30</v>
      </c>
      <c r="G28" s="6">
        <v>710.1</v>
      </c>
      <c r="H28" s="5"/>
      <c r="I28" s="6">
        <v>714.1</v>
      </c>
      <c r="J28" s="5"/>
      <c r="K28" s="6">
        <v>0.0</v>
      </c>
      <c r="L28" s="6">
        <v>0.0</v>
      </c>
      <c r="M28" s="5" t="s">
        <v>58</v>
      </c>
      <c r="N28" s="6">
        <v>0.9982</v>
      </c>
      <c r="O28" s="6">
        <v>0.0</v>
      </c>
      <c r="P28" s="6">
        <v>16.2627</v>
      </c>
      <c r="Q28" s="6">
        <v>0.0</v>
      </c>
      <c r="R28" s="6">
        <v>0.203</v>
      </c>
      <c r="S28" s="6">
        <v>913.669983</v>
      </c>
      <c r="T28" s="6">
        <v>36.0</v>
      </c>
      <c r="U28" s="5"/>
      <c r="V28" s="2">
        <f t="shared" si="2"/>
        <v>713.689982</v>
      </c>
      <c r="W28" s="2">
        <f t="shared" si="3"/>
        <v>19.79950041</v>
      </c>
      <c r="X28" s="2">
        <f t="shared" si="4"/>
        <v>19.72277362</v>
      </c>
      <c r="Y28" s="2">
        <f t="shared" ref="Y28:Z28" si="31">_xlfn.NORM.S.DIST(W28)</f>
        <v>1</v>
      </c>
      <c r="Z28" s="2">
        <f t="shared" si="31"/>
        <v>1</v>
      </c>
      <c r="AA28" s="2">
        <f t="shared" si="6"/>
        <v>712.1</v>
      </c>
      <c r="AB28" s="5"/>
    </row>
    <row r="29" ht="14.25" customHeight="1">
      <c r="A29" s="5" t="s">
        <v>120</v>
      </c>
      <c r="B29" s="5" t="s">
        <v>121</v>
      </c>
      <c r="C29" s="5" t="s">
        <v>110</v>
      </c>
      <c r="D29" s="5" t="s">
        <v>29</v>
      </c>
      <c r="E29" s="6">
        <v>200.0</v>
      </c>
      <c r="F29" s="5" t="s">
        <v>30</v>
      </c>
      <c r="G29" s="6">
        <v>710.1</v>
      </c>
      <c r="H29" s="5"/>
      <c r="I29" s="6">
        <v>714.0</v>
      </c>
      <c r="J29" s="5"/>
      <c r="K29" s="6">
        <v>0.0</v>
      </c>
      <c r="L29" s="6">
        <v>0.0</v>
      </c>
      <c r="M29" s="5" t="s">
        <v>59</v>
      </c>
      <c r="N29" s="6">
        <v>0.9984</v>
      </c>
      <c r="O29" s="6">
        <v>0.0</v>
      </c>
      <c r="P29" s="6">
        <v>16.1378</v>
      </c>
      <c r="Q29" s="6">
        <v>0.0</v>
      </c>
      <c r="R29" s="6">
        <v>0.2378</v>
      </c>
      <c r="S29" s="6">
        <v>913.030029</v>
      </c>
      <c r="T29" s="6">
        <v>33.0</v>
      </c>
      <c r="U29" s="5"/>
      <c r="V29" s="2">
        <f t="shared" si="2"/>
        <v>713.0483615</v>
      </c>
      <c r="W29" s="2">
        <f t="shared" si="3"/>
        <v>17.64543412</v>
      </c>
      <c r="X29" s="2">
        <f t="shared" si="4"/>
        <v>17.55938062</v>
      </c>
      <c r="Y29" s="2">
        <f t="shared" ref="Y29:Z29" si="32">_xlfn.NORM.S.DIST(W29)</f>
        <v>1</v>
      </c>
      <c r="Z29" s="2">
        <f t="shared" si="32"/>
        <v>1</v>
      </c>
      <c r="AA29" s="2">
        <f t="shared" si="6"/>
        <v>712.05</v>
      </c>
      <c r="AB29" s="5"/>
    </row>
    <row r="30" ht="14.25" customHeight="1">
      <c r="A30" s="5" t="s">
        <v>120</v>
      </c>
      <c r="B30" s="5" t="s">
        <v>121</v>
      </c>
      <c r="C30" s="5" t="s">
        <v>110</v>
      </c>
      <c r="D30" s="5" t="s">
        <v>29</v>
      </c>
      <c r="E30" s="6">
        <v>200.0</v>
      </c>
      <c r="F30" s="5" t="s">
        <v>30</v>
      </c>
      <c r="G30" s="6">
        <v>713.9</v>
      </c>
      <c r="H30" s="5"/>
      <c r="I30" s="6">
        <v>717.8</v>
      </c>
      <c r="J30" s="5"/>
      <c r="K30" s="6">
        <v>0.0</v>
      </c>
      <c r="L30" s="6">
        <v>0.0</v>
      </c>
      <c r="M30" s="5" t="s">
        <v>60</v>
      </c>
      <c r="N30" s="6">
        <v>0.9984</v>
      </c>
      <c r="O30" s="6">
        <v>0.0</v>
      </c>
      <c r="P30" s="6">
        <v>16.3371</v>
      </c>
      <c r="Q30" s="6">
        <v>0.0</v>
      </c>
      <c r="R30" s="6">
        <v>0.1966</v>
      </c>
      <c r="S30" s="6">
        <v>917.52002</v>
      </c>
      <c r="T30" s="6">
        <v>32.0</v>
      </c>
      <c r="U30" s="5"/>
      <c r="V30" s="2">
        <f t="shared" si="2"/>
        <v>717.537797</v>
      </c>
      <c r="W30" s="2">
        <f t="shared" si="3"/>
        <v>21.74420179</v>
      </c>
      <c r="X30" s="2">
        <f t="shared" si="4"/>
        <v>21.67414371</v>
      </c>
      <c r="Y30" s="2">
        <f t="shared" ref="Y30:Z30" si="33">_xlfn.NORM.S.DIST(W30)</f>
        <v>1</v>
      </c>
      <c r="Z30" s="2">
        <f t="shared" si="33"/>
        <v>1</v>
      </c>
      <c r="AA30" s="2">
        <f t="shared" si="6"/>
        <v>715.85</v>
      </c>
      <c r="AB30" s="5"/>
    </row>
    <row r="31" ht="14.25" customHeight="1">
      <c r="A31" s="5" t="s">
        <v>120</v>
      </c>
      <c r="B31" s="5" t="s">
        <v>121</v>
      </c>
      <c r="C31" s="5" t="s">
        <v>110</v>
      </c>
      <c r="D31" s="5" t="s">
        <v>29</v>
      </c>
      <c r="E31" s="6">
        <v>200.0</v>
      </c>
      <c r="F31" s="5" t="s">
        <v>30</v>
      </c>
      <c r="G31" s="6">
        <v>717.7</v>
      </c>
      <c r="H31" s="5"/>
      <c r="I31" s="6">
        <v>721.6</v>
      </c>
      <c r="J31" s="5"/>
      <c r="K31" s="6">
        <v>0.0</v>
      </c>
      <c r="L31" s="6">
        <v>0.0</v>
      </c>
      <c r="M31" s="5" t="s">
        <v>61</v>
      </c>
      <c r="N31" s="6">
        <v>0.9992</v>
      </c>
      <c r="O31" s="6">
        <v>0.0</v>
      </c>
      <c r="P31" s="6">
        <v>8.8206</v>
      </c>
      <c r="Q31" s="6">
        <v>0.0</v>
      </c>
      <c r="R31" s="6">
        <v>0.1679</v>
      </c>
      <c r="S31" s="6">
        <v>920.580017</v>
      </c>
      <c r="T31" s="6">
        <v>31.0</v>
      </c>
      <c r="U31" s="5"/>
      <c r="V31" s="2">
        <f t="shared" si="2"/>
        <v>720.5972385</v>
      </c>
      <c r="W31" s="2">
        <f t="shared" si="3"/>
        <v>25.92499069</v>
      </c>
      <c r="X31" s="2">
        <f t="shared" si="4"/>
        <v>25.86610209</v>
      </c>
      <c r="Y31" s="2">
        <f t="shared" ref="Y31:Z31" si="34">_xlfn.NORM.S.DIST(W31)</f>
        <v>1</v>
      </c>
      <c r="Z31" s="2">
        <f t="shared" si="34"/>
        <v>1</v>
      </c>
      <c r="AA31" s="2">
        <f t="shared" si="6"/>
        <v>719.65</v>
      </c>
      <c r="AB31" s="5"/>
    </row>
    <row r="32" ht="14.25" customHeight="1">
      <c r="A32" s="5" t="s">
        <v>120</v>
      </c>
      <c r="B32" s="5" t="s">
        <v>121</v>
      </c>
      <c r="C32" s="5" t="s">
        <v>110</v>
      </c>
      <c r="D32" s="5" t="s">
        <v>29</v>
      </c>
      <c r="E32" s="6">
        <v>200.0</v>
      </c>
      <c r="F32" s="5" t="s">
        <v>30</v>
      </c>
      <c r="G32" s="6">
        <v>719.5</v>
      </c>
      <c r="H32" s="5"/>
      <c r="I32" s="6">
        <v>723.4</v>
      </c>
      <c r="J32" s="5"/>
      <c r="K32" s="6">
        <v>0.0</v>
      </c>
      <c r="L32" s="6">
        <v>0.0</v>
      </c>
      <c r="M32" s="5" t="s">
        <v>62</v>
      </c>
      <c r="N32" s="6">
        <v>0.9984</v>
      </c>
      <c r="O32" s="6">
        <v>0.0</v>
      </c>
      <c r="P32" s="6">
        <v>18.2072</v>
      </c>
      <c r="Q32" s="6">
        <v>0.0</v>
      </c>
      <c r="R32" s="6">
        <v>0.1153</v>
      </c>
      <c r="S32" s="6">
        <v>923.76001</v>
      </c>
      <c r="T32" s="6">
        <v>30.0</v>
      </c>
      <c r="U32" s="5"/>
      <c r="V32" s="2">
        <f t="shared" si="2"/>
        <v>723.776676</v>
      </c>
      <c r="W32" s="2">
        <f t="shared" si="3"/>
        <v>38.46272665</v>
      </c>
      <c r="X32" s="2">
        <f t="shared" si="4"/>
        <v>38.42294437</v>
      </c>
      <c r="Y32" s="2">
        <f t="shared" ref="Y32:Z32" si="35">_xlfn.NORM.S.DIST(W32)</f>
        <v>1</v>
      </c>
      <c r="Z32" s="2">
        <f t="shared" si="35"/>
        <v>1</v>
      </c>
      <c r="AA32" s="2">
        <f t="shared" si="6"/>
        <v>721.45</v>
      </c>
      <c r="AB32" s="5"/>
    </row>
    <row r="33" ht="14.25" customHeight="1">
      <c r="A33" s="5" t="s">
        <v>120</v>
      </c>
      <c r="B33" s="5" t="s">
        <v>121</v>
      </c>
      <c r="C33" s="5" t="s">
        <v>110</v>
      </c>
      <c r="D33" s="5" t="s">
        <v>29</v>
      </c>
      <c r="E33" s="6">
        <v>200.0</v>
      </c>
      <c r="F33" s="5" t="s">
        <v>30</v>
      </c>
      <c r="G33" s="6">
        <v>719.9</v>
      </c>
      <c r="H33" s="5"/>
      <c r="I33" s="6">
        <v>723.9</v>
      </c>
      <c r="J33" s="5"/>
      <c r="K33" s="6">
        <v>0.0</v>
      </c>
      <c r="L33" s="6">
        <v>0.0</v>
      </c>
      <c r="M33" s="5" t="s">
        <v>63</v>
      </c>
      <c r="N33" s="6">
        <v>0.9982</v>
      </c>
      <c r="O33" s="6">
        <v>0.0</v>
      </c>
      <c r="P33" s="6">
        <v>20.3873</v>
      </c>
      <c r="Q33" s="6">
        <v>0.0</v>
      </c>
      <c r="R33" s="6">
        <v>0.2147</v>
      </c>
      <c r="S33" s="6">
        <v>923.150024</v>
      </c>
      <c r="T33" s="6">
        <v>29.0</v>
      </c>
      <c r="U33" s="5"/>
      <c r="V33" s="2">
        <f t="shared" si="2"/>
        <v>723.1661345</v>
      </c>
      <c r="W33" s="2">
        <f t="shared" si="3"/>
        <v>20.99962008</v>
      </c>
      <c r="X33" s="2">
        <f t="shared" si="4"/>
        <v>20.92678665</v>
      </c>
      <c r="Y33" s="2">
        <f t="shared" ref="Y33:Z33" si="36">_xlfn.NORM.S.DIST(W33)</f>
        <v>1</v>
      </c>
      <c r="Z33" s="2">
        <f t="shared" si="36"/>
        <v>1</v>
      </c>
      <c r="AA33" s="2">
        <f t="shared" si="6"/>
        <v>721.9</v>
      </c>
      <c r="AB33" s="5"/>
    </row>
    <row r="34" ht="14.25" customHeight="1">
      <c r="A34" s="5" t="s">
        <v>120</v>
      </c>
      <c r="B34" s="5" t="s">
        <v>121</v>
      </c>
      <c r="C34" s="5" t="s">
        <v>110</v>
      </c>
      <c r="D34" s="5" t="s">
        <v>29</v>
      </c>
      <c r="E34" s="6">
        <v>200.0</v>
      </c>
      <c r="F34" s="5" t="s">
        <v>30</v>
      </c>
      <c r="G34" s="6">
        <v>729.1</v>
      </c>
      <c r="H34" s="5"/>
      <c r="I34" s="6">
        <v>733.0</v>
      </c>
      <c r="J34" s="5"/>
      <c r="K34" s="6">
        <v>0.0</v>
      </c>
      <c r="L34" s="6">
        <v>0.0</v>
      </c>
      <c r="M34" s="5" t="s">
        <v>64</v>
      </c>
      <c r="N34" s="6">
        <v>0.9982</v>
      </c>
      <c r="O34" s="6">
        <v>0.0</v>
      </c>
      <c r="P34" s="6">
        <v>24.0262</v>
      </c>
      <c r="Q34" s="6">
        <v>0.0</v>
      </c>
      <c r="R34" s="6">
        <v>0.1896</v>
      </c>
      <c r="S34" s="6">
        <v>932.0</v>
      </c>
      <c r="T34" s="6">
        <v>25.0</v>
      </c>
      <c r="U34" s="5"/>
      <c r="V34" s="2">
        <f t="shared" si="2"/>
        <v>732.0138884</v>
      </c>
      <c r="W34" s="2">
        <f t="shared" si="3"/>
        <v>25.77121607</v>
      </c>
      <c r="X34" s="2">
        <f t="shared" si="4"/>
        <v>25.71149769</v>
      </c>
      <c r="Y34" s="2">
        <f t="shared" ref="Y34:Z34" si="37">_xlfn.NORM.S.DIST(W34)</f>
        <v>1</v>
      </c>
      <c r="Z34" s="2">
        <f t="shared" si="37"/>
        <v>1</v>
      </c>
      <c r="AA34" s="2">
        <f t="shared" si="6"/>
        <v>731.05</v>
      </c>
      <c r="AB34" s="5"/>
    </row>
    <row r="35" ht="14.25" customHeight="1">
      <c r="A35" s="5" t="s">
        <v>120</v>
      </c>
      <c r="B35" s="5" t="s">
        <v>121</v>
      </c>
      <c r="C35" s="5" t="s">
        <v>110</v>
      </c>
      <c r="D35" s="5" t="s">
        <v>29</v>
      </c>
      <c r="E35" s="6">
        <v>200.0</v>
      </c>
      <c r="F35" s="5" t="s">
        <v>30</v>
      </c>
      <c r="G35" s="6">
        <v>710.4</v>
      </c>
      <c r="H35" s="5"/>
      <c r="I35" s="6">
        <v>714.3</v>
      </c>
      <c r="J35" s="5"/>
      <c r="K35" s="6">
        <v>0.0</v>
      </c>
      <c r="L35" s="6">
        <v>0.0</v>
      </c>
      <c r="M35" s="5" t="s">
        <v>65</v>
      </c>
      <c r="N35" s="6">
        <v>0.9983</v>
      </c>
      <c r="O35" s="6">
        <v>0.0</v>
      </c>
      <c r="P35" s="6">
        <v>24.1014</v>
      </c>
      <c r="Q35" s="6">
        <v>0.0</v>
      </c>
      <c r="R35" s="6">
        <v>0.2611</v>
      </c>
      <c r="S35" s="6">
        <v>913.5</v>
      </c>
      <c r="T35" s="6">
        <v>24.0</v>
      </c>
      <c r="U35" s="5"/>
      <c r="V35" s="2">
        <f t="shared" si="2"/>
        <v>713.5133329</v>
      </c>
      <c r="W35" s="2">
        <f t="shared" si="3"/>
        <v>18.8510625</v>
      </c>
      <c r="X35" s="2">
        <f t="shared" si="4"/>
        <v>18.77048529</v>
      </c>
      <c r="Y35" s="2">
        <f t="shared" ref="Y35:Z35" si="38">_xlfn.NORM.S.DIST(W35)</f>
        <v>1</v>
      </c>
      <c r="Z35" s="2">
        <f t="shared" si="38"/>
        <v>1</v>
      </c>
      <c r="AA35" s="2">
        <f t="shared" si="6"/>
        <v>712.35</v>
      </c>
      <c r="AB35" s="5"/>
    </row>
    <row r="36" ht="14.25" customHeight="1">
      <c r="A36" s="5" t="s">
        <v>120</v>
      </c>
      <c r="B36" s="5" t="s">
        <v>121</v>
      </c>
      <c r="C36" s="5" t="s">
        <v>110</v>
      </c>
      <c r="D36" s="5" t="s">
        <v>29</v>
      </c>
      <c r="E36" s="6">
        <v>200.0</v>
      </c>
      <c r="F36" s="5" t="s">
        <v>30</v>
      </c>
      <c r="G36" s="6">
        <v>703.0</v>
      </c>
      <c r="H36" s="5"/>
      <c r="I36" s="6">
        <v>706.9</v>
      </c>
      <c r="J36" s="5"/>
      <c r="K36" s="6">
        <v>0.0</v>
      </c>
      <c r="L36" s="6">
        <v>0.0</v>
      </c>
      <c r="M36" s="5" t="s">
        <v>66</v>
      </c>
      <c r="N36" s="6">
        <v>0.9983</v>
      </c>
      <c r="O36" s="6">
        <v>0.0</v>
      </c>
      <c r="P36" s="6">
        <v>23.8844</v>
      </c>
      <c r="Q36" s="6">
        <v>0.0</v>
      </c>
      <c r="R36" s="6">
        <v>0.1297</v>
      </c>
      <c r="S36" s="6">
        <v>905.400024</v>
      </c>
      <c r="T36" s="6">
        <v>23.0</v>
      </c>
      <c r="U36" s="5"/>
      <c r="V36" s="2">
        <f t="shared" si="2"/>
        <v>705.4128014</v>
      </c>
      <c r="W36" s="2">
        <f t="shared" si="3"/>
        <v>38.53811202</v>
      </c>
      <c r="X36" s="2">
        <f t="shared" si="4"/>
        <v>38.49892848</v>
      </c>
      <c r="Y36" s="2">
        <f t="shared" ref="Y36:Z36" si="39">_xlfn.NORM.S.DIST(W36)</f>
        <v>1</v>
      </c>
      <c r="Z36" s="2">
        <f t="shared" si="39"/>
        <v>1</v>
      </c>
      <c r="AA36" s="2">
        <f t="shared" si="6"/>
        <v>704.95</v>
      </c>
      <c r="AB36" s="5"/>
    </row>
    <row r="37" ht="14.25" customHeight="1">
      <c r="A37" s="5" t="s">
        <v>120</v>
      </c>
      <c r="B37" s="5" t="s">
        <v>121</v>
      </c>
      <c r="C37" s="5" t="s">
        <v>110</v>
      </c>
      <c r="D37" s="5" t="s">
        <v>29</v>
      </c>
      <c r="E37" s="6">
        <v>200.0</v>
      </c>
      <c r="F37" s="5" t="s">
        <v>30</v>
      </c>
      <c r="G37" s="6">
        <v>713.1</v>
      </c>
      <c r="H37" s="5"/>
      <c r="I37" s="6">
        <v>717.0</v>
      </c>
      <c r="J37" s="5"/>
      <c r="K37" s="6">
        <v>0.0</v>
      </c>
      <c r="L37" s="6">
        <v>0.0</v>
      </c>
      <c r="M37" s="5" t="s">
        <v>67</v>
      </c>
      <c r="N37" s="6">
        <v>0.9984</v>
      </c>
      <c r="O37" s="6">
        <v>0.0</v>
      </c>
      <c r="P37" s="6">
        <v>24.4039</v>
      </c>
      <c r="Q37" s="6">
        <v>0.0</v>
      </c>
      <c r="R37" s="6">
        <v>0.2844</v>
      </c>
      <c r="S37" s="6">
        <v>916.150024</v>
      </c>
      <c r="T37" s="6">
        <v>22.0</v>
      </c>
      <c r="U37" s="5"/>
      <c r="V37" s="2">
        <f t="shared" si="2"/>
        <v>716.1622458</v>
      </c>
      <c r="W37" s="2">
        <f t="shared" si="3"/>
        <v>18.11068303</v>
      </c>
      <c r="X37" s="2">
        <f t="shared" si="4"/>
        <v>18.02665181</v>
      </c>
      <c r="Y37" s="2">
        <f t="shared" ref="Y37:Z37" si="40">_xlfn.NORM.S.DIST(W37)</f>
        <v>1</v>
      </c>
      <c r="Z37" s="2">
        <f t="shared" si="40"/>
        <v>1</v>
      </c>
      <c r="AA37" s="2">
        <f t="shared" si="6"/>
        <v>715.05</v>
      </c>
      <c r="AB37" s="5"/>
    </row>
    <row r="38" ht="14.25" customHeight="1">
      <c r="A38" s="5" t="s">
        <v>120</v>
      </c>
      <c r="B38" s="5" t="s">
        <v>121</v>
      </c>
      <c r="C38" s="5" t="s">
        <v>110</v>
      </c>
      <c r="D38" s="5" t="s">
        <v>29</v>
      </c>
      <c r="E38" s="6">
        <v>200.0</v>
      </c>
      <c r="F38" s="5" t="s">
        <v>30</v>
      </c>
      <c r="G38" s="6">
        <v>690.9</v>
      </c>
      <c r="H38" s="5"/>
      <c r="I38" s="6">
        <v>701.2</v>
      </c>
      <c r="J38" s="5"/>
      <c r="K38" s="6">
        <v>0.0</v>
      </c>
      <c r="L38" s="6">
        <v>0.0</v>
      </c>
      <c r="M38" s="5" t="s">
        <v>68</v>
      </c>
      <c r="N38" s="6">
        <v>0.9986</v>
      </c>
      <c r="O38" s="6">
        <v>0.0</v>
      </c>
      <c r="P38" s="6">
        <v>24.5715</v>
      </c>
      <c r="Q38" s="6">
        <v>0.0</v>
      </c>
      <c r="R38" s="6">
        <v>0.1603</v>
      </c>
      <c r="S38" s="6">
        <v>895.840027</v>
      </c>
      <c r="T38" s="6">
        <v>19.0</v>
      </c>
      <c r="U38" s="5"/>
      <c r="V38" s="2">
        <f t="shared" si="2"/>
        <v>695.8505823</v>
      </c>
      <c r="W38" s="2">
        <f t="shared" si="3"/>
        <v>34.06593708</v>
      </c>
      <c r="X38" s="2">
        <f t="shared" si="4"/>
        <v>34.02192114</v>
      </c>
      <c r="Y38" s="2">
        <f t="shared" ref="Y38:Z38" si="41">_xlfn.NORM.S.DIST(W38)</f>
        <v>1</v>
      </c>
      <c r="Z38" s="2">
        <f t="shared" si="41"/>
        <v>1</v>
      </c>
      <c r="AA38" s="2">
        <f t="shared" si="6"/>
        <v>696.05</v>
      </c>
      <c r="AB38" s="5"/>
    </row>
    <row r="39" ht="14.25" customHeight="1">
      <c r="A39" s="5" t="s">
        <v>120</v>
      </c>
      <c r="B39" s="5" t="s">
        <v>121</v>
      </c>
      <c r="C39" s="5" t="s">
        <v>110</v>
      </c>
      <c r="D39" s="5" t="s">
        <v>29</v>
      </c>
      <c r="E39" s="6">
        <v>200.0</v>
      </c>
      <c r="F39" s="5" t="s">
        <v>30</v>
      </c>
      <c r="G39" s="6">
        <v>693.2</v>
      </c>
      <c r="H39" s="5"/>
      <c r="I39" s="6">
        <v>701.2</v>
      </c>
      <c r="J39" s="5"/>
      <c r="K39" s="6">
        <v>0.0</v>
      </c>
      <c r="L39" s="6">
        <v>0.0</v>
      </c>
      <c r="M39" s="5" t="s">
        <v>69</v>
      </c>
      <c r="N39" s="6">
        <v>0.9986</v>
      </c>
      <c r="O39" s="6">
        <v>0.0</v>
      </c>
      <c r="P39" s="6">
        <v>25.6344</v>
      </c>
      <c r="Q39" s="6">
        <v>0.0</v>
      </c>
      <c r="R39" s="6">
        <v>0.1968</v>
      </c>
      <c r="S39" s="6">
        <v>900.049988</v>
      </c>
      <c r="T39" s="6">
        <v>18.0</v>
      </c>
      <c r="U39" s="5"/>
      <c r="V39" s="2">
        <f t="shared" si="2"/>
        <v>700.0599878</v>
      </c>
      <c r="W39" s="2">
        <f t="shared" si="3"/>
        <v>28.5973075</v>
      </c>
      <c r="X39" s="2">
        <f t="shared" si="4"/>
        <v>28.54471049</v>
      </c>
      <c r="Y39" s="2">
        <f t="shared" ref="Y39:Z39" si="42">_xlfn.NORM.S.DIST(W39)</f>
        <v>1</v>
      </c>
      <c r="Z39" s="2">
        <f t="shared" si="42"/>
        <v>1</v>
      </c>
      <c r="AA39" s="2">
        <f t="shared" si="6"/>
        <v>697.2</v>
      </c>
      <c r="AB39" s="5"/>
    </row>
    <row r="40" ht="14.25" customHeight="1">
      <c r="A40" s="5" t="s">
        <v>120</v>
      </c>
      <c r="B40" s="5" t="s">
        <v>121</v>
      </c>
      <c r="C40" s="5" t="s">
        <v>110</v>
      </c>
      <c r="D40" s="5" t="s">
        <v>29</v>
      </c>
      <c r="E40" s="6">
        <v>200.0</v>
      </c>
      <c r="F40" s="5" t="s">
        <v>30</v>
      </c>
      <c r="G40" s="6">
        <v>704.5</v>
      </c>
      <c r="H40" s="5"/>
      <c r="I40" s="6">
        <v>712.5</v>
      </c>
      <c r="J40" s="5"/>
      <c r="K40" s="6">
        <v>0.0</v>
      </c>
      <c r="L40" s="6">
        <v>0.0</v>
      </c>
      <c r="M40" s="5" t="s">
        <v>70</v>
      </c>
      <c r="N40" s="6">
        <v>0.9993</v>
      </c>
      <c r="O40" s="6">
        <v>0.0</v>
      </c>
      <c r="P40" s="6">
        <v>13.2947</v>
      </c>
      <c r="Q40" s="6">
        <v>0.0</v>
      </c>
      <c r="R40" s="6">
        <v>0.1855</v>
      </c>
      <c r="S40" s="6">
        <v>909.919983</v>
      </c>
      <c r="T40" s="6">
        <v>17.0</v>
      </c>
      <c r="U40" s="5"/>
      <c r="V40" s="2">
        <f t="shared" si="2"/>
        <v>709.9294272</v>
      </c>
      <c r="W40" s="2">
        <f t="shared" si="3"/>
        <v>31.44530372</v>
      </c>
      <c r="X40" s="2">
        <f t="shared" si="4"/>
        <v>31.39712358</v>
      </c>
      <c r="Y40" s="2">
        <f t="shared" ref="Y40:Z40" si="43">_xlfn.NORM.S.DIST(W40)</f>
        <v>1</v>
      </c>
      <c r="Z40" s="2">
        <f t="shared" si="43"/>
        <v>1</v>
      </c>
      <c r="AA40" s="2">
        <f t="shared" si="6"/>
        <v>708.5</v>
      </c>
      <c r="AB40" s="5"/>
    </row>
    <row r="41" ht="14.25" customHeight="1">
      <c r="A41" s="5" t="s">
        <v>120</v>
      </c>
      <c r="B41" s="5" t="s">
        <v>121</v>
      </c>
      <c r="C41" s="5" t="s">
        <v>110</v>
      </c>
      <c r="D41" s="5" t="s">
        <v>29</v>
      </c>
      <c r="E41" s="6">
        <v>200.0</v>
      </c>
      <c r="F41" s="5" t="s">
        <v>30</v>
      </c>
      <c r="G41" s="6">
        <v>702.5</v>
      </c>
      <c r="H41" s="5"/>
      <c r="I41" s="6">
        <v>713.4</v>
      </c>
      <c r="J41" s="5"/>
      <c r="K41" s="6">
        <v>0.0</v>
      </c>
      <c r="L41" s="6">
        <v>0.0</v>
      </c>
      <c r="M41" s="5" t="s">
        <v>71</v>
      </c>
      <c r="N41" s="6">
        <v>0.9987</v>
      </c>
      <c r="O41" s="6">
        <v>0.0</v>
      </c>
      <c r="P41" s="6">
        <v>27.6664</v>
      </c>
      <c r="Q41" s="6">
        <v>0.0</v>
      </c>
      <c r="R41" s="6">
        <v>0.1438</v>
      </c>
      <c r="S41" s="6">
        <v>911.109985</v>
      </c>
      <c r="T41" s="6">
        <v>16.0</v>
      </c>
      <c r="U41" s="5"/>
      <c r="V41" s="2">
        <f t="shared" si="2"/>
        <v>711.1188737</v>
      </c>
      <c r="W41" s="2">
        <f t="shared" si="3"/>
        <v>41.8484884</v>
      </c>
      <c r="X41" s="2">
        <f t="shared" si="4"/>
        <v>41.81225421</v>
      </c>
      <c r="Y41" s="2">
        <f t="shared" ref="Y41:Z41" si="44">_xlfn.NORM.S.DIST(W41)</f>
        <v>1</v>
      </c>
      <c r="Z41" s="2">
        <f t="shared" si="44"/>
        <v>1</v>
      </c>
      <c r="AA41" s="2">
        <f t="shared" si="6"/>
        <v>707.95</v>
      </c>
      <c r="AB41" s="5"/>
    </row>
    <row r="42" ht="14.25" customHeight="1">
      <c r="A42" s="5" t="s">
        <v>120</v>
      </c>
      <c r="B42" s="5" t="s">
        <v>121</v>
      </c>
      <c r="C42" s="5" t="s">
        <v>110</v>
      </c>
      <c r="D42" s="5" t="s">
        <v>29</v>
      </c>
      <c r="E42" s="6">
        <v>200.0</v>
      </c>
      <c r="F42" s="5" t="s">
        <v>30</v>
      </c>
      <c r="G42" s="6">
        <v>709.6</v>
      </c>
      <c r="H42" s="5"/>
      <c r="I42" s="6">
        <v>718.3</v>
      </c>
      <c r="J42" s="5"/>
      <c r="K42" s="6">
        <v>0.0</v>
      </c>
      <c r="L42" s="6">
        <v>0.0</v>
      </c>
      <c r="M42" s="5" t="s">
        <v>72</v>
      </c>
      <c r="N42" s="6">
        <v>0.9988</v>
      </c>
      <c r="O42" s="6">
        <v>0.0</v>
      </c>
      <c r="P42" s="6">
        <v>28.2766</v>
      </c>
      <c r="Q42" s="6">
        <v>0.0</v>
      </c>
      <c r="R42" s="6">
        <v>0.223</v>
      </c>
      <c r="S42" s="6">
        <v>914.72998</v>
      </c>
      <c r="T42" s="6">
        <v>15.0</v>
      </c>
      <c r="U42" s="5"/>
      <c r="V42" s="2">
        <f t="shared" si="2"/>
        <v>714.7383132</v>
      </c>
      <c r="W42" s="2">
        <f t="shared" si="3"/>
        <v>27.9436011</v>
      </c>
      <c r="X42" s="2">
        <f t="shared" si="4"/>
        <v>27.88919468</v>
      </c>
      <c r="Y42" s="2">
        <f t="shared" ref="Y42:Z42" si="45">_xlfn.NORM.S.DIST(W42)</f>
        <v>1</v>
      </c>
      <c r="Z42" s="2">
        <f t="shared" si="45"/>
        <v>1</v>
      </c>
      <c r="AA42" s="2">
        <f t="shared" si="6"/>
        <v>713.95</v>
      </c>
      <c r="AB42" s="5"/>
    </row>
    <row r="43" ht="14.25" customHeight="1">
      <c r="A43" s="5" t="s">
        <v>120</v>
      </c>
      <c r="B43" s="5" t="s">
        <v>121</v>
      </c>
      <c r="C43" s="5" t="s">
        <v>110</v>
      </c>
      <c r="D43" s="5" t="s">
        <v>29</v>
      </c>
      <c r="E43" s="6">
        <v>200.0</v>
      </c>
      <c r="F43" s="5" t="s">
        <v>30</v>
      </c>
      <c r="G43" s="6">
        <v>711.9</v>
      </c>
      <c r="H43" s="5"/>
      <c r="I43" s="6">
        <v>719.9</v>
      </c>
      <c r="J43" s="5"/>
      <c r="K43" s="6">
        <v>0.0</v>
      </c>
      <c r="L43" s="6">
        <v>0.0</v>
      </c>
      <c r="M43" s="5" t="s">
        <v>73</v>
      </c>
      <c r="N43" s="6">
        <v>0.9989</v>
      </c>
      <c r="O43" s="6">
        <v>0.0</v>
      </c>
      <c r="P43" s="6">
        <v>30.5257</v>
      </c>
      <c r="Q43" s="6">
        <v>0.0</v>
      </c>
      <c r="R43" s="6">
        <v>0.3161</v>
      </c>
      <c r="S43" s="6">
        <v>916.679993</v>
      </c>
      <c r="T43" s="6">
        <v>12.0</v>
      </c>
      <c r="U43" s="5"/>
      <c r="V43" s="2">
        <f t="shared" si="2"/>
        <v>716.6866596</v>
      </c>
      <c r="W43" s="2">
        <f t="shared" si="3"/>
        <v>22.07118462</v>
      </c>
      <c r="X43" s="2">
        <f t="shared" si="4"/>
        <v>22.00220595</v>
      </c>
      <c r="Y43" s="2">
        <f t="shared" ref="Y43:Z43" si="46">_xlfn.NORM.S.DIST(W43)</f>
        <v>1</v>
      </c>
      <c r="Z43" s="2">
        <f t="shared" si="46"/>
        <v>1</v>
      </c>
      <c r="AA43" s="2">
        <f t="shared" si="6"/>
        <v>715.9</v>
      </c>
      <c r="AB43" s="5"/>
    </row>
    <row r="44" ht="14.25" customHeight="1">
      <c r="A44" s="5" t="s">
        <v>120</v>
      </c>
      <c r="B44" s="5" t="s">
        <v>121</v>
      </c>
      <c r="C44" s="5" t="s">
        <v>110</v>
      </c>
      <c r="D44" s="5" t="s">
        <v>29</v>
      </c>
      <c r="E44" s="6">
        <v>200.0</v>
      </c>
      <c r="F44" s="5" t="s">
        <v>30</v>
      </c>
      <c r="G44" s="6">
        <v>722.7</v>
      </c>
      <c r="H44" s="5"/>
      <c r="I44" s="6">
        <v>731.5</v>
      </c>
      <c r="J44" s="5"/>
      <c r="K44" s="6">
        <v>0.0</v>
      </c>
      <c r="L44" s="6">
        <v>0.0</v>
      </c>
      <c r="M44" s="5" t="s">
        <v>74</v>
      </c>
      <c r="N44" s="6">
        <v>0.999</v>
      </c>
      <c r="O44" s="6">
        <v>0.0</v>
      </c>
      <c r="P44" s="6">
        <v>31.3805</v>
      </c>
      <c r="Q44" s="6">
        <v>0.0</v>
      </c>
      <c r="R44" s="6">
        <v>0.2012</v>
      </c>
      <c r="S44" s="6">
        <v>927.400024</v>
      </c>
      <c r="T44" s="6">
        <v>11.0</v>
      </c>
      <c r="U44" s="5"/>
      <c r="V44" s="2">
        <f t="shared" si="2"/>
        <v>727.406135</v>
      </c>
      <c r="W44" s="2">
        <f t="shared" si="3"/>
        <v>36.49391514</v>
      </c>
      <c r="X44" s="2">
        <f t="shared" si="4"/>
        <v>36.45187889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727.1</v>
      </c>
      <c r="AB44" s="5"/>
    </row>
    <row r="45" ht="14.25" customHeight="1">
      <c r="A45" s="5" t="s">
        <v>120</v>
      </c>
      <c r="B45" s="5" t="s">
        <v>121</v>
      </c>
      <c r="C45" s="5" t="s">
        <v>110</v>
      </c>
      <c r="D45" s="5" t="s">
        <v>29</v>
      </c>
      <c r="E45" s="6">
        <v>200.0</v>
      </c>
      <c r="F45" s="5" t="s">
        <v>30</v>
      </c>
      <c r="G45" s="6">
        <v>723.9</v>
      </c>
      <c r="H45" s="5"/>
      <c r="I45" s="6">
        <v>733.2</v>
      </c>
      <c r="J45" s="5"/>
      <c r="K45" s="6">
        <v>0.0</v>
      </c>
      <c r="L45" s="6">
        <v>0.0</v>
      </c>
      <c r="M45" s="5" t="s">
        <v>75</v>
      </c>
      <c r="N45" s="6">
        <v>0.9991</v>
      </c>
      <c r="O45" s="6">
        <v>0.0</v>
      </c>
      <c r="P45" s="6">
        <v>31.4717</v>
      </c>
      <c r="Q45" s="6">
        <v>0.0</v>
      </c>
      <c r="R45" s="6">
        <v>0.1487</v>
      </c>
      <c r="S45" s="6">
        <v>929.960022</v>
      </c>
      <c r="T45" s="6">
        <v>10.0</v>
      </c>
      <c r="U45" s="5"/>
      <c r="V45" s="2">
        <f t="shared" si="2"/>
        <v>729.9655775</v>
      </c>
      <c r="W45" s="2">
        <f t="shared" si="3"/>
        <v>51.88161677</v>
      </c>
      <c r="X45" s="2">
        <f t="shared" si="4"/>
        <v>51.85199502</v>
      </c>
      <c r="Y45" s="2">
        <f t="shared" ref="Y45:Z45" si="48">_xlfn.NORM.S.DIST(W45)</f>
        <v>1</v>
      </c>
      <c r="Z45" s="2">
        <f t="shared" si="48"/>
        <v>1</v>
      </c>
      <c r="AA45" s="2">
        <f t="shared" si="6"/>
        <v>728.55</v>
      </c>
      <c r="AB45" s="5"/>
    </row>
    <row r="46" ht="14.25" customHeight="1">
      <c r="A46" s="5" t="s">
        <v>120</v>
      </c>
      <c r="B46" s="5" t="s">
        <v>121</v>
      </c>
      <c r="C46" s="5" t="s">
        <v>110</v>
      </c>
      <c r="D46" s="5" t="s">
        <v>29</v>
      </c>
      <c r="E46" s="6">
        <v>200.0</v>
      </c>
      <c r="F46" s="5" t="s">
        <v>30</v>
      </c>
      <c r="G46" s="6">
        <v>729.7</v>
      </c>
      <c r="H46" s="5"/>
      <c r="I46" s="6">
        <v>738.9</v>
      </c>
      <c r="J46" s="5"/>
      <c r="K46" s="6">
        <v>0.0</v>
      </c>
      <c r="L46" s="6">
        <v>0.0</v>
      </c>
      <c r="M46" s="5" t="s">
        <v>76</v>
      </c>
      <c r="N46" s="6">
        <v>0.9992</v>
      </c>
      <c r="O46" s="6">
        <v>0.0</v>
      </c>
      <c r="P46" s="6">
        <v>31.6335</v>
      </c>
      <c r="Q46" s="6">
        <v>0.0</v>
      </c>
      <c r="R46" s="6">
        <v>0.2737</v>
      </c>
      <c r="S46" s="6">
        <v>934.570007</v>
      </c>
      <c r="T46" s="6">
        <v>9.0</v>
      </c>
      <c r="U46" s="5"/>
      <c r="V46" s="2">
        <f t="shared" si="2"/>
        <v>734.5750069</v>
      </c>
      <c r="W46" s="2">
        <f t="shared" si="3"/>
        <v>29.80736432</v>
      </c>
      <c r="X46" s="2">
        <f t="shared" si="4"/>
        <v>29.75563988</v>
      </c>
      <c r="Y46" s="2">
        <f t="shared" ref="Y46:Z46" si="49">_xlfn.NORM.S.DIST(W46)</f>
        <v>1</v>
      </c>
      <c r="Z46" s="2">
        <f t="shared" si="49"/>
        <v>1</v>
      </c>
      <c r="AA46" s="2">
        <f t="shared" si="6"/>
        <v>734.3</v>
      </c>
      <c r="AB46" s="5"/>
    </row>
    <row r="47" ht="14.25" customHeight="1">
      <c r="A47" s="5" t="s">
        <v>120</v>
      </c>
      <c r="B47" s="5" t="s">
        <v>121</v>
      </c>
      <c r="C47" s="5" t="s">
        <v>110</v>
      </c>
      <c r="D47" s="5" t="s">
        <v>29</v>
      </c>
      <c r="E47" s="6">
        <v>200.0</v>
      </c>
      <c r="F47" s="5" t="s">
        <v>30</v>
      </c>
      <c r="G47" s="6">
        <v>737.6</v>
      </c>
      <c r="H47" s="5"/>
      <c r="I47" s="6">
        <v>745.6</v>
      </c>
      <c r="J47" s="5"/>
      <c r="K47" s="6">
        <v>0.0</v>
      </c>
      <c r="L47" s="6">
        <v>0.0</v>
      </c>
      <c r="M47" s="5" t="s">
        <v>77</v>
      </c>
      <c r="N47" s="6">
        <v>1.0</v>
      </c>
      <c r="O47" s="6">
        <v>0.0</v>
      </c>
      <c r="P47" s="6">
        <v>-0.5638</v>
      </c>
      <c r="Q47" s="6">
        <v>0.0</v>
      </c>
      <c r="R47" s="6">
        <v>0.1123</v>
      </c>
      <c r="S47" s="6">
        <v>942.5</v>
      </c>
      <c r="T47" s="6">
        <v>8.0</v>
      </c>
      <c r="U47" s="5"/>
      <c r="V47" s="2">
        <f t="shared" si="2"/>
        <v>742.5044444</v>
      </c>
      <c r="W47" s="2">
        <f t="shared" si="3"/>
        <v>77.47622483</v>
      </c>
      <c r="X47" s="2">
        <f t="shared" si="4"/>
        <v>77.45621587</v>
      </c>
      <c r="Y47" s="2">
        <f t="shared" ref="Y47:Z47" si="50">_xlfn.NORM.S.DIST(W47)</f>
        <v>1</v>
      </c>
      <c r="Z47" s="2">
        <f t="shared" si="50"/>
        <v>1</v>
      </c>
      <c r="AA47" s="2">
        <f t="shared" si="6"/>
        <v>741.6</v>
      </c>
      <c r="AB47" s="5"/>
    </row>
    <row r="48" ht="14.25" customHeight="1">
      <c r="A48" s="5" t="s">
        <v>120</v>
      </c>
      <c r="B48" s="5" t="s">
        <v>121</v>
      </c>
      <c r="C48" s="5" t="s">
        <v>110</v>
      </c>
      <c r="D48" s="5" t="s">
        <v>29</v>
      </c>
      <c r="E48" s="6">
        <v>200.0</v>
      </c>
      <c r="F48" s="5" t="s">
        <v>30</v>
      </c>
      <c r="G48" s="6">
        <v>738.4</v>
      </c>
      <c r="H48" s="5"/>
      <c r="I48" s="6">
        <v>746.4</v>
      </c>
      <c r="J48" s="5"/>
      <c r="K48" s="6">
        <v>0.0</v>
      </c>
      <c r="L48" s="6">
        <v>0.0</v>
      </c>
      <c r="M48" s="5" t="s">
        <v>78</v>
      </c>
      <c r="N48" s="6">
        <v>1.0</v>
      </c>
      <c r="O48" s="6">
        <v>0.0</v>
      </c>
      <c r="P48" s="6">
        <v>-0.5638</v>
      </c>
      <c r="Q48" s="6">
        <v>0.0</v>
      </c>
      <c r="R48" s="6">
        <v>0.1414</v>
      </c>
      <c r="S48" s="6">
        <v>942.51001</v>
      </c>
      <c r="T48" s="6">
        <v>5.0</v>
      </c>
      <c r="U48" s="5"/>
      <c r="V48" s="2">
        <f t="shared" si="2"/>
        <v>742.5127878</v>
      </c>
      <c r="W48" s="2">
        <f t="shared" si="3"/>
        <v>77.8326405</v>
      </c>
      <c r="X48" s="2">
        <f t="shared" si="4"/>
        <v>77.81272303</v>
      </c>
      <c r="Y48" s="2">
        <f t="shared" ref="Y48:Z48" si="51">_xlfn.NORM.S.DIST(W48)</f>
        <v>1</v>
      </c>
      <c r="Z48" s="2">
        <f t="shared" si="51"/>
        <v>1</v>
      </c>
      <c r="AA48" s="2">
        <f t="shared" si="6"/>
        <v>742.4</v>
      </c>
      <c r="AB48" s="5"/>
    </row>
    <row r="49" ht="14.25" customHeight="1">
      <c r="A49" s="5" t="s">
        <v>120</v>
      </c>
      <c r="B49" s="5" t="s">
        <v>121</v>
      </c>
      <c r="C49" s="5" t="s">
        <v>110</v>
      </c>
      <c r="D49" s="5" t="s">
        <v>29</v>
      </c>
      <c r="E49" s="6">
        <v>200.0</v>
      </c>
      <c r="F49" s="5" t="s">
        <v>30</v>
      </c>
      <c r="G49" s="6">
        <v>738.1</v>
      </c>
      <c r="H49" s="5"/>
      <c r="I49" s="6">
        <v>742.0</v>
      </c>
      <c r="J49" s="5"/>
      <c r="K49" s="6">
        <v>0.0</v>
      </c>
      <c r="L49" s="6">
        <v>0.0</v>
      </c>
      <c r="M49" s="5" t="s">
        <v>79</v>
      </c>
      <c r="N49" s="6">
        <v>1.0</v>
      </c>
      <c r="O49" s="6">
        <v>0.0</v>
      </c>
      <c r="P49" s="6">
        <v>-0.5638</v>
      </c>
      <c r="Q49" s="6">
        <v>0.0</v>
      </c>
      <c r="R49" s="6">
        <v>0.1484</v>
      </c>
      <c r="S49" s="6">
        <v>940.26001</v>
      </c>
      <c r="T49" s="6">
        <v>4.0</v>
      </c>
      <c r="U49" s="5"/>
      <c r="V49" s="2">
        <f t="shared" si="2"/>
        <v>740.2622322</v>
      </c>
      <c r="W49" s="2">
        <f t="shared" si="3"/>
        <v>82.78700674</v>
      </c>
      <c r="X49" s="2">
        <f t="shared" si="4"/>
        <v>82.7683101</v>
      </c>
      <c r="Y49" s="2">
        <f t="shared" ref="Y49:Z49" si="52">_xlfn.NORM.S.DIST(W49)</f>
        <v>1</v>
      </c>
      <c r="Z49" s="2">
        <f t="shared" si="52"/>
        <v>1</v>
      </c>
      <c r="AA49" s="2">
        <f t="shared" si="6"/>
        <v>740.05</v>
      </c>
      <c r="AB49" s="5"/>
    </row>
    <row r="50" ht="14.25" customHeight="1">
      <c r="A50" s="5" t="s">
        <v>120</v>
      </c>
      <c r="B50" s="5" t="s">
        <v>121</v>
      </c>
      <c r="C50" s="5" t="s">
        <v>110</v>
      </c>
      <c r="D50" s="5" t="s">
        <v>29</v>
      </c>
      <c r="E50" s="6">
        <v>200.0</v>
      </c>
      <c r="F50" s="5" t="s">
        <v>30</v>
      </c>
      <c r="G50" s="6">
        <v>742.3</v>
      </c>
      <c r="H50" s="5"/>
      <c r="I50" s="6">
        <v>746.3</v>
      </c>
      <c r="J50" s="5"/>
      <c r="K50" s="6">
        <v>0.0</v>
      </c>
      <c r="L50" s="6">
        <v>0.0</v>
      </c>
      <c r="M50" s="5" t="s">
        <v>80</v>
      </c>
      <c r="N50" s="6">
        <v>1.0</v>
      </c>
      <c r="O50" s="6">
        <v>0.0</v>
      </c>
      <c r="P50" s="6">
        <v>-0.5638</v>
      </c>
      <c r="Q50" s="6">
        <v>0.0</v>
      </c>
      <c r="R50" s="6">
        <v>0.1559</v>
      </c>
      <c r="S50" s="6">
        <v>943.900024</v>
      </c>
      <c r="T50" s="6">
        <v>3.0</v>
      </c>
      <c r="U50" s="5"/>
      <c r="V50" s="2">
        <f t="shared" si="2"/>
        <v>743.9016907</v>
      </c>
      <c r="W50" s="2">
        <f t="shared" si="3"/>
        <v>91.22252645</v>
      </c>
      <c r="X50" s="2">
        <f t="shared" si="4"/>
        <v>91.20551636</v>
      </c>
      <c r="Y50" s="2">
        <f t="shared" ref="Y50:Z50" si="53">_xlfn.NORM.S.DIST(W50)</f>
        <v>1</v>
      </c>
      <c r="Z50" s="2">
        <f t="shared" si="53"/>
        <v>1</v>
      </c>
      <c r="AA50" s="2">
        <f t="shared" si="6"/>
        <v>744.3</v>
      </c>
      <c r="AB50" s="5"/>
    </row>
    <row r="51" ht="14.25" customHeight="1">
      <c r="A51" s="5" t="s">
        <v>120</v>
      </c>
      <c r="B51" s="5" t="s">
        <v>121</v>
      </c>
      <c r="C51" s="5" t="s">
        <v>110</v>
      </c>
      <c r="D51" s="5" t="s">
        <v>29</v>
      </c>
      <c r="E51" s="6">
        <v>200.0</v>
      </c>
      <c r="F51" s="5" t="s">
        <v>30</v>
      </c>
      <c r="G51" s="6">
        <v>751.2</v>
      </c>
      <c r="H51" s="5"/>
      <c r="I51" s="6">
        <v>755.1</v>
      </c>
      <c r="J51" s="5"/>
      <c r="K51" s="6">
        <v>0.0</v>
      </c>
      <c r="L51" s="6">
        <v>0.0</v>
      </c>
      <c r="M51" s="5" t="s">
        <v>81</v>
      </c>
      <c r="N51" s="6">
        <v>1.0</v>
      </c>
      <c r="O51" s="6">
        <v>0.0</v>
      </c>
      <c r="P51" s="6">
        <v>-0.5638</v>
      </c>
      <c r="Q51" s="6">
        <v>0.0</v>
      </c>
      <c r="R51" s="6">
        <v>0.2182</v>
      </c>
      <c r="S51" s="6">
        <v>953.070007</v>
      </c>
      <c r="T51" s="6">
        <v>2.0</v>
      </c>
      <c r="U51" s="5"/>
      <c r="V51" s="2">
        <f t="shared" si="2"/>
        <v>753.0711181</v>
      </c>
      <c r="W51" s="2">
        <f t="shared" si="3"/>
        <v>80.32239202</v>
      </c>
      <c r="X51" s="2">
        <f t="shared" si="4"/>
        <v>80.30295322</v>
      </c>
      <c r="Y51" s="2">
        <f t="shared" ref="Y51:Z51" si="54">_xlfn.NORM.S.DIST(W51)</f>
        <v>1</v>
      </c>
      <c r="Z51" s="2">
        <f t="shared" si="54"/>
        <v>1</v>
      </c>
      <c r="AA51" s="2">
        <f t="shared" si="6"/>
        <v>753.15</v>
      </c>
      <c r="AB51" s="5"/>
    </row>
    <row r="52" ht="14.25" customHeight="1">
      <c r="A52" s="5" t="s">
        <v>120</v>
      </c>
      <c r="B52" s="5" t="s">
        <v>121</v>
      </c>
      <c r="C52" s="5" t="s">
        <v>110</v>
      </c>
      <c r="D52" s="5" t="s">
        <v>29</v>
      </c>
      <c r="E52" s="6">
        <v>200.0</v>
      </c>
      <c r="F52" s="5" t="s">
        <v>30</v>
      </c>
      <c r="G52" s="6">
        <v>750.9</v>
      </c>
      <c r="H52" s="5"/>
      <c r="I52" s="6">
        <v>754.8</v>
      </c>
      <c r="J52" s="5"/>
      <c r="K52" s="6">
        <v>0.0</v>
      </c>
      <c r="L52" s="6">
        <v>0.0</v>
      </c>
      <c r="M52" s="5" t="s">
        <v>82</v>
      </c>
      <c r="N52" s="6">
        <v>1.0</v>
      </c>
      <c r="O52" s="6">
        <v>0.0</v>
      </c>
      <c r="P52" s="6">
        <v>-0.5638</v>
      </c>
      <c r="Q52" s="6">
        <v>0.0</v>
      </c>
      <c r="R52" s="6">
        <v>0.1911</v>
      </c>
      <c r="S52" s="6">
        <v>952.47998</v>
      </c>
      <c r="T52" s="6">
        <v>1.0</v>
      </c>
      <c r="U52" s="5"/>
      <c r="V52" s="2">
        <f t="shared" si="2"/>
        <v>752.4805356</v>
      </c>
      <c r="W52" s="2">
        <f t="shared" si="3"/>
        <v>129.6502642</v>
      </c>
      <c r="X52" s="2">
        <f t="shared" si="4"/>
        <v>129.638226</v>
      </c>
      <c r="Y52" s="2">
        <f t="shared" ref="Y52:Z52" si="55">_xlfn.NORM.S.DIST(W52)</f>
        <v>1</v>
      </c>
      <c r="Z52" s="2">
        <f t="shared" si="55"/>
        <v>1</v>
      </c>
      <c r="AA52" s="2">
        <f t="shared" si="6"/>
        <v>752.85</v>
      </c>
      <c r="AB52" s="5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  <col customWidth="1" min="21" max="21" width="12.29"/>
    <col customWidth="1" min="22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7" t="s">
        <v>25</v>
      </c>
      <c r="V1" s="3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8"/>
      <c r="AB1" s="5"/>
    </row>
    <row r="2" ht="14.25" customHeight="1">
      <c r="A2" s="5" t="s">
        <v>122</v>
      </c>
      <c r="B2" s="5" t="s">
        <v>123</v>
      </c>
      <c r="C2" s="5" t="s">
        <v>109</v>
      </c>
      <c r="D2" s="5" t="s">
        <v>29</v>
      </c>
      <c r="E2" s="6">
        <v>500.0</v>
      </c>
      <c r="F2" s="5" t="s">
        <v>30</v>
      </c>
      <c r="G2" s="6">
        <v>0.0</v>
      </c>
      <c r="H2" s="5"/>
      <c r="I2" s="6">
        <v>0.0</v>
      </c>
      <c r="J2" s="5"/>
      <c r="K2" s="6">
        <v>0.0</v>
      </c>
      <c r="L2" s="6">
        <v>32134.0</v>
      </c>
      <c r="M2" s="5" t="s">
        <v>31</v>
      </c>
      <c r="N2" s="6">
        <v>1.0</v>
      </c>
      <c r="O2" s="6">
        <v>0.0</v>
      </c>
      <c r="P2" s="6">
        <v>-1.5131</v>
      </c>
      <c r="Q2" s="6">
        <v>0.0</v>
      </c>
      <c r="R2" s="6">
        <v>0.126</v>
      </c>
      <c r="S2" s="6">
        <v>1462.420044</v>
      </c>
      <c r="T2" s="6">
        <v>73.0</v>
      </c>
      <c r="U2" s="6">
        <f t="shared" ref="U2:U52" si="2">if((G2+I2)=0,0,(G2+I2)*0.5)</f>
        <v>0</v>
      </c>
      <c r="V2" s="6">
        <f t="shared" ref="V2:V52" si="3">S2*Y2 - E2*Z2*exp(-0.0007*T2/252)</f>
        <v>962.5214226</v>
      </c>
      <c r="W2" s="6">
        <f t="shared" ref="W2:W52" si="4">((LN(S2/E2) + (0.0007 + (R2^2)/2) * T2/$AB$2)) / (R2 * SQRT(T2/252))</f>
        <v>15.86267605</v>
      </c>
      <c r="X2" s="6">
        <f t="shared" ref="X2:X52" si="5">W2-(R2*SQRT(T2/$AB$2))</f>
        <v>15.79486012</v>
      </c>
      <c r="Y2" s="6">
        <f t="shared" ref="Y2:Z2" si="1">_xlfn.NORM.S.DIST(W2)</f>
        <v>1</v>
      </c>
      <c r="Z2" s="6">
        <f t="shared" si="1"/>
        <v>1</v>
      </c>
      <c r="AA2" s="5"/>
      <c r="AB2" s="6">
        <v>252.0</v>
      </c>
    </row>
    <row r="3" ht="14.25" customHeight="1">
      <c r="A3" s="5" t="s">
        <v>122</v>
      </c>
      <c r="B3" s="5" t="s">
        <v>123</v>
      </c>
      <c r="C3" s="5" t="s">
        <v>109</v>
      </c>
      <c r="D3" s="5" t="s">
        <v>29</v>
      </c>
      <c r="E3" s="6">
        <v>500.0</v>
      </c>
      <c r="F3" s="5" t="s">
        <v>30</v>
      </c>
      <c r="G3" s="6">
        <v>0.0</v>
      </c>
      <c r="H3" s="5"/>
      <c r="I3" s="6">
        <v>0.0</v>
      </c>
      <c r="J3" s="5"/>
      <c r="K3" s="6">
        <v>0.0</v>
      </c>
      <c r="L3" s="6">
        <v>32134.0</v>
      </c>
      <c r="M3" s="5" t="s">
        <v>32</v>
      </c>
      <c r="N3" s="6">
        <v>1.0</v>
      </c>
      <c r="O3" s="6">
        <v>0.0</v>
      </c>
      <c r="P3" s="6">
        <v>-1.5131</v>
      </c>
      <c r="Q3" s="6">
        <v>0.0</v>
      </c>
      <c r="R3" s="6">
        <v>0.1283</v>
      </c>
      <c r="S3" s="6">
        <v>1459.369995</v>
      </c>
      <c r="T3" s="6">
        <v>72.0</v>
      </c>
      <c r="U3" s="6">
        <f t="shared" si="2"/>
        <v>0</v>
      </c>
      <c r="V3" s="6">
        <f t="shared" si="3"/>
        <v>959.469985</v>
      </c>
      <c r="W3" s="6">
        <f t="shared" si="4"/>
        <v>15.65639473</v>
      </c>
      <c r="X3" s="6">
        <f t="shared" si="5"/>
        <v>15.5878155</v>
      </c>
      <c r="Y3" s="6">
        <f t="shared" ref="Y3:Z3" si="6">_xlfn.NORM.S.DIST(W3)</f>
        <v>1</v>
      </c>
      <c r="Z3" s="6">
        <f t="shared" si="6"/>
        <v>1</v>
      </c>
      <c r="AA3" s="5"/>
      <c r="AB3" s="5"/>
    </row>
    <row r="4" ht="14.25" customHeight="1">
      <c r="A4" s="5" t="s">
        <v>122</v>
      </c>
      <c r="B4" s="5" t="s">
        <v>123</v>
      </c>
      <c r="C4" s="5" t="s">
        <v>109</v>
      </c>
      <c r="D4" s="5" t="s">
        <v>29</v>
      </c>
      <c r="E4" s="6">
        <v>500.0</v>
      </c>
      <c r="F4" s="5" t="s">
        <v>30</v>
      </c>
      <c r="G4" s="6">
        <v>0.0</v>
      </c>
      <c r="H4" s="5"/>
      <c r="I4" s="6">
        <v>0.0</v>
      </c>
      <c r="J4" s="5"/>
      <c r="K4" s="6">
        <v>0.0</v>
      </c>
      <c r="L4" s="6">
        <v>32134.0</v>
      </c>
      <c r="M4" s="5" t="s">
        <v>33</v>
      </c>
      <c r="N4" s="6">
        <v>1.0</v>
      </c>
      <c r="O4" s="6">
        <v>0.0</v>
      </c>
      <c r="P4" s="6">
        <v>-1.5131</v>
      </c>
      <c r="Q4" s="6">
        <v>0.0</v>
      </c>
      <c r="R4" s="6">
        <v>0.1167</v>
      </c>
      <c r="S4" s="6">
        <v>1466.469971</v>
      </c>
      <c r="T4" s="6">
        <v>71.0</v>
      </c>
      <c r="U4" s="6">
        <f t="shared" si="2"/>
        <v>0</v>
      </c>
      <c r="V4" s="6">
        <f t="shared" si="3"/>
        <v>966.5685724</v>
      </c>
      <c r="W4" s="6">
        <f t="shared" si="4"/>
        <v>17.40474936</v>
      </c>
      <c r="X4" s="6">
        <f t="shared" si="5"/>
        <v>17.34280528</v>
      </c>
      <c r="Y4" s="6">
        <f t="shared" ref="Y4:Z4" si="7">_xlfn.NORM.S.DIST(W4)</f>
        <v>1</v>
      </c>
      <c r="Z4" s="6">
        <f t="shared" si="7"/>
        <v>1</v>
      </c>
      <c r="AA4" s="5"/>
      <c r="AB4" s="5"/>
    </row>
    <row r="5" ht="14.25" customHeight="1">
      <c r="A5" s="5" t="s">
        <v>122</v>
      </c>
      <c r="B5" s="5" t="s">
        <v>123</v>
      </c>
      <c r="C5" s="5" t="s">
        <v>109</v>
      </c>
      <c r="D5" s="5" t="s">
        <v>29</v>
      </c>
      <c r="E5" s="6">
        <v>500.0</v>
      </c>
      <c r="F5" s="5" t="s">
        <v>30</v>
      </c>
      <c r="G5" s="6">
        <v>0.0</v>
      </c>
      <c r="H5" s="5"/>
      <c r="I5" s="6">
        <v>0.0</v>
      </c>
      <c r="J5" s="5"/>
      <c r="K5" s="6">
        <v>0.0</v>
      </c>
      <c r="L5" s="6">
        <v>32134.0</v>
      </c>
      <c r="M5" s="5" t="s">
        <v>34</v>
      </c>
      <c r="N5" s="6">
        <v>1.0</v>
      </c>
      <c r="O5" s="6">
        <v>0.0</v>
      </c>
      <c r="P5" s="6">
        <v>-1.5133</v>
      </c>
      <c r="Q5" s="6">
        <v>0.0</v>
      </c>
      <c r="R5" s="6">
        <v>0.1257</v>
      </c>
      <c r="S5" s="6">
        <v>1461.890015</v>
      </c>
      <c r="T5" s="6">
        <v>68.0</v>
      </c>
      <c r="U5" s="6">
        <f t="shared" si="2"/>
        <v>0</v>
      </c>
      <c r="V5" s="6">
        <f t="shared" si="3"/>
        <v>961.9844505</v>
      </c>
      <c r="W5" s="6">
        <f t="shared" si="4"/>
        <v>16.46641242</v>
      </c>
      <c r="X5" s="6">
        <f t="shared" si="5"/>
        <v>16.40111599</v>
      </c>
      <c r="Y5" s="6">
        <f t="shared" ref="Y5:Z5" si="8">_xlfn.NORM.S.DIST(W5)</f>
        <v>1</v>
      </c>
      <c r="Z5" s="6">
        <f t="shared" si="8"/>
        <v>1</v>
      </c>
      <c r="AA5" s="5"/>
      <c r="AB5" s="5"/>
    </row>
    <row r="6" ht="14.25" customHeight="1">
      <c r="A6" s="5" t="s">
        <v>122</v>
      </c>
      <c r="B6" s="5" t="s">
        <v>123</v>
      </c>
      <c r="C6" s="5" t="s">
        <v>109</v>
      </c>
      <c r="D6" s="5" t="s">
        <v>29</v>
      </c>
      <c r="E6" s="6">
        <v>500.0</v>
      </c>
      <c r="F6" s="5" t="s">
        <v>30</v>
      </c>
      <c r="G6" s="6">
        <v>0.0</v>
      </c>
      <c r="H6" s="5"/>
      <c r="I6" s="6">
        <v>0.0</v>
      </c>
      <c r="J6" s="5"/>
      <c r="K6" s="6">
        <v>0.0</v>
      </c>
      <c r="L6" s="6">
        <v>32334.0</v>
      </c>
      <c r="M6" s="5" t="s">
        <v>35</v>
      </c>
      <c r="N6" s="6">
        <v>1.0</v>
      </c>
      <c r="O6" s="6">
        <v>0.0</v>
      </c>
      <c r="P6" s="6">
        <v>-1.5133</v>
      </c>
      <c r="Q6" s="6">
        <v>0.0</v>
      </c>
      <c r="R6" s="6">
        <v>0.1146</v>
      </c>
      <c r="S6" s="6">
        <v>1457.150024</v>
      </c>
      <c r="T6" s="6">
        <v>67.0</v>
      </c>
      <c r="U6" s="6">
        <f t="shared" si="2"/>
        <v>0</v>
      </c>
      <c r="V6" s="6">
        <f t="shared" si="3"/>
        <v>957.2430709</v>
      </c>
      <c r="W6" s="6">
        <f t="shared" si="4"/>
        <v>18.13407539</v>
      </c>
      <c r="X6" s="6">
        <f t="shared" si="5"/>
        <v>18.07498433</v>
      </c>
      <c r="Y6" s="6">
        <f t="shared" ref="Y6:Z6" si="9">_xlfn.NORM.S.DIST(W6)</f>
        <v>1</v>
      </c>
      <c r="Z6" s="6">
        <f t="shared" si="9"/>
        <v>1</v>
      </c>
      <c r="AA6" s="5"/>
      <c r="AB6" s="5"/>
    </row>
    <row r="7" ht="14.25" customHeight="1">
      <c r="A7" s="5" t="s">
        <v>122</v>
      </c>
      <c r="B7" s="5" t="s">
        <v>123</v>
      </c>
      <c r="C7" s="5" t="s">
        <v>109</v>
      </c>
      <c r="D7" s="5" t="s">
        <v>29</v>
      </c>
      <c r="E7" s="6">
        <v>500.0</v>
      </c>
      <c r="F7" s="5" t="s">
        <v>30</v>
      </c>
      <c r="G7" s="6">
        <v>0.0</v>
      </c>
      <c r="H7" s="5"/>
      <c r="I7" s="6">
        <v>0.0</v>
      </c>
      <c r="J7" s="5"/>
      <c r="K7" s="6">
        <v>0.0</v>
      </c>
      <c r="L7" s="6">
        <v>32334.0</v>
      </c>
      <c r="M7" s="5" t="s">
        <v>36</v>
      </c>
      <c r="N7" s="6">
        <v>1.0</v>
      </c>
      <c r="O7" s="6">
        <v>0.0</v>
      </c>
      <c r="P7" s="6">
        <v>-1.5133</v>
      </c>
      <c r="Q7" s="6">
        <v>0.0</v>
      </c>
      <c r="R7" s="6">
        <v>0.1137</v>
      </c>
      <c r="S7" s="6">
        <v>1461.02002</v>
      </c>
      <c r="T7" s="6">
        <v>66.0</v>
      </c>
      <c r="U7" s="6">
        <f t="shared" si="2"/>
        <v>0</v>
      </c>
      <c r="V7" s="6">
        <f t="shared" si="3"/>
        <v>961.1116783</v>
      </c>
      <c r="W7" s="6">
        <f t="shared" si="4"/>
        <v>18.46018763</v>
      </c>
      <c r="X7" s="6">
        <f t="shared" si="5"/>
        <v>18.4019998</v>
      </c>
      <c r="Y7" s="6">
        <f t="shared" ref="Y7:Z7" si="10">_xlfn.NORM.S.DIST(W7)</f>
        <v>1</v>
      </c>
      <c r="Z7" s="6">
        <f t="shared" si="10"/>
        <v>1</v>
      </c>
      <c r="AA7" s="5"/>
      <c r="AB7" s="5"/>
    </row>
    <row r="8" ht="14.25" customHeight="1">
      <c r="A8" s="5" t="s">
        <v>122</v>
      </c>
      <c r="B8" s="5" t="s">
        <v>123</v>
      </c>
      <c r="C8" s="5" t="s">
        <v>109</v>
      </c>
      <c r="D8" s="5" t="s">
        <v>29</v>
      </c>
      <c r="E8" s="6">
        <v>500.0</v>
      </c>
      <c r="F8" s="5" t="s">
        <v>30</v>
      </c>
      <c r="G8" s="6">
        <v>0.0</v>
      </c>
      <c r="H8" s="5"/>
      <c r="I8" s="6">
        <v>0.0</v>
      </c>
      <c r="J8" s="5"/>
      <c r="K8" s="6">
        <v>0.0</v>
      </c>
      <c r="L8" s="6">
        <v>32334.0</v>
      </c>
      <c r="M8" s="5" t="s">
        <v>37</v>
      </c>
      <c r="N8" s="6">
        <v>1.0</v>
      </c>
      <c r="O8" s="6">
        <v>0.0</v>
      </c>
      <c r="P8" s="6">
        <v>-1.5133</v>
      </c>
      <c r="Q8" s="6">
        <v>0.0</v>
      </c>
      <c r="R8" s="6">
        <v>0.1217</v>
      </c>
      <c r="S8" s="6">
        <v>1472.119995</v>
      </c>
      <c r="T8" s="6">
        <v>65.0</v>
      </c>
      <c r="U8" s="6">
        <f t="shared" si="2"/>
        <v>0</v>
      </c>
      <c r="V8" s="6">
        <f t="shared" si="3"/>
        <v>972.2102646</v>
      </c>
      <c r="W8" s="6">
        <f t="shared" si="4"/>
        <v>17.50478397</v>
      </c>
      <c r="X8" s="6">
        <f t="shared" si="5"/>
        <v>17.44297565</v>
      </c>
      <c r="Y8" s="6">
        <f t="shared" ref="Y8:Z8" si="11">_xlfn.NORM.S.DIST(W8)</f>
        <v>1</v>
      </c>
      <c r="Z8" s="6">
        <f t="shared" si="11"/>
        <v>1</v>
      </c>
      <c r="AA8" s="5"/>
      <c r="AB8" s="5"/>
    </row>
    <row r="9" ht="14.25" customHeight="1">
      <c r="A9" s="5" t="s">
        <v>122</v>
      </c>
      <c r="B9" s="5" t="s">
        <v>123</v>
      </c>
      <c r="C9" s="5" t="s">
        <v>109</v>
      </c>
      <c r="D9" s="5" t="s">
        <v>29</v>
      </c>
      <c r="E9" s="6">
        <v>500.0</v>
      </c>
      <c r="F9" s="5" t="s">
        <v>30</v>
      </c>
      <c r="G9" s="6">
        <v>0.0</v>
      </c>
      <c r="H9" s="5"/>
      <c r="I9" s="6">
        <v>0.0</v>
      </c>
      <c r="J9" s="5"/>
      <c r="K9" s="6">
        <v>0.0</v>
      </c>
      <c r="L9" s="6">
        <v>32334.0</v>
      </c>
      <c r="M9" s="5" t="s">
        <v>38</v>
      </c>
      <c r="N9" s="6">
        <v>1.0</v>
      </c>
      <c r="O9" s="6">
        <v>0.0</v>
      </c>
      <c r="P9" s="6">
        <v>-1.5133</v>
      </c>
      <c r="Q9" s="6">
        <v>0.0</v>
      </c>
      <c r="R9" s="6">
        <v>0.1074</v>
      </c>
      <c r="S9" s="6">
        <v>1472.050049</v>
      </c>
      <c r="T9" s="6">
        <v>64.0</v>
      </c>
      <c r="U9" s="6">
        <f t="shared" si="2"/>
        <v>0</v>
      </c>
      <c r="V9" s="6">
        <f t="shared" si="3"/>
        <v>972.13893</v>
      </c>
      <c r="W9" s="6">
        <f t="shared" si="4"/>
        <v>19.98070116</v>
      </c>
      <c r="X9" s="6">
        <f t="shared" si="5"/>
        <v>19.92657664</v>
      </c>
      <c r="Y9" s="6">
        <f t="shared" ref="Y9:Z9" si="12">_xlfn.NORM.S.DIST(W9)</f>
        <v>1</v>
      </c>
      <c r="Z9" s="6">
        <f t="shared" si="12"/>
        <v>1</v>
      </c>
      <c r="AA9" s="5"/>
      <c r="AB9" s="5"/>
    </row>
    <row r="10" ht="14.25" customHeight="1">
      <c r="A10" s="5" t="s">
        <v>122</v>
      </c>
      <c r="B10" s="5" t="s">
        <v>123</v>
      </c>
      <c r="C10" s="5" t="s">
        <v>109</v>
      </c>
      <c r="D10" s="5" t="s">
        <v>29</v>
      </c>
      <c r="E10" s="6">
        <v>500.0</v>
      </c>
      <c r="F10" s="5" t="s">
        <v>30</v>
      </c>
      <c r="G10" s="6">
        <v>0.0</v>
      </c>
      <c r="H10" s="5"/>
      <c r="I10" s="6">
        <v>0.0</v>
      </c>
      <c r="J10" s="5"/>
      <c r="K10" s="6">
        <v>0.0</v>
      </c>
      <c r="L10" s="6">
        <v>32334.0</v>
      </c>
      <c r="M10" s="5" t="s">
        <v>39</v>
      </c>
      <c r="N10" s="6">
        <v>1.0</v>
      </c>
      <c r="O10" s="6">
        <v>0.0</v>
      </c>
      <c r="P10" s="6">
        <v>-1.5133</v>
      </c>
      <c r="Q10" s="6">
        <v>0.0</v>
      </c>
      <c r="R10" s="6">
        <v>0.1128</v>
      </c>
      <c r="S10" s="6">
        <v>1470.680054</v>
      </c>
      <c r="T10" s="6">
        <v>61.0</v>
      </c>
      <c r="U10" s="6">
        <f t="shared" si="2"/>
        <v>0</v>
      </c>
      <c r="V10" s="6">
        <f t="shared" si="3"/>
        <v>970.764769</v>
      </c>
      <c r="W10" s="6">
        <f t="shared" si="4"/>
        <v>19.47079987</v>
      </c>
      <c r="X10" s="6">
        <f t="shared" si="5"/>
        <v>19.41530233</v>
      </c>
      <c r="Y10" s="6">
        <f t="shared" ref="Y10:Z10" si="13">_xlfn.NORM.S.DIST(W10)</f>
        <v>1</v>
      </c>
      <c r="Z10" s="6">
        <f t="shared" si="13"/>
        <v>1</v>
      </c>
      <c r="AA10" s="5"/>
      <c r="AB10" s="5"/>
    </row>
    <row r="11" ht="14.25" customHeight="1">
      <c r="A11" s="5" t="s">
        <v>122</v>
      </c>
      <c r="B11" s="5" t="s">
        <v>123</v>
      </c>
      <c r="C11" s="5" t="s">
        <v>109</v>
      </c>
      <c r="D11" s="5" t="s">
        <v>29</v>
      </c>
      <c r="E11" s="6">
        <v>500.0</v>
      </c>
      <c r="F11" s="5" t="s">
        <v>30</v>
      </c>
      <c r="G11" s="6">
        <v>0.0</v>
      </c>
      <c r="H11" s="5"/>
      <c r="I11" s="6">
        <v>0.0</v>
      </c>
      <c r="J11" s="5"/>
      <c r="K11" s="6">
        <v>0.0</v>
      </c>
      <c r="L11" s="6">
        <v>32334.0</v>
      </c>
      <c r="M11" s="5" t="s">
        <v>40</v>
      </c>
      <c r="N11" s="6">
        <v>1.0</v>
      </c>
      <c r="O11" s="6">
        <v>0.0</v>
      </c>
      <c r="P11" s="6">
        <v>-1.5133</v>
      </c>
      <c r="Q11" s="6">
        <v>0.0</v>
      </c>
      <c r="R11" s="6">
        <v>0.116</v>
      </c>
      <c r="S11" s="6">
        <v>1472.339966</v>
      </c>
      <c r="T11" s="6">
        <v>60.0</v>
      </c>
      <c r="U11" s="6">
        <f t="shared" si="2"/>
        <v>0</v>
      </c>
      <c r="V11" s="6">
        <f t="shared" si="3"/>
        <v>972.4232924</v>
      </c>
      <c r="W11" s="6">
        <f t="shared" si="4"/>
        <v>19.11177693</v>
      </c>
      <c r="X11" s="6">
        <f t="shared" si="5"/>
        <v>19.05517472</v>
      </c>
      <c r="Y11" s="6">
        <f t="shared" ref="Y11:Z11" si="14">_xlfn.NORM.S.DIST(W11)</f>
        <v>1</v>
      </c>
      <c r="Z11" s="6">
        <f t="shared" si="14"/>
        <v>1</v>
      </c>
      <c r="AA11" s="5"/>
      <c r="AB11" s="5"/>
    </row>
    <row r="12" ht="14.25" customHeight="1">
      <c r="A12" s="5" t="s">
        <v>122</v>
      </c>
      <c r="B12" s="5" t="s">
        <v>123</v>
      </c>
      <c r="C12" s="5" t="s">
        <v>109</v>
      </c>
      <c r="D12" s="5" t="s">
        <v>29</v>
      </c>
      <c r="E12" s="6">
        <v>500.0</v>
      </c>
      <c r="F12" s="5" t="s">
        <v>30</v>
      </c>
      <c r="G12" s="6">
        <v>0.0</v>
      </c>
      <c r="H12" s="5"/>
      <c r="I12" s="6">
        <v>0.0</v>
      </c>
      <c r="J12" s="5"/>
      <c r="K12" s="6">
        <v>0.0</v>
      </c>
      <c r="L12" s="6">
        <v>32334.0</v>
      </c>
      <c r="M12" s="5" t="s">
        <v>41</v>
      </c>
      <c r="N12" s="6">
        <v>1.0</v>
      </c>
      <c r="O12" s="6">
        <v>0.0</v>
      </c>
      <c r="P12" s="6">
        <v>-1.5133</v>
      </c>
      <c r="Q12" s="6">
        <v>0.0</v>
      </c>
      <c r="R12" s="6">
        <v>0.0978</v>
      </c>
      <c r="S12" s="6">
        <v>1472.630005</v>
      </c>
      <c r="T12" s="6">
        <v>59.0</v>
      </c>
      <c r="U12" s="6">
        <f t="shared" si="2"/>
        <v>0</v>
      </c>
      <c r="V12" s="6">
        <f t="shared" si="3"/>
        <v>972.7119427</v>
      </c>
      <c r="W12" s="6">
        <f t="shared" si="4"/>
        <v>22.85357659</v>
      </c>
      <c r="X12" s="6">
        <f t="shared" si="5"/>
        <v>22.80625443</v>
      </c>
      <c r="Y12" s="6">
        <f t="shared" ref="Y12:Z12" si="15">_xlfn.NORM.S.DIST(W12)</f>
        <v>1</v>
      </c>
      <c r="Z12" s="6">
        <f t="shared" si="15"/>
        <v>1</v>
      </c>
      <c r="AA12" s="5"/>
      <c r="AB12" s="5"/>
    </row>
    <row r="13" ht="14.25" customHeight="1">
      <c r="A13" s="5" t="s">
        <v>122</v>
      </c>
      <c r="B13" s="5" t="s">
        <v>123</v>
      </c>
      <c r="C13" s="5" t="s">
        <v>109</v>
      </c>
      <c r="D13" s="5" t="s">
        <v>29</v>
      </c>
      <c r="E13" s="6">
        <v>500.0</v>
      </c>
      <c r="F13" s="5" t="s">
        <v>30</v>
      </c>
      <c r="G13" s="6">
        <v>0.0</v>
      </c>
      <c r="H13" s="5"/>
      <c r="I13" s="6">
        <v>0.0</v>
      </c>
      <c r="J13" s="5"/>
      <c r="K13" s="6">
        <v>0.0</v>
      </c>
      <c r="L13" s="6">
        <v>34184.0</v>
      </c>
      <c r="M13" s="5" t="s">
        <v>42</v>
      </c>
      <c r="N13" s="6">
        <v>1.0</v>
      </c>
      <c r="O13" s="6">
        <v>0.0</v>
      </c>
      <c r="P13" s="6">
        <v>-1.5133</v>
      </c>
      <c r="Q13" s="6">
        <v>0.0</v>
      </c>
      <c r="R13" s="6">
        <v>0.11</v>
      </c>
      <c r="S13" s="6">
        <v>1480.939941</v>
      </c>
      <c r="T13" s="6">
        <v>58.0</v>
      </c>
      <c r="U13" s="6">
        <f t="shared" si="2"/>
        <v>0</v>
      </c>
      <c r="V13" s="6">
        <f t="shared" si="3"/>
        <v>981.0204901</v>
      </c>
      <c r="W13" s="6">
        <f t="shared" si="4"/>
        <v>20.60506667</v>
      </c>
      <c r="X13" s="6">
        <f t="shared" si="5"/>
        <v>20.55229432</v>
      </c>
      <c r="Y13" s="6">
        <f t="shared" ref="Y13:Z13" si="16">_xlfn.NORM.S.DIST(W13)</f>
        <v>1</v>
      </c>
      <c r="Z13" s="6">
        <f t="shared" si="16"/>
        <v>1</v>
      </c>
      <c r="AA13" s="5"/>
      <c r="AB13" s="5"/>
    </row>
    <row r="14" ht="14.25" customHeight="1">
      <c r="A14" s="5" t="s">
        <v>122</v>
      </c>
      <c r="B14" s="5" t="s">
        <v>123</v>
      </c>
      <c r="C14" s="5" t="s">
        <v>109</v>
      </c>
      <c r="D14" s="5" t="s">
        <v>29</v>
      </c>
      <c r="E14" s="6">
        <v>500.0</v>
      </c>
      <c r="F14" s="5" t="s">
        <v>30</v>
      </c>
      <c r="G14" s="6">
        <v>0.0</v>
      </c>
      <c r="H14" s="5"/>
      <c r="I14" s="6">
        <v>0.0</v>
      </c>
      <c r="J14" s="5"/>
      <c r="K14" s="6">
        <v>0.0</v>
      </c>
      <c r="L14" s="6">
        <v>34184.0</v>
      </c>
      <c r="M14" s="5" t="s">
        <v>43</v>
      </c>
      <c r="N14" s="6">
        <v>1.0</v>
      </c>
      <c r="O14" s="6">
        <v>0.0</v>
      </c>
      <c r="P14" s="6">
        <v>-1.5133</v>
      </c>
      <c r="Q14" s="6">
        <v>0.0</v>
      </c>
      <c r="R14" s="6">
        <v>0.0985</v>
      </c>
      <c r="S14" s="6">
        <v>1485.97998</v>
      </c>
      <c r="T14" s="6">
        <v>57.0</v>
      </c>
      <c r="U14" s="6">
        <f t="shared" si="2"/>
        <v>0</v>
      </c>
      <c r="V14" s="6">
        <f t="shared" si="3"/>
        <v>986.0591404</v>
      </c>
      <c r="W14" s="6">
        <f t="shared" si="4"/>
        <v>23.27786944</v>
      </c>
      <c r="X14" s="6">
        <f t="shared" si="5"/>
        <v>23.23102334</v>
      </c>
      <c r="Y14" s="6">
        <f t="shared" ref="Y14:Z14" si="17">_xlfn.NORM.S.DIST(W14)</f>
        <v>1</v>
      </c>
      <c r="Z14" s="6">
        <f t="shared" si="17"/>
        <v>1</v>
      </c>
      <c r="AA14" s="5"/>
      <c r="AB14" s="5"/>
    </row>
    <row r="15" ht="14.25" customHeight="1">
      <c r="A15" s="5" t="s">
        <v>122</v>
      </c>
      <c r="B15" s="5" t="s">
        <v>123</v>
      </c>
      <c r="C15" s="5" t="s">
        <v>109</v>
      </c>
      <c r="D15" s="5" t="s">
        <v>29</v>
      </c>
      <c r="E15" s="6">
        <v>500.0</v>
      </c>
      <c r="F15" s="5" t="s">
        <v>30</v>
      </c>
      <c r="G15" s="6">
        <v>0.0</v>
      </c>
      <c r="H15" s="5"/>
      <c r="I15" s="6">
        <v>0.0</v>
      </c>
      <c r="J15" s="5"/>
      <c r="K15" s="6">
        <v>0.0</v>
      </c>
      <c r="L15" s="6">
        <v>35734.0</v>
      </c>
      <c r="M15" s="5" t="s">
        <v>44</v>
      </c>
      <c r="N15" s="6">
        <v>1.0</v>
      </c>
      <c r="O15" s="6">
        <v>0.0</v>
      </c>
      <c r="P15" s="6">
        <v>-1.5133</v>
      </c>
      <c r="Q15" s="6">
        <v>0.0</v>
      </c>
      <c r="R15" s="6">
        <v>0.0927</v>
      </c>
      <c r="S15" s="6">
        <v>1492.560059</v>
      </c>
      <c r="T15" s="6">
        <v>53.0</v>
      </c>
      <c r="U15" s="6">
        <f t="shared" si="2"/>
        <v>0</v>
      </c>
      <c r="V15" s="6">
        <f t="shared" si="3"/>
        <v>992.6336647</v>
      </c>
      <c r="W15" s="6">
        <f t="shared" si="4"/>
        <v>25.74981402</v>
      </c>
      <c r="X15" s="6">
        <f t="shared" si="5"/>
        <v>25.70730145</v>
      </c>
      <c r="Y15" s="6">
        <f t="shared" ref="Y15:Z15" si="18">_xlfn.NORM.S.DIST(W15)</f>
        <v>1</v>
      </c>
      <c r="Z15" s="6">
        <f t="shared" si="18"/>
        <v>1</v>
      </c>
      <c r="AA15" s="5"/>
      <c r="AB15" s="5"/>
    </row>
    <row r="16" ht="14.25" customHeight="1">
      <c r="A16" s="5" t="s">
        <v>122</v>
      </c>
      <c r="B16" s="5" t="s">
        <v>123</v>
      </c>
      <c r="C16" s="5" t="s">
        <v>109</v>
      </c>
      <c r="D16" s="5" t="s">
        <v>29</v>
      </c>
      <c r="E16" s="6">
        <v>500.0</v>
      </c>
      <c r="F16" s="5" t="s">
        <v>30</v>
      </c>
      <c r="G16" s="6">
        <v>0.0</v>
      </c>
      <c r="H16" s="5"/>
      <c r="I16" s="6">
        <v>0.0</v>
      </c>
      <c r="J16" s="5"/>
      <c r="K16" s="6">
        <v>0.0</v>
      </c>
      <c r="L16" s="6">
        <v>35734.0</v>
      </c>
      <c r="M16" s="5" t="s">
        <v>45</v>
      </c>
      <c r="N16" s="6">
        <v>1.0</v>
      </c>
      <c r="O16" s="6">
        <v>0.0</v>
      </c>
      <c r="P16" s="6">
        <v>-1.5134</v>
      </c>
      <c r="Q16" s="6">
        <v>0.0</v>
      </c>
      <c r="R16" s="6">
        <v>0.1094</v>
      </c>
      <c r="S16" s="6">
        <v>1494.810059</v>
      </c>
      <c r="T16" s="6">
        <v>52.0</v>
      </c>
      <c r="U16" s="6">
        <f t="shared" si="2"/>
        <v>0</v>
      </c>
      <c r="V16" s="6">
        <f t="shared" si="3"/>
        <v>994.882276</v>
      </c>
      <c r="W16" s="6">
        <f t="shared" si="4"/>
        <v>22.06480296</v>
      </c>
      <c r="X16" s="6">
        <f t="shared" si="5"/>
        <v>22.01510727</v>
      </c>
      <c r="Y16" s="6">
        <f t="shared" ref="Y16:Z16" si="19">_xlfn.NORM.S.DIST(W16)</f>
        <v>1</v>
      </c>
      <c r="Z16" s="6">
        <f t="shared" si="19"/>
        <v>1</v>
      </c>
      <c r="AA16" s="5"/>
      <c r="AB16" s="5"/>
    </row>
    <row r="17" ht="14.25" customHeight="1">
      <c r="A17" s="5" t="s">
        <v>122</v>
      </c>
      <c r="B17" s="5" t="s">
        <v>123</v>
      </c>
      <c r="C17" s="5" t="s">
        <v>109</v>
      </c>
      <c r="D17" s="5" t="s">
        <v>29</v>
      </c>
      <c r="E17" s="6">
        <v>500.0</v>
      </c>
      <c r="F17" s="5" t="s">
        <v>30</v>
      </c>
      <c r="G17" s="6">
        <v>0.0</v>
      </c>
      <c r="H17" s="5"/>
      <c r="I17" s="6">
        <v>0.0</v>
      </c>
      <c r="J17" s="5"/>
      <c r="K17" s="6">
        <v>0.0</v>
      </c>
      <c r="L17" s="6">
        <v>35959.0</v>
      </c>
      <c r="M17" s="5" t="s">
        <v>46</v>
      </c>
      <c r="N17" s="6">
        <v>1.0</v>
      </c>
      <c r="O17" s="6">
        <v>0.0</v>
      </c>
      <c r="P17" s="6">
        <v>-1.5134</v>
      </c>
      <c r="Q17" s="6">
        <v>0.0</v>
      </c>
      <c r="R17" s="6">
        <v>0.1176</v>
      </c>
      <c r="S17" s="6">
        <v>1494.819946</v>
      </c>
      <c r="T17" s="6">
        <v>51.0</v>
      </c>
      <c r="U17" s="6">
        <f t="shared" si="2"/>
        <v>0</v>
      </c>
      <c r="V17" s="6">
        <f t="shared" si="3"/>
        <v>994.8907743</v>
      </c>
      <c r="W17" s="6">
        <f t="shared" si="4"/>
        <v>20.72971578</v>
      </c>
      <c r="X17" s="6">
        <f t="shared" si="5"/>
        <v>20.67681134</v>
      </c>
      <c r="Y17" s="6">
        <f t="shared" ref="Y17:Z17" si="20">_xlfn.NORM.S.DIST(W17)</f>
        <v>1</v>
      </c>
      <c r="Z17" s="6">
        <f t="shared" si="20"/>
        <v>1</v>
      </c>
      <c r="AA17" s="5"/>
      <c r="AB17" s="5"/>
    </row>
    <row r="18" ht="14.25" customHeight="1">
      <c r="A18" s="5" t="s">
        <v>122</v>
      </c>
      <c r="B18" s="5" t="s">
        <v>123</v>
      </c>
      <c r="C18" s="5" t="s">
        <v>109</v>
      </c>
      <c r="D18" s="5" t="s">
        <v>29</v>
      </c>
      <c r="E18" s="6">
        <v>500.0</v>
      </c>
      <c r="F18" s="5" t="s">
        <v>30</v>
      </c>
      <c r="G18" s="6">
        <v>0.0</v>
      </c>
      <c r="H18" s="5"/>
      <c r="I18" s="6">
        <v>0.0</v>
      </c>
      <c r="J18" s="5"/>
      <c r="K18" s="6">
        <v>0.0</v>
      </c>
      <c r="L18" s="6">
        <v>35959.0</v>
      </c>
      <c r="M18" s="5" t="s">
        <v>47</v>
      </c>
      <c r="N18" s="6">
        <v>1.0</v>
      </c>
      <c r="O18" s="6">
        <v>0.0</v>
      </c>
      <c r="P18" s="6">
        <v>-1.5134</v>
      </c>
      <c r="Q18" s="6">
        <v>0.0</v>
      </c>
      <c r="R18" s="6">
        <v>0.0898</v>
      </c>
      <c r="S18" s="6">
        <v>1502.959961</v>
      </c>
      <c r="T18" s="6">
        <v>50.0</v>
      </c>
      <c r="U18" s="6">
        <f t="shared" si="2"/>
        <v>0</v>
      </c>
      <c r="V18" s="6">
        <f t="shared" si="3"/>
        <v>1003.029401</v>
      </c>
      <c r="W18" s="6">
        <f t="shared" si="4"/>
        <v>27.53799531</v>
      </c>
      <c r="X18" s="6">
        <f t="shared" si="5"/>
        <v>27.49799521</v>
      </c>
      <c r="Y18" s="6">
        <f t="shared" ref="Y18:Z18" si="21">_xlfn.NORM.S.DIST(W18)</f>
        <v>1</v>
      </c>
      <c r="Z18" s="6">
        <f t="shared" si="21"/>
        <v>1</v>
      </c>
      <c r="AA18" s="5"/>
      <c r="AB18" s="5"/>
    </row>
    <row r="19" ht="14.25" customHeight="1">
      <c r="A19" s="5" t="s">
        <v>122</v>
      </c>
      <c r="B19" s="5" t="s">
        <v>123</v>
      </c>
      <c r="C19" s="5" t="s">
        <v>109</v>
      </c>
      <c r="D19" s="5" t="s">
        <v>29</v>
      </c>
      <c r="E19" s="6">
        <v>500.0</v>
      </c>
      <c r="F19" s="5" t="s">
        <v>30</v>
      </c>
      <c r="G19" s="6">
        <v>0.0</v>
      </c>
      <c r="H19" s="5"/>
      <c r="I19" s="6">
        <v>0.0</v>
      </c>
      <c r="J19" s="5"/>
      <c r="K19" s="6">
        <v>0.0</v>
      </c>
      <c r="L19" s="6">
        <v>38459.0</v>
      </c>
      <c r="M19" s="5" t="s">
        <v>48</v>
      </c>
      <c r="N19" s="6">
        <v>1.0</v>
      </c>
      <c r="O19" s="6">
        <v>0.0</v>
      </c>
      <c r="P19" s="6">
        <v>-1.5134</v>
      </c>
      <c r="Q19" s="6">
        <v>0.0</v>
      </c>
      <c r="R19" s="6">
        <v>0.119</v>
      </c>
      <c r="S19" s="6">
        <v>1500.180054</v>
      </c>
      <c r="T19" s="6">
        <v>47.0</v>
      </c>
      <c r="U19" s="6">
        <f t="shared" si="2"/>
        <v>0</v>
      </c>
      <c r="V19" s="6">
        <f t="shared" si="3"/>
        <v>1000.245328</v>
      </c>
      <c r="W19" s="6">
        <f t="shared" si="4"/>
        <v>21.4076741</v>
      </c>
      <c r="X19" s="6">
        <f t="shared" si="5"/>
        <v>21.35628209</v>
      </c>
      <c r="Y19" s="6">
        <f t="shared" ref="Y19:Z19" si="22">_xlfn.NORM.S.DIST(W19)</f>
        <v>1</v>
      </c>
      <c r="Z19" s="6">
        <f t="shared" si="22"/>
        <v>1</v>
      </c>
      <c r="AA19" s="5"/>
      <c r="AB19" s="5"/>
    </row>
    <row r="20" ht="14.25" customHeight="1">
      <c r="A20" s="5" t="s">
        <v>122</v>
      </c>
      <c r="B20" s="5" t="s">
        <v>123</v>
      </c>
      <c r="C20" s="5" t="s">
        <v>109</v>
      </c>
      <c r="D20" s="5" t="s">
        <v>29</v>
      </c>
      <c r="E20" s="6">
        <v>500.0</v>
      </c>
      <c r="F20" s="5" t="s">
        <v>30</v>
      </c>
      <c r="G20" s="6">
        <v>0.0</v>
      </c>
      <c r="H20" s="5"/>
      <c r="I20" s="6">
        <v>0.0</v>
      </c>
      <c r="J20" s="5"/>
      <c r="K20" s="6">
        <v>0.0</v>
      </c>
      <c r="L20" s="6">
        <v>38659.0</v>
      </c>
      <c r="M20" s="5" t="s">
        <v>49</v>
      </c>
      <c r="N20" s="6">
        <v>1.0</v>
      </c>
      <c r="O20" s="6">
        <v>0.0</v>
      </c>
      <c r="P20" s="6">
        <v>-1.5134</v>
      </c>
      <c r="Q20" s="6">
        <v>0.0</v>
      </c>
      <c r="R20" s="6">
        <v>0.1093</v>
      </c>
      <c r="S20" s="6">
        <v>1507.839966</v>
      </c>
      <c r="T20" s="6">
        <v>46.0</v>
      </c>
      <c r="U20" s="6">
        <f t="shared" si="2"/>
        <v>0</v>
      </c>
      <c r="V20" s="6">
        <f t="shared" si="3"/>
        <v>1007.903851</v>
      </c>
      <c r="W20" s="6">
        <f t="shared" si="4"/>
        <v>23.66358545</v>
      </c>
      <c r="X20" s="6">
        <f t="shared" si="5"/>
        <v>23.61688739</v>
      </c>
      <c r="Y20" s="6">
        <f t="shared" ref="Y20:Z20" si="23">_xlfn.NORM.S.DIST(W20)</f>
        <v>1</v>
      </c>
      <c r="Z20" s="6">
        <f t="shared" si="23"/>
        <v>1</v>
      </c>
      <c r="AA20" s="5"/>
      <c r="AB20" s="5"/>
    </row>
    <row r="21" ht="14.25" customHeight="1">
      <c r="A21" s="5" t="s">
        <v>122</v>
      </c>
      <c r="B21" s="5" t="s">
        <v>123</v>
      </c>
      <c r="C21" s="5" t="s">
        <v>109</v>
      </c>
      <c r="D21" s="5" t="s">
        <v>29</v>
      </c>
      <c r="E21" s="6">
        <v>500.0</v>
      </c>
      <c r="F21" s="5" t="s">
        <v>30</v>
      </c>
      <c r="G21" s="6">
        <v>0.0</v>
      </c>
      <c r="H21" s="5"/>
      <c r="I21" s="6">
        <v>0.0</v>
      </c>
      <c r="J21" s="5"/>
      <c r="K21" s="6">
        <v>0.0</v>
      </c>
      <c r="L21" s="6">
        <v>38659.0</v>
      </c>
      <c r="M21" s="5" t="s">
        <v>50</v>
      </c>
      <c r="N21" s="6">
        <v>1.0</v>
      </c>
      <c r="O21" s="6">
        <v>0.0</v>
      </c>
      <c r="P21" s="6">
        <v>-1.5134</v>
      </c>
      <c r="Q21" s="6">
        <v>0.0</v>
      </c>
      <c r="R21" s="6">
        <v>0.1031</v>
      </c>
      <c r="S21" s="6">
        <v>1501.959961</v>
      </c>
      <c r="T21" s="6">
        <v>45.0</v>
      </c>
      <c r="U21" s="6">
        <f t="shared" si="2"/>
        <v>0</v>
      </c>
      <c r="V21" s="6">
        <f t="shared" si="3"/>
        <v>1002.022457</v>
      </c>
      <c r="W21" s="6">
        <f t="shared" si="4"/>
        <v>25.27083372</v>
      </c>
      <c r="X21" s="6">
        <f t="shared" si="5"/>
        <v>25.22726602</v>
      </c>
      <c r="Y21" s="6">
        <f t="shared" ref="Y21:Z21" si="24">_xlfn.NORM.S.DIST(W21)</f>
        <v>1</v>
      </c>
      <c r="Z21" s="6">
        <f t="shared" si="24"/>
        <v>1</v>
      </c>
      <c r="AA21" s="5"/>
      <c r="AB21" s="5"/>
    </row>
    <row r="22" ht="14.25" customHeight="1">
      <c r="A22" s="5" t="s">
        <v>122</v>
      </c>
      <c r="B22" s="5" t="s">
        <v>123</v>
      </c>
      <c r="C22" s="5" t="s">
        <v>109</v>
      </c>
      <c r="D22" s="5" t="s">
        <v>29</v>
      </c>
      <c r="E22" s="6">
        <v>500.0</v>
      </c>
      <c r="F22" s="5" t="s">
        <v>30</v>
      </c>
      <c r="G22" s="6">
        <v>0.0</v>
      </c>
      <c r="H22" s="5"/>
      <c r="I22" s="6">
        <v>0.0</v>
      </c>
      <c r="J22" s="5"/>
      <c r="K22" s="6">
        <v>0.0</v>
      </c>
      <c r="L22" s="6">
        <v>38659.0</v>
      </c>
      <c r="M22" s="5" t="s">
        <v>51</v>
      </c>
      <c r="N22" s="6">
        <v>1.0</v>
      </c>
      <c r="O22" s="6">
        <v>0.0</v>
      </c>
      <c r="P22" s="6">
        <v>-1.5135</v>
      </c>
      <c r="Q22" s="6">
        <v>0.0</v>
      </c>
      <c r="R22" s="6">
        <v>0.1244</v>
      </c>
      <c r="S22" s="6">
        <v>1498.109985</v>
      </c>
      <c r="T22" s="6">
        <v>44.0</v>
      </c>
      <c r="U22" s="6">
        <f t="shared" si="2"/>
        <v>0</v>
      </c>
      <c r="V22" s="6">
        <f t="shared" si="3"/>
        <v>998.1710924</v>
      </c>
      <c r="W22" s="6">
        <f t="shared" si="4"/>
        <v>21.13888017</v>
      </c>
      <c r="X22" s="6">
        <f t="shared" si="5"/>
        <v>21.08689895</v>
      </c>
      <c r="Y22" s="6">
        <f t="shared" ref="Y22:Z22" si="25">_xlfn.NORM.S.DIST(W22)</f>
        <v>1</v>
      </c>
      <c r="Z22" s="6">
        <f t="shared" si="25"/>
        <v>1</v>
      </c>
      <c r="AA22" s="5"/>
      <c r="AB22" s="5"/>
    </row>
    <row r="23" ht="14.25" customHeight="1">
      <c r="A23" s="5" t="s">
        <v>122</v>
      </c>
      <c r="B23" s="5" t="s">
        <v>123</v>
      </c>
      <c r="C23" s="5" t="s">
        <v>110</v>
      </c>
      <c r="D23" s="5" t="s">
        <v>29</v>
      </c>
      <c r="E23" s="6">
        <v>500.0</v>
      </c>
      <c r="F23" s="5" t="s">
        <v>30</v>
      </c>
      <c r="G23" s="6">
        <v>0.0</v>
      </c>
      <c r="H23" s="5"/>
      <c r="I23" s="6">
        <v>0.0</v>
      </c>
      <c r="J23" s="5"/>
      <c r="K23" s="6">
        <v>0.0</v>
      </c>
      <c r="L23" s="6">
        <v>38659.0</v>
      </c>
      <c r="M23" s="5" t="s">
        <v>53</v>
      </c>
      <c r="N23" s="6">
        <v>1.0</v>
      </c>
      <c r="O23" s="6">
        <v>0.0</v>
      </c>
      <c r="P23" s="6">
        <v>-1.452</v>
      </c>
      <c r="Q23" s="6">
        <v>0.0</v>
      </c>
      <c r="R23" s="6">
        <v>0.0919</v>
      </c>
      <c r="S23" s="6">
        <v>1513.170044</v>
      </c>
      <c r="T23" s="6">
        <v>43.0</v>
      </c>
      <c r="U23" s="6">
        <f t="shared" si="2"/>
        <v>0</v>
      </c>
      <c r="V23" s="6">
        <f t="shared" si="3"/>
        <v>1013.229763</v>
      </c>
      <c r="W23" s="6">
        <f t="shared" si="4"/>
        <v>29.19216639</v>
      </c>
      <c r="X23" s="6">
        <f t="shared" si="5"/>
        <v>29.15420435</v>
      </c>
      <c r="Y23" s="6">
        <f t="shared" ref="Y23:Z23" si="26">_xlfn.NORM.S.DIST(W23)</f>
        <v>1</v>
      </c>
      <c r="Z23" s="6">
        <f t="shared" si="26"/>
        <v>1</v>
      </c>
      <c r="AA23" s="5"/>
      <c r="AB23" s="5"/>
    </row>
    <row r="24" ht="14.25" customHeight="1">
      <c r="A24" s="5" t="s">
        <v>122</v>
      </c>
      <c r="B24" s="5" t="s">
        <v>123</v>
      </c>
      <c r="C24" s="5" t="s">
        <v>110</v>
      </c>
      <c r="D24" s="5" t="s">
        <v>29</v>
      </c>
      <c r="E24" s="6">
        <v>500.0</v>
      </c>
      <c r="F24" s="5" t="s">
        <v>30</v>
      </c>
      <c r="G24" s="6">
        <v>0.0</v>
      </c>
      <c r="H24" s="5"/>
      <c r="I24" s="6">
        <v>0.0</v>
      </c>
      <c r="J24" s="5"/>
      <c r="K24" s="6">
        <v>0.0</v>
      </c>
      <c r="L24" s="6">
        <v>38659.0</v>
      </c>
      <c r="M24" s="5" t="s">
        <v>54</v>
      </c>
      <c r="N24" s="6">
        <v>1.0</v>
      </c>
      <c r="O24" s="6">
        <v>0.0</v>
      </c>
      <c r="P24" s="6">
        <v>-1.452</v>
      </c>
      <c r="Q24" s="6">
        <v>0.0</v>
      </c>
      <c r="R24" s="6">
        <v>0.1237</v>
      </c>
      <c r="S24" s="6">
        <v>1495.709961</v>
      </c>
      <c r="T24" s="6">
        <v>40.0</v>
      </c>
      <c r="U24" s="6">
        <f t="shared" si="2"/>
        <v>0</v>
      </c>
      <c r="V24" s="6">
        <f t="shared" si="3"/>
        <v>995.7655135</v>
      </c>
      <c r="W24" s="6">
        <f t="shared" si="4"/>
        <v>22.26057496</v>
      </c>
      <c r="X24" s="6">
        <f t="shared" si="5"/>
        <v>22.2112917</v>
      </c>
      <c r="Y24" s="6">
        <f t="shared" ref="Y24:Z24" si="27">_xlfn.NORM.S.DIST(W24)</f>
        <v>1</v>
      </c>
      <c r="Z24" s="6">
        <f t="shared" si="27"/>
        <v>1</v>
      </c>
      <c r="AA24" s="5"/>
      <c r="AB24" s="5"/>
    </row>
    <row r="25" ht="14.25" customHeight="1">
      <c r="A25" s="5" t="s">
        <v>122</v>
      </c>
      <c r="B25" s="5" t="s">
        <v>123</v>
      </c>
      <c r="C25" s="5" t="s">
        <v>110</v>
      </c>
      <c r="D25" s="5" t="s">
        <v>29</v>
      </c>
      <c r="E25" s="6">
        <v>500.0</v>
      </c>
      <c r="F25" s="5" t="s">
        <v>30</v>
      </c>
      <c r="G25" s="6">
        <v>0.0</v>
      </c>
      <c r="H25" s="5"/>
      <c r="I25" s="6">
        <v>0.0</v>
      </c>
      <c r="J25" s="5"/>
      <c r="K25" s="6">
        <v>0.0</v>
      </c>
      <c r="L25" s="6">
        <v>40909.0</v>
      </c>
      <c r="M25" s="5" t="s">
        <v>55</v>
      </c>
      <c r="N25" s="6">
        <v>1.0</v>
      </c>
      <c r="O25" s="6">
        <v>0.0</v>
      </c>
      <c r="P25" s="6">
        <v>-1.4521</v>
      </c>
      <c r="Q25" s="6">
        <v>0.0</v>
      </c>
      <c r="R25" s="6">
        <v>0.1017</v>
      </c>
      <c r="S25" s="6">
        <v>1511.290039</v>
      </c>
      <c r="T25" s="6">
        <v>39.0</v>
      </c>
      <c r="U25" s="6">
        <f t="shared" si="2"/>
        <v>0</v>
      </c>
      <c r="V25" s="6">
        <f t="shared" si="3"/>
        <v>1011.344203</v>
      </c>
      <c r="W25" s="6">
        <f t="shared" si="4"/>
        <v>27.66956136</v>
      </c>
      <c r="X25" s="6">
        <f t="shared" si="5"/>
        <v>27.62955279</v>
      </c>
      <c r="Y25" s="6">
        <f t="shared" ref="Y25:Z25" si="28">_xlfn.NORM.S.DIST(W25)</f>
        <v>1</v>
      </c>
      <c r="Z25" s="6">
        <f t="shared" si="28"/>
        <v>1</v>
      </c>
      <c r="AA25" s="5"/>
      <c r="AB25" s="5"/>
    </row>
    <row r="26" ht="14.25" customHeight="1">
      <c r="A26" s="5" t="s">
        <v>122</v>
      </c>
      <c r="B26" s="5" t="s">
        <v>123</v>
      </c>
      <c r="C26" s="5" t="s">
        <v>110</v>
      </c>
      <c r="D26" s="5" t="s">
        <v>29</v>
      </c>
      <c r="E26" s="6">
        <v>500.0</v>
      </c>
      <c r="F26" s="5" t="s">
        <v>30</v>
      </c>
      <c r="G26" s="6">
        <v>0.0</v>
      </c>
      <c r="H26" s="5"/>
      <c r="I26" s="6">
        <v>0.0</v>
      </c>
      <c r="J26" s="5"/>
      <c r="K26" s="6">
        <v>0.0</v>
      </c>
      <c r="L26" s="6">
        <v>39909.0</v>
      </c>
      <c r="M26" s="5" t="s">
        <v>56</v>
      </c>
      <c r="N26" s="6">
        <v>1.0</v>
      </c>
      <c r="O26" s="6">
        <v>0.0</v>
      </c>
      <c r="P26" s="6">
        <v>-1.4521</v>
      </c>
      <c r="Q26" s="6">
        <v>0.0</v>
      </c>
      <c r="R26" s="6">
        <v>0.0961</v>
      </c>
      <c r="S26" s="6">
        <v>1512.119995</v>
      </c>
      <c r="T26" s="6">
        <v>38.0</v>
      </c>
      <c r="U26" s="6">
        <f t="shared" si="2"/>
        <v>0</v>
      </c>
      <c r="V26" s="6">
        <f t="shared" si="3"/>
        <v>1012.17277</v>
      </c>
      <c r="W26" s="6">
        <f t="shared" si="4"/>
        <v>29.67657598</v>
      </c>
      <c r="X26" s="6">
        <f t="shared" si="5"/>
        <v>29.63925827</v>
      </c>
      <c r="Y26" s="6">
        <f t="shared" ref="Y26:Z26" si="29">_xlfn.NORM.S.DIST(W26)</f>
        <v>1</v>
      </c>
      <c r="Z26" s="6">
        <f t="shared" si="29"/>
        <v>1</v>
      </c>
      <c r="AA26" s="5"/>
      <c r="AB26" s="5"/>
    </row>
    <row r="27" ht="14.25" customHeight="1">
      <c r="A27" s="5" t="s">
        <v>122</v>
      </c>
      <c r="B27" s="5" t="s">
        <v>123</v>
      </c>
      <c r="C27" s="5" t="s">
        <v>110</v>
      </c>
      <c r="D27" s="5" t="s">
        <v>29</v>
      </c>
      <c r="E27" s="6">
        <v>500.0</v>
      </c>
      <c r="F27" s="5" t="s">
        <v>30</v>
      </c>
      <c r="G27" s="6">
        <v>0.0</v>
      </c>
      <c r="H27" s="5"/>
      <c r="I27" s="6">
        <v>0.0</v>
      </c>
      <c r="J27" s="5"/>
      <c r="K27" s="6">
        <v>0.0</v>
      </c>
      <c r="L27" s="6">
        <v>39909.0</v>
      </c>
      <c r="M27" s="5" t="s">
        <v>57</v>
      </c>
      <c r="N27" s="6">
        <v>1.0</v>
      </c>
      <c r="O27" s="6">
        <v>0.0</v>
      </c>
      <c r="P27" s="6">
        <v>-1.4521</v>
      </c>
      <c r="Q27" s="6">
        <v>0.0</v>
      </c>
      <c r="R27" s="6">
        <v>0.1112</v>
      </c>
      <c r="S27" s="6">
        <v>1509.390015</v>
      </c>
      <c r="T27" s="6">
        <v>37.0</v>
      </c>
      <c r="U27" s="6">
        <f t="shared" si="2"/>
        <v>0</v>
      </c>
      <c r="V27" s="6">
        <f t="shared" si="3"/>
        <v>1009.441401</v>
      </c>
      <c r="W27" s="6">
        <f t="shared" si="4"/>
        <v>25.95350899</v>
      </c>
      <c r="X27" s="6">
        <f t="shared" si="5"/>
        <v>25.91089959</v>
      </c>
      <c r="Y27" s="6">
        <f t="shared" ref="Y27:Z27" si="30">_xlfn.NORM.S.DIST(W27)</f>
        <v>1</v>
      </c>
      <c r="Z27" s="6">
        <f t="shared" si="30"/>
        <v>1</v>
      </c>
      <c r="AA27" s="5"/>
      <c r="AB27" s="5"/>
    </row>
    <row r="28" ht="14.25" customHeight="1">
      <c r="A28" s="5" t="s">
        <v>122</v>
      </c>
      <c r="B28" s="5" t="s">
        <v>123</v>
      </c>
      <c r="C28" s="5" t="s">
        <v>110</v>
      </c>
      <c r="D28" s="5" t="s">
        <v>29</v>
      </c>
      <c r="E28" s="6">
        <v>500.0</v>
      </c>
      <c r="F28" s="5" t="s">
        <v>30</v>
      </c>
      <c r="G28" s="6">
        <v>0.0</v>
      </c>
      <c r="H28" s="5"/>
      <c r="I28" s="6">
        <v>0.0</v>
      </c>
      <c r="J28" s="5"/>
      <c r="K28" s="6">
        <v>0.0</v>
      </c>
      <c r="L28" s="6">
        <v>40459.0</v>
      </c>
      <c r="M28" s="5" t="s">
        <v>58</v>
      </c>
      <c r="N28" s="6">
        <v>1.0</v>
      </c>
      <c r="O28" s="6">
        <v>0.0</v>
      </c>
      <c r="P28" s="6">
        <v>-1.4521</v>
      </c>
      <c r="Q28" s="6">
        <v>0.0</v>
      </c>
      <c r="R28" s="6">
        <v>0.0902</v>
      </c>
      <c r="S28" s="6">
        <v>1517.930054</v>
      </c>
      <c r="T28" s="6">
        <v>36.0</v>
      </c>
      <c r="U28" s="6">
        <f t="shared" si="2"/>
        <v>0</v>
      </c>
      <c r="V28" s="6">
        <f t="shared" si="3"/>
        <v>1017.980052</v>
      </c>
      <c r="W28" s="6">
        <f t="shared" si="4"/>
        <v>32.59307277</v>
      </c>
      <c r="X28" s="6">
        <f t="shared" si="5"/>
        <v>32.55898038</v>
      </c>
      <c r="Y28" s="6">
        <f t="shared" ref="Y28:Z28" si="31">_xlfn.NORM.S.DIST(W28)</f>
        <v>1</v>
      </c>
      <c r="Z28" s="6">
        <f t="shared" si="31"/>
        <v>1</v>
      </c>
      <c r="AA28" s="5"/>
      <c r="AB28" s="5"/>
    </row>
    <row r="29" ht="14.25" customHeight="1">
      <c r="A29" s="5" t="s">
        <v>122</v>
      </c>
      <c r="B29" s="5" t="s">
        <v>123</v>
      </c>
      <c r="C29" s="5" t="s">
        <v>110</v>
      </c>
      <c r="D29" s="5" t="s">
        <v>29</v>
      </c>
      <c r="E29" s="6">
        <v>500.0</v>
      </c>
      <c r="F29" s="5" t="s">
        <v>30</v>
      </c>
      <c r="G29" s="6">
        <v>0.0</v>
      </c>
      <c r="H29" s="5"/>
      <c r="I29" s="6">
        <v>0.0</v>
      </c>
      <c r="J29" s="5"/>
      <c r="K29" s="6">
        <v>0.0</v>
      </c>
      <c r="L29" s="6">
        <v>41759.0</v>
      </c>
      <c r="M29" s="5" t="s">
        <v>59</v>
      </c>
      <c r="N29" s="6">
        <v>1.0</v>
      </c>
      <c r="O29" s="6">
        <v>0.0</v>
      </c>
      <c r="P29" s="6">
        <v>-1.4521</v>
      </c>
      <c r="Q29" s="6">
        <v>0.0</v>
      </c>
      <c r="R29" s="6">
        <v>0.1043</v>
      </c>
      <c r="S29" s="6">
        <v>1517.01001</v>
      </c>
      <c r="T29" s="6">
        <v>33.0</v>
      </c>
      <c r="U29" s="6">
        <f t="shared" si="2"/>
        <v>0</v>
      </c>
      <c r="V29" s="6">
        <f t="shared" si="3"/>
        <v>1017.055841</v>
      </c>
      <c r="W29" s="6">
        <f t="shared" si="4"/>
        <v>29.42746171</v>
      </c>
      <c r="X29" s="6">
        <f t="shared" si="5"/>
        <v>29.38971831</v>
      </c>
      <c r="Y29" s="6">
        <f t="shared" ref="Y29:Z29" si="32">_xlfn.NORM.S.DIST(W29)</f>
        <v>1</v>
      </c>
      <c r="Z29" s="6">
        <f t="shared" si="32"/>
        <v>1</v>
      </c>
      <c r="AA29" s="5"/>
      <c r="AB29" s="5"/>
    </row>
    <row r="30" ht="14.25" customHeight="1">
      <c r="A30" s="5" t="s">
        <v>122</v>
      </c>
      <c r="B30" s="5" t="s">
        <v>123</v>
      </c>
      <c r="C30" s="5" t="s">
        <v>110</v>
      </c>
      <c r="D30" s="5" t="s">
        <v>29</v>
      </c>
      <c r="E30" s="6">
        <v>500.0</v>
      </c>
      <c r="F30" s="5" t="s">
        <v>30</v>
      </c>
      <c r="G30" s="6">
        <v>0.0</v>
      </c>
      <c r="H30" s="5"/>
      <c r="I30" s="6">
        <v>0.0</v>
      </c>
      <c r="J30" s="5"/>
      <c r="K30" s="6">
        <v>0.0</v>
      </c>
      <c r="L30" s="6">
        <v>41759.0</v>
      </c>
      <c r="M30" s="5" t="s">
        <v>60</v>
      </c>
      <c r="N30" s="6">
        <v>1.0</v>
      </c>
      <c r="O30" s="6">
        <v>0.0</v>
      </c>
      <c r="P30" s="6">
        <v>-1.4521</v>
      </c>
      <c r="Q30" s="6">
        <v>0.0</v>
      </c>
      <c r="R30" s="6">
        <v>0.1073</v>
      </c>
      <c r="S30" s="6">
        <v>1519.430054</v>
      </c>
      <c r="T30" s="6">
        <v>32.0</v>
      </c>
      <c r="U30" s="6">
        <f t="shared" si="2"/>
        <v>0</v>
      </c>
      <c r="V30" s="6">
        <f t="shared" si="3"/>
        <v>1019.474496</v>
      </c>
      <c r="W30" s="6">
        <f t="shared" si="4"/>
        <v>29.09031491</v>
      </c>
      <c r="X30" s="6">
        <f t="shared" si="5"/>
        <v>29.05207874</v>
      </c>
      <c r="Y30" s="6">
        <f t="shared" ref="Y30:Z30" si="33">_xlfn.NORM.S.DIST(W30)</f>
        <v>1</v>
      </c>
      <c r="Z30" s="6">
        <f t="shared" si="33"/>
        <v>1</v>
      </c>
      <c r="AA30" s="5"/>
      <c r="AB30" s="5"/>
    </row>
    <row r="31" ht="14.25" customHeight="1">
      <c r="A31" s="5" t="s">
        <v>122</v>
      </c>
      <c r="B31" s="5" t="s">
        <v>123</v>
      </c>
      <c r="C31" s="5" t="s">
        <v>110</v>
      </c>
      <c r="D31" s="5" t="s">
        <v>29</v>
      </c>
      <c r="E31" s="6">
        <v>500.0</v>
      </c>
      <c r="F31" s="5" t="s">
        <v>30</v>
      </c>
      <c r="G31" s="6">
        <v>0.0</v>
      </c>
      <c r="H31" s="5"/>
      <c r="I31" s="6">
        <v>0.0</v>
      </c>
      <c r="J31" s="5"/>
      <c r="K31" s="6">
        <v>0.0</v>
      </c>
      <c r="L31" s="6">
        <v>42409.0</v>
      </c>
      <c r="M31" s="5" t="s">
        <v>61</v>
      </c>
      <c r="N31" s="6">
        <v>1.0</v>
      </c>
      <c r="O31" s="6">
        <v>0.0</v>
      </c>
      <c r="P31" s="6">
        <v>-1.4521</v>
      </c>
      <c r="Q31" s="6">
        <v>0.0</v>
      </c>
      <c r="R31" s="6">
        <v>0.1062</v>
      </c>
      <c r="S31" s="6">
        <v>1520.329956</v>
      </c>
      <c r="T31" s="6">
        <v>31.0</v>
      </c>
      <c r="U31" s="6">
        <f t="shared" si="2"/>
        <v>0</v>
      </c>
      <c r="V31" s="6">
        <f t="shared" si="3"/>
        <v>1020.37301</v>
      </c>
      <c r="W31" s="6">
        <f t="shared" si="4"/>
        <v>29.87674299</v>
      </c>
      <c r="X31" s="6">
        <f t="shared" si="5"/>
        <v>29.83949481</v>
      </c>
      <c r="Y31" s="6">
        <f t="shared" ref="Y31:Z31" si="34">_xlfn.NORM.S.DIST(W31)</f>
        <v>1</v>
      </c>
      <c r="Z31" s="6">
        <f t="shared" si="34"/>
        <v>1</v>
      </c>
      <c r="AA31" s="5"/>
      <c r="AB31" s="5"/>
    </row>
    <row r="32" ht="14.25" customHeight="1">
      <c r="A32" s="5" t="s">
        <v>122</v>
      </c>
      <c r="B32" s="5" t="s">
        <v>123</v>
      </c>
      <c r="C32" s="5" t="s">
        <v>110</v>
      </c>
      <c r="D32" s="5" t="s">
        <v>29</v>
      </c>
      <c r="E32" s="6">
        <v>500.0</v>
      </c>
      <c r="F32" s="5" t="s">
        <v>30</v>
      </c>
      <c r="G32" s="6">
        <v>0.0</v>
      </c>
      <c r="H32" s="5"/>
      <c r="I32" s="6">
        <v>0.0</v>
      </c>
      <c r="J32" s="5"/>
      <c r="K32" s="6">
        <v>0.0</v>
      </c>
      <c r="L32" s="6">
        <v>42409.0</v>
      </c>
      <c r="M32" s="5" t="s">
        <v>62</v>
      </c>
      <c r="N32" s="6">
        <v>1.0</v>
      </c>
      <c r="O32" s="6">
        <v>0.0</v>
      </c>
      <c r="P32" s="6">
        <v>-1.4522</v>
      </c>
      <c r="Q32" s="6">
        <v>0.0</v>
      </c>
      <c r="R32" s="6">
        <v>0.1049</v>
      </c>
      <c r="S32" s="6">
        <v>1521.380005</v>
      </c>
      <c r="T32" s="6">
        <v>30.0</v>
      </c>
      <c r="U32" s="6">
        <f t="shared" si="2"/>
        <v>0</v>
      </c>
      <c r="V32" s="6">
        <f t="shared" si="3"/>
        <v>1021.42167</v>
      </c>
      <c r="W32" s="6">
        <f t="shared" si="4"/>
        <v>30.764912</v>
      </c>
      <c r="X32" s="6">
        <f t="shared" si="5"/>
        <v>30.72871806</v>
      </c>
      <c r="Y32" s="6">
        <f t="shared" ref="Y32:Z32" si="35">_xlfn.NORM.S.DIST(W32)</f>
        <v>1</v>
      </c>
      <c r="Z32" s="6">
        <f t="shared" si="35"/>
        <v>1</v>
      </c>
      <c r="AA32" s="5"/>
      <c r="AB32" s="5"/>
    </row>
    <row r="33" ht="14.25" customHeight="1">
      <c r="A33" s="5" t="s">
        <v>122</v>
      </c>
      <c r="B33" s="5" t="s">
        <v>123</v>
      </c>
      <c r="C33" s="5" t="s">
        <v>110</v>
      </c>
      <c r="D33" s="5" t="s">
        <v>29</v>
      </c>
      <c r="E33" s="6">
        <v>500.0</v>
      </c>
      <c r="F33" s="5" t="s">
        <v>30</v>
      </c>
      <c r="G33" s="6">
        <v>0.0</v>
      </c>
      <c r="H33" s="5"/>
      <c r="I33" s="6">
        <v>0.0</v>
      </c>
      <c r="J33" s="5"/>
      <c r="K33" s="6">
        <v>0.0</v>
      </c>
      <c r="L33" s="6">
        <v>42409.0</v>
      </c>
      <c r="M33" s="5" t="s">
        <v>63</v>
      </c>
      <c r="N33" s="6">
        <v>1.0</v>
      </c>
      <c r="O33" s="6">
        <v>0.0</v>
      </c>
      <c r="P33" s="6">
        <v>-1.4522</v>
      </c>
      <c r="Q33" s="6">
        <v>0.0</v>
      </c>
      <c r="R33" s="6">
        <v>0.1033</v>
      </c>
      <c r="S33" s="6">
        <v>1519.790039</v>
      </c>
      <c r="T33" s="6">
        <v>29.0</v>
      </c>
      <c r="U33" s="6">
        <f t="shared" si="2"/>
        <v>0</v>
      </c>
      <c r="V33" s="6">
        <f t="shared" si="3"/>
        <v>1019.830315</v>
      </c>
      <c r="W33" s="6">
        <f t="shared" si="4"/>
        <v>31.74441792</v>
      </c>
      <c r="X33" s="6">
        <f t="shared" si="5"/>
        <v>31.7093751</v>
      </c>
      <c r="Y33" s="6">
        <f t="shared" ref="Y33:Z33" si="36">_xlfn.NORM.S.DIST(W33)</f>
        <v>1</v>
      </c>
      <c r="Z33" s="6">
        <f t="shared" si="36"/>
        <v>1</v>
      </c>
      <c r="AA33" s="5"/>
      <c r="AB33" s="5"/>
    </row>
    <row r="34" ht="14.25" customHeight="1">
      <c r="A34" s="5" t="s">
        <v>122</v>
      </c>
      <c r="B34" s="5" t="s">
        <v>123</v>
      </c>
      <c r="C34" s="5" t="s">
        <v>110</v>
      </c>
      <c r="D34" s="5" t="s">
        <v>29</v>
      </c>
      <c r="E34" s="6">
        <v>500.0</v>
      </c>
      <c r="F34" s="5" t="s">
        <v>30</v>
      </c>
      <c r="G34" s="6">
        <v>0.0</v>
      </c>
      <c r="H34" s="5"/>
      <c r="I34" s="6">
        <v>0.0</v>
      </c>
      <c r="J34" s="5"/>
      <c r="K34" s="6">
        <v>0.0</v>
      </c>
      <c r="L34" s="6">
        <v>46059.0</v>
      </c>
      <c r="M34" s="5" t="s">
        <v>64</v>
      </c>
      <c r="N34" s="6">
        <v>1.0</v>
      </c>
      <c r="O34" s="6">
        <v>0.0</v>
      </c>
      <c r="P34" s="6">
        <v>-1.4522</v>
      </c>
      <c r="Q34" s="6">
        <v>0.0</v>
      </c>
      <c r="R34" s="6">
        <v>0.0931</v>
      </c>
      <c r="S34" s="6">
        <v>1530.939941</v>
      </c>
      <c r="T34" s="6">
        <v>25.0</v>
      </c>
      <c r="U34" s="6">
        <f t="shared" si="2"/>
        <v>0</v>
      </c>
      <c r="V34" s="6">
        <f t="shared" si="3"/>
        <v>1030.974662</v>
      </c>
      <c r="W34" s="6">
        <f t="shared" si="4"/>
        <v>38.17822393</v>
      </c>
      <c r="X34" s="6">
        <f t="shared" si="5"/>
        <v>38.14890018</v>
      </c>
      <c r="Y34" s="6">
        <f t="shared" ref="Y34:Z34" si="37">_xlfn.NORM.S.DIST(W34)</f>
        <v>1</v>
      </c>
      <c r="Z34" s="6">
        <f t="shared" si="37"/>
        <v>1</v>
      </c>
      <c r="AA34" s="5"/>
      <c r="AB34" s="5"/>
    </row>
    <row r="35" ht="14.25" customHeight="1">
      <c r="A35" s="5" t="s">
        <v>122</v>
      </c>
      <c r="B35" s="5" t="s">
        <v>123</v>
      </c>
      <c r="C35" s="5" t="s">
        <v>110</v>
      </c>
      <c r="D35" s="5" t="s">
        <v>29</v>
      </c>
      <c r="E35" s="6">
        <v>500.0</v>
      </c>
      <c r="F35" s="5" t="s">
        <v>30</v>
      </c>
      <c r="G35" s="6">
        <v>0.0</v>
      </c>
      <c r="H35" s="5"/>
      <c r="I35" s="6">
        <v>0.0</v>
      </c>
      <c r="J35" s="5"/>
      <c r="K35" s="6">
        <v>0.0</v>
      </c>
      <c r="L35" s="6">
        <v>49244.0</v>
      </c>
      <c r="M35" s="5" t="s">
        <v>65</v>
      </c>
      <c r="N35" s="6">
        <v>1.0</v>
      </c>
      <c r="O35" s="6">
        <v>0.0</v>
      </c>
      <c r="P35" s="6">
        <v>-1.4522</v>
      </c>
      <c r="Q35" s="6">
        <v>0.0</v>
      </c>
      <c r="R35" s="6">
        <v>0.1163</v>
      </c>
      <c r="S35" s="6">
        <v>1511.949951</v>
      </c>
      <c r="T35" s="6">
        <v>24.0</v>
      </c>
      <c r="U35" s="6">
        <f t="shared" si="2"/>
        <v>0</v>
      </c>
      <c r="V35" s="6">
        <f t="shared" si="3"/>
        <v>1011.983283</v>
      </c>
      <c r="W35" s="6">
        <f t="shared" si="4"/>
        <v>30.85061331</v>
      </c>
      <c r="X35" s="6">
        <f t="shared" si="5"/>
        <v>30.81472235</v>
      </c>
      <c r="Y35" s="6">
        <f t="shared" ref="Y35:Z35" si="38">_xlfn.NORM.S.DIST(W35)</f>
        <v>1</v>
      </c>
      <c r="Z35" s="6">
        <f t="shared" si="38"/>
        <v>1</v>
      </c>
      <c r="AA35" s="5"/>
      <c r="AB35" s="5"/>
    </row>
    <row r="36" ht="14.25" customHeight="1">
      <c r="A36" s="5" t="s">
        <v>122</v>
      </c>
      <c r="B36" s="5" t="s">
        <v>123</v>
      </c>
      <c r="C36" s="5" t="s">
        <v>110</v>
      </c>
      <c r="D36" s="5" t="s">
        <v>29</v>
      </c>
      <c r="E36" s="6">
        <v>500.0</v>
      </c>
      <c r="F36" s="5" t="s">
        <v>30</v>
      </c>
      <c r="G36" s="6">
        <v>0.0</v>
      </c>
      <c r="H36" s="5"/>
      <c r="I36" s="6">
        <v>0.0</v>
      </c>
      <c r="J36" s="5"/>
      <c r="K36" s="6">
        <v>0.0</v>
      </c>
      <c r="L36" s="6">
        <v>49244.0</v>
      </c>
      <c r="M36" s="5" t="s">
        <v>66</v>
      </c>
      <c r="N36" s="6">
        <v>1.0</v>
      </c>
      <c r="O36" s="6">
        <v>0.0</v>
      </c>
      <c r="P36" s="6">
        <v>-1.4522</v>
      </c>
      <c r="Q36" s="6">
        <v>0.0</v>
      </c>
      <c r="R36" s="6">
        <v>0.1414</v>
      </c>
      <c r="S36" s="6">
        <v>1502.420044</v>
      </c>
      <c r="T36" s="6">
        <v>23.0</v>
      </c>
      <c r="U36" s="6">
        <f t="shared" si="2"/>
        <v>0</v>
      </c>
      <c r="V36" s="6">
        <f t="shared" si="3"/>
        <v>1002.451987</v>
      </c>
      <c r="W36" s="6">
        <f t="shared" si="4"/>
        <v>25.77824857</v>
      </c>
      <c r="X36" s="6">
        <f t="shared" si="5"/>
        <v>25.73553036</v>
      </c>
      <c r="Y36" s="6">
        <f t="shared" ref="Y36:Z36" si="39">_xlfn.NORM.S.DIST(W36)</f>
        <v>1</v>
      </c>
      <c r="Z36" s="6">
        <f t="shared" si="39"/>
        <v>1</v>
      </c>
      <c r="AA36" s="5"/>
      <c r="AB36" s="5"/>
    </row>
    <row r="37" ht="14.25" customHeight="1">
      <c r="A37" s="5" t="s">
        <v>122</v>
      </c>
      <c r="B37" s="5" t="s">
        <v>123</v>
      </c>
      <c r="C37" s="5" t="s">
        <v>110</v>
      </c>
      <c r="D37" s="5" t="s">
        <v>29</v>
      </c>
      <c r="E37" s="6">
        <v>500.0</v>
      </c>
      <c r="F37" s="5" t="s">
        <v>30</v>
      </c>
      <c r="G37" s="6">
        <v>1012.3</v>
      </c>
      <c r="H37" s="5"/>
      <c r="I37" s="6">
        <v>1015.3</v>
      </c>
      <c r="J37" s="5"/>
      <c r="K37" s="6">
        <v>0.0</v>
      </c>
      <c r="L37" s="6">
        <v>49244.0</v>
      </c>
      <c r="M37" s="5" t="s">
        <v>67</v>
      </c>
      <c r="N37" s="6">
        <v>1.0</v>
      </c>
      <c r="O37" s="6">
        <v>0.0</v>
      </c>
      <c r="P37" s="6">
        <v>-1.4523</v>
      </c>
      <c r="Q37" s="6">
        <v>0.0</v>
      </c>
      <c r="R37" s="6">
        <v>0.1394</v>
      </c>
      <c r="S37" s="6">
        <v>1515.599976</v>
      </c>
      <c r="T37" s="6">
        <v>22.0</v>
      </c>
      <c r="U37" s="6">
        <f t="shared" si="2"/>
        <v>1013.8</v>
      </c>
      <c r="V37" s="6">
        <f t="shared" si="3"/>
        <v>1015.630531</v>
      </c>
      <c r="W37" s="6">
        <f t="shared" si="4"/>
        <v>26.94619526</v>
      </c>
      <c r="X37" s="6">
        <f t="shared" si="5"/>
        <v>26.90500696</v>
      </c>
      <c r="Y37" s="6">
        <f t="shared" ref="Y37:Z37" si="40">_xlfn.NORM.S.DIST(W37)</f>
        <v>1</v>
      </c>
      <c r="Z37" s="6">
        <f t="shared" si="40"/>
        <v>1</v>
      </c>
      <c r="AA37" s="5"/>
      <c r="AB37" s="5"/>
    </row>
    <row r="38" ht="14.25" customHeight="1">
      <c r="A38" s="5" t="s">
        <v>122</v>
      </c>
      <c r="B38" s="5" t="s">
        <v>123</v>
      </c>
      <c r="C38" s="5" t="s">
        <v>110</v>
      </c>
      <c r="D38" s="5" t="s">
        <v>29</v>
      </c>
      <c r="E38" s="6">
        <v>500.0</v>
      </c>
      <c r="F38" s="5" t="s">
        <v>30</v>
      </c>
      <c r="G38" s="6">
        <v>977.6</v>
      </c>
      <c r="H38" s="5"/>
      <c r="I38" s="6">
        <v>993.6</v>
      </c>
      <c r="J38" s="5"/>
      <c r="K38" s="6">
        <v>350.0</v>
      </c>
      <c r="L38" s="6">
        <v>49244.0</v>
      </c>
      <c r="M38" s="5" t="s">
        <v>68</v>
      </c>
      <c r="N38" s="6">
        <v>1.0</v>
      </c>
      <c r="O38" s="6">
        <v>0.0</v>
      </c>
      <c r="P38" s="6">
        <v>-1.4523</v>
      </c>
      <c r="Q38" s="6">
        <v>0.0</v>
      </c>
      <c r="R38" s="6">
        <v>0.1879</v>
      </c>
      <c r="S38" s="6">
        <v>1487.849976</v>
      </c>
      <c r="T38" s="6">
        <v>19.0</v>
      </c>
      <c r="U38" s="6">
        <f t="shared" si="2"/>
        <v>985.6</v>
      </c>
      <c r="V38" s="6">
        <f t="shared" si="3"/>
        <v>987.8763642</v>
      </c>
      <c r="W38" s="6">
        <f t="shared" si="4"/>
        <v>21.16239733</v>
      </c>
      <c r="X38" s="6">
        <f t="shared" si="5"/>
        <v>21.11080284</v>
      </c>
      <c r="Y38" s="6">
        <f t="shared" ref="Y38:Z38" si="41">_xlfn.NORM.S.DIST(W38)</f>
        <v>1</v>
      </c>
      <c r="Z38" s="6">
        <f t="shared" si="41"/>
        <v>1</v>
      </c>
      <c r="AA38" s="5"/>
      <c r="AB38" s="5"/>
    </row>
    <row r="39" ht="14.25" customHeight="1">
      <c r="A39" s="5" t="s">
        <v>122</v>
      </c>
      <c r="B39" s="5" t="s">
        <v>123</v>
      </c>
      <c r="C39" s="5" t="s">
        <v>110</v>
      </c>
      <c r="D39" s="5" t="s">
        <v>29</v>
      </c>
      <c r="E39" s="6">
        <v>500.0</v>
      </c>
      <c r="F39" s="5" t="s">
        <v>30</v>
      </c>
      <c r="G39" s="6">
        <v>0.0</v>
      </c>
      <c r="H39" s="5"/>
      <c r="I39" s="6">
        <v>0.0</v>
      </c>
      <c r="J39" s="5"/>
      <c r="K39" s="6">
        <v>0.0</v>
      </c>
      <c r="L39" s="6">
        <v>49244.0</v>
      </c>
      <c r="M39" s="5" t="s">
        <v>69</v>
      </c>
      <c r="N39" s="6">
        <v>1.0</v>
      </c>
      <c r="O39" s="6">
        <v>0.0</v>
      </c>
      <c r="P39" s="6">
        <v>-1.4523</v>
      </c>
      <c r="Q39" s="6">
        <v>0.0</v>
      </c>
      <c r="R39" s="6">
        <v>0.1463</v>
      </c>
      <c r="S39" s="6">
        <v>1496.939941</v>
      </c>
      <c r="T39" s="6">
        <v>18.0</v>
      </c>
      <c r="U39" s="6">
        <f t="shared" si="2"/>
        <v>0</v>
      </c>
      <c r="V39" s="6">
        <f t="shared" si="3"/>
        <v>996.9649404</v>
      </c>
      <c r="W39" s="6">
        <f t="shared" si="4"/>
        <v>28.0658724</v>
      </c>
      <c r="X39" s="6">
        <f t="shared" si="5"/>
        <v>28.02677208</v>
      </c>
      <c r="Y39" s="6">
        <f t="shared" ref="Y39:Z39" si="42">_xlfn.NORM.S.DIST(W39)</f>
        <v>1</v>
      </c>
      <c r="Z39" s="6">
        <f t="shared" si="42"/>
        <v>1</v>
      </c>
      <c r="AA39" s="5"/>
      <c r="AB39" s="5"/>
    </row>
    <row r="40" ht="14.25" customHeight="1">
      <c r="A40" s="5" t="s">
        <v>122</v>
      </c>
      <c r="B40" s="5" t="s">
        <v>123</v>
      </c>
      <c r="C40" s="5" t="s">
        <v>110</v>
      </c>
      <c r="D40" s="5" t="s">
        <v>29</v>
      </c>
      <c r="E40" s="6">
        <v>500.0</v>
      </c>
      <c r="F40" s="5" t="s">
        <v>30</v>
      </c>
      <c r="G40" s="6">
        <v>1014.4</v>
      </c>
      <c r="H40" s="5"/>
      <c r="I40" s="6">
        <v>1016.6</v>
      </c>
      <c r="J40" s="5"/>
      <c r="K40" s="6">
        <v>0.0</v>
      </c>
      <c r="L40" s="6">
        <v>49244.0</v>
      </c>
      <c r="M40" s="5" t="s">
        <v>70</v>
      </c>
      <c r="N40" s="6">
        <v>1.0</v>
      </c>
      <c r="O40" s="6">
        <v>0.0</v>
      </c>
      <c r="P40" s="6">
        <v>-1.4523</v>
      </c>
      <c r="Q40" s="6">
        <v>0.0</v>
      </c>
      <c r="R40" s="6">
        <v>0.1641</v>
      </c>
      <c r="S40" s="6">
        <v>1515.98999</v>
      </c>
      <c r="T40" s="6">
        <v>17.0</v>
      </c>
      <c r="U40" s="6">
        <f t="shared" si="2"/>
        <v>1015.5</v>
      </c>
      <c r="V40" s="6">
        <f t="shared" si="3"/>
        <v>1016.013601</v>
      </c>
      <c r="W40" s="6">
        <f t="shared" si="4"/>
        <v>26.04697323</v>
      </c>
      <c r="X40" s="6">
        <f t="shared" si="5"/>
        <v>26.00435133</v>
      </c>
      <c r="Y40" s="6">
        <f t="shared" ref="Y40:Z40" si="43">_xlfn.NORM.S.DIST(W40)</f>
        <v>1</v>
      </c>
      <c r="Z40" s="6">
        <f t="shared" si="43"/>
        <v>1</v>
      </c>
      <c r="AA40" s="5"/>
      <c r="AB40" s="5"/>
    </row>
    <row r="41" ht="14.25" customHeight="1">
      <c r="A41" s="5" t="s">
        <v>122</v>
      </c>
      <c r="B41" s="5" t="s">
        <v>123</v>
      </c>
      <c r="C41" s="5" t="s">
        <v>110</v>
      </c>
      <c r="D41" s="5" t="s">
        <v>29</v>
      </c>
      <c r="E41" s="6">
        <v>500.0</v>
      </c>
      <c r="F41" s="5" t="s">
        <v>30</v>
      </c>
      <c r="G41" s="6">
        <v>0.0</v>
      </c>
      <c r="H41" s="5"/>
      <c r="I41" s="6">
        <v>0.0</v>
      </c>
      <c r="J41" s="5"/>
      <c r="K41" s="6">
        <v>0.0</v>
      </c>
      <c r="L41" s="6">
        <v>49244.0</v>
      </c>
      <c r="M41" s="5" t="s">
        <v>71</v>
      </c>
      <c r="N41" s="6">
        <v>1.0</v>
      </c>
      <c r="O41" s="6">
        <v>0.0</v>
      </c>
      <c r="P41" s="6">
        <v>-1.4523</v>
      </c>
      <c r="Q41" s="6">
        <v>0.0</v>
      </c>
      <c r="R41" s="6">
        <v>0.1109</v>
      </c>
      <c r="S41" s="6">
        <v>1514.680054</v>
      </c>
      <c r="T41" s="6">
        <v>16.0</v>
      </c>
      <c r="U41" s="6">
        <f t="shared" si="2"/>
        <v>0</v>
      </c>
      <c r="V41" s="6">
        <f t="shared" si="3"/>
        <v>1014.702276</v>
      </c>
      <c r="W41" s="6">
        <f t="shared" si="4"/>
        <v>39.67862208</v>
      </c>
      <c r="X41" s="6">
        <f t="shared" si="5"/>
        <v>39.65067791</v>
      </c>
      <c r="Y41" s="6">
        <f t="shared" ref="Y41:Z41" si="44">_xlfn.NORM.S.DIST(W41)</f>
        <v>1</v>
      </c>
      <c r="Z41" s="6">
        <f t="shared" si="44"/>
        <v>1</v>
      </c>
      <c r="AA41" s="5"/>
      <c r="AB41" s="5"/>
    </row>
    <row r="42" ht="14.25" customHeight="1">
      <c r="A42" s="5" t="s">
        <v>122</v>
      </c>
      <c r="B42" s="5" t="s">
        <v>123</v>
      </c>
      <c r="C42" s="5" t="s">
        <v>110</v>
      </c>
      <c r="D42" s="5" t="s">
        <v>29</v>
      </c>
      <c r="E42" s="6">
        <v>500.0</v>
      </c>
      <c r="F42" s="5" t="s">
        <v>30</v>
      </c>
      <c r="G42" s="6">
        <v>1014.7</v>
      </c>
      <c r="H42" s="5"/>
      <c r="I42" s="6">
        <v>1017.6</v>
      </c>
      <c r="J42" s="5"/>
      <c r="K42" s="6">
        <v>0.0</v>
      </c>
      <c r="L42" s="6">
        <v>49244.0</v>
      </c>
      <c r="M42" s="5" t="s">
        <v>72</v>
      </c>
      <c r="N42" s="6">
        <v>1.0</v>
      </c>
      <c r="O42" s="6">
        <v>0.0</v>
      </c>
      <c r="P42" s="6">
        <v>-1.4093</v>
      </c>
      <c r="Q42" s="6">
        <v>0.0</v>
      </c>
      <c r="R42" s="6">
        <v>0.1278</v>
      </c>
      <c r="S42" s="6">
        <v>1518.199951</v>
      </c>
      <c r="T42" s="6">
        <v>15.0</v>
      </c>
      <c r="U42" s="6">
        <f t="shared" si="2"/>
        <v>1016.15</v>
      </c>
      <c r="V42" s="6">
        <f t="shared" si="3"/>
        <v>1018.220784</v>
      </c>
      <c r="W42" s="6">
        <f t="shared" si="4"/>
        <v>35.63823197</v>
      </c>
      <c r="X42" s="6">
        <f t="shared" si="5"/>
        <v>35.60705196</v>
      </c>
      <c r="Y42" s="6">
        <f t="shared" ref="Y42:Z42" si="45">_xlfn.NORM.S.DIST(W42)</f>
        <v>1</v>
      </c>
      <c r="Z42" s="6">
        <f t="shared" si="45"/>
        <v>1</v>
      </c>
      <c r="AA42" s="5"/>
      <c r="AB42" s="5"/>
    </row>
    <row r="43" ht="14.25" customHeight="1">
      <c r="A43" s="5" t="s">
        <v>122</v>
      </c>
      <c r="B43" s="5" t="s">
        <v>123</v>
      </c>
      <c r="C43" s="5" t="s">
        <v>110</v>
      </c>
      <c r="D43" s="5" t="s">
        <v>29</v>
      </c>
      <c r="E43" s="6">
        <v>500.0</v>
      </c>
      <c r="F43" s="5" t="s">
        <v>30</v>
      </c>
      <c r="G43" s="6">
        <v>1023.5</v>
      </c>
      <c r="H43" s="5"/>
      <c r="I43" s="6">
        <v>1026.0</v>
      </c>
      <c r="J43" s="5"/>
      <c r="K43" s="6">
        <v>0.0</v>
      </c>
      <c r="L43" s="6">
        <v>49244.0</v>
      </c>
      <c r="M43" s="5" t="s">
        <v>73</v>
      </c>
      <c r="N43" s="6">
        <v>1.0</v>
      </c>
      <c r="O43" s="6">
        <v>0.0</v>
      </c>
      <c r="P43" s="6">
        <v>-1.4094</v>
      </c>
      <c r="Q43" s="6">
        <v>0.0</v>
      </c>
      <c r="R43" s="6">
        <v>0.1439</v>
      </c>
      <c r="S43" s="6">
        <v>1525.199951</v>
      </c>
      <c r="T43" s="6">
        <v>12.0</v>
      </c>
      <c r="U43" s="6">
        <f t="shared" si="2"/>
        <v>1024.75</v>
      </c>
      <c r="V43" s="6">
        <f t="shared" si="3"/>
        <v>1025.216617</v>
      </c>
      <c r="W43" s="6">
        <f t="shared" si="4"/>
        <v>35.53324288</v>
      </c>
      <c r="X43" s="6">
        <f t="shared" si="5"/>
        <v>35.50184133</v>
      </c>
      <c r="Y43" s="6">
        <f t="shared" ref="Y43:Z43" si="46">_xlfn.NORM.S.DIST(W43)</f>
        <v>1</v>
      </c>
      <c r="Z43" s="6">
        <f t="shared" si="46"/>
        <v>1</v>
      </c>
      <c r="AA43" s="5"/>
      <c r="AB43" s="5"/>
    </row>
    <row r="44" ht="14.25" customHeight="1">
      <c r="A44" s="5" t="s">
        <v>122</v>
      </c>
      <c r="B44" s="5" t="s">
        <v>123</v>
      </c>
      <c r="C44" s="5" t="s">
        <v>110</v>
      </c>
      <c r="D44" s="5" t="s">
        <v>29</v>
      </c>
      <c r="E44" s="6">
        <v>500.0</v>
      </c>
      <c r="F44" s="5" t="s">
        <v>30</v>
      </c>
      <c r="G44" s="6">
        <v>0.0</v>
      </c>
      <c r="H44" s="5"/>
      <c r="I44" s="6">
        <v>0.0</v>
      </c>
      <c r="J44" s="5"/>
      <c r="K44" s="6">
        <v>0.0</v>
      </c>
      <c r="L44" s="6">
        <v>49244.0</v>
      </c>
      <c r="M44" s="5" t="s">
        <v>74</v>
      </c>
      <c r="N44" s="6">
        <v>1.0</v>
      </c>
      <c r="O44" s="6">
        <v>0.0</v>
      </c>
      <c r="P44" s="6">
        <v>-1.4094</v>
      </c>
      <c r="Q44" s="6">
        <v>0.0</v>
      </c>
      <c r="R44" s="6">
        <v>0.0927</v>
      </c>
      <c r="S44" s="6">
        <v>1539.790039</v>
      </c>
      <c r="T44" s="6">
        <v>11.0</v>
      </c>
      <c r="U44" s="6">
        <f t="shared" si="2"/>
        <v>0</v>
      </c>
      <c r="V44" s="6">
        <f t="shared" si="3"/>
        <v>1039.805317</v>
      </c>
      <c r="W44" s="6">
        <f t="shared" si="4"/>
        <v>58.08728798</v>
      </c>
      <c r="X44" s="6">
        <f t="shared" si="5"/>
        <v>58.06792038</v>
      </c>
      <c r="Y44" s="6">
        <f t="shared" ref="Y44:Z44" si="47">_xlfn.NORM.S.DIST(W44)</f>
        <v>1</v>
      </c>
      <c r="Z44" s="6">
        <f t="shared" si="47"/>
        <v>1</v>
      </c>
      <c r="AA44" s="5"/>
      <c r="AB44" s="5"/>
    </row>
    <row r="45" ht="14.25" customHeight="1">
      <c r="A45" s="5" t="s">
        <v>122</v>
      </c>
      <c r="B45" s="5" t="s">
        <v>123</v>
      </c>
      <c r="C45" s="5" t="s">
        <v>110</v>
      </c>
      <c r="D45" s="5" t="s">
        <v>29</v>
      </c>
      <c r="E45" s="6">
        <v>500.0</v>
      </c>
      <c r="F45" s="5" t="s">
        <v>30</v>
      </c>
      <c r="G45" s="6">
        <v>1038.1</v>
      </c>
      <c r="H45" s="5"/>
      <c r="I45" s="6">
        <v>1040.8</v>
      </c>
      <c r="J45" s="5"/>
      <c r="K45" s="6">
        <v>0.0</v>
      </c>
      <c r="L45" s="6">
        <v>49244.0</v>
      </c>
      <c r="M45" s="5" t="s">
        <v>75</v>
      </c>
      <c r="N45" s="6">
        <v>1.0</v>
      </c>
      <c r="O45" s="6">
        <v>0.0</v>
      </c>
      <c r="P45" s="6">
        <v>-1.4094</v>
      </c>
      <c r="Q45" s="6">
        <v>0.0</v>
      </c>
      <c r="R45" s="6">
        <v>0.0948</v>
      </c>
      <c r="S45" s="6">
        <v>1541.459961</v>
      </c>
      <c r="T45" s="6">
        <v>10.0</v>
      </c>
      <c r="U45" s="6">
        <f t="shared" si="2"/>
        <v>1039.45</v>
      </c>
      <c r="V45" s="6">
        <f t="shared" si="3"/>
        <v>1041.47385</v>
      </c>
      <c r="W45" s="6">
        <f t="shared" si="4"/>
        <v>59.62967441</v>
      </c>
      <c r="X45" s="6">
        <f t="shared" si="5"/>
        <v>59.6107898</v>
      </c>
      <c r="Y45" s="6">
        <f t="shared" ref="Y45:Z45" si="48">_xlfn.NORM.S.DIST(W45)</f>
        <v>1</v>
      </c>
      <c r="Z45" s="6">
        <f t="shared" si="48"/>
        <v>1</v>
      </c>
      <c r="AA45" s="5"/>
      <c r="AB45" s="5"/>
    </row>
    <row r="46" ht="14.25" customHeight="1">
      <c r="A46" s="5" t="s">
        <v>122</v>
      </c>
      <c r="B46" s="5" t="s">
        <v>123</v>
      </c>
      <c r="C46" s="5" t="s">
        <v>110</v>
      </c>
      <c r="D46" s="5" t="s">
        <v>29</v>
      </c>
      <c r="E46" s="6">
        <v>500.0</v>
      </c>
      <c r="F46" s="5" t="s">
        <v>30</v>
      </c>
      <c r="G46" s="6">
        <v>1041.9</v>
      </c>
      <c r="H46" s="5"/>
      <c r="I46" s="6">
        <v>1044.6</v>
      </c>
      <c r="J46" s="5"/>
      <c r="K46" s="6">
        <v>0.0</v>
      </c>
      <c r="L46" s="6">
        <v>49244.0</v>
      </c>
      <c r="M46" s="5" t="s">
        <v>76</v>
      </c>
      <c r="N46" s="6">
        <v>1.0</v>
      </c>
      <c r="O46" s="6">
        <v>0.0</v>
      </c>
      <c r="P46" s="6">
        <v>-1.4094</v>
      </c>
      <c r="Q46" s="6">
        <v>0.0</v>
      </c>
      <c r="R46" s="6">
        <v>0.0985</v>
      </c>
      <c r="S46" s="6">
        <v>1544.26001</v>
      </c>
      <c r="T46" s="6">
        <v>9.0</v>
      </c>
      <c r="U46" s="6">
        <f t="shared" si="2"/>
        <v>1043.25</v>
      </c>
      <c r="V46" s="6">
        <f t="shared" si="3"/>
        <v>1044.27251</v>
      </c>
      <c r="W46" s="6">
        <f t="shared" si="4"/>
        <v>60.59121153</v>
      </c>
      <c r="X46" s="6">
        <f t="shared" si="5"/>
        <v>60.57259678</v>
      </c>
      <c r="Y46" s="6">
        <f t="shared" ref="Y46:Z46" si="49">_xlfn.NORM.S.DIST(W46)</f>
        <v>1</v>
      </c>
      <c r="Z46" s="6">
        <f t="shared" si="49"/>
        <v>1</v>
      </c>
      <c r="AA46" s="5"/>
      <c r="AB46" s="5"/>
    </row>
    <row r="47" ht="14.25" customHeight="1">
      <c r="A47" s="5" t="s">
        <v>122</v>
      </c>
      <c r="B47" s="5" t="s">
        <v>123</v>
      </c>
      <c r="C47" s="5" t="s">
        <v>110</v>
      </c>
      <c r="D47" s="5" t="s">
        <v>29</v>
      </c>
      <c r="E47" s="6">
        <v>500.0</v>
      </c>
      <c r="F47" s="5" t="s">
        <v>30</v>
      </c>
      <c r="G47" s="6">
        <v>0.0</v>
      </c>
      <c r="H47" s="5"/>
      <c r="I47" s="6">
        <v>0.0</v>
      </c>
      <c r="J47" s="5"/>
      <c r="K47" s="6">
        <v>0.0</v>
      </c>
      <c r="L47" s="6">
        <v>49244.0</v>
      </c>
      <c r="M47" s="5" t="s">
        <v>77</v>
      </c>
      <c r="N47" s="6">
        <v>1.0</v>
      </c>
      <c r="O47" s="6">
        <v>0.0</v>
      </c>
      <c r="P47" s="6">
        <v>-1.4094</v>
      </c>
      <c r="Q47" s="6">
        <v>0.0</v>
      </c>
      <c r="R47" s="6">
        <v>0.0709</v>
      </c>
      <c r="S47" s="6">
        <v>1551.180054</v>
      </c>
      <c r="T47" s="6">
        <v>8.0</v>
      </c>
      <c r="U47" s="6">
        <f t="shared" si="2"/>
        <v>0</v>
      </c>
      <c r="V47" s="6">
        <f t="shared" si="3"/>
        <v>1051.191165</v>
      </c>
      <c r="W47" s="6">
        <f t="shared" si="4"/>
        <v>89.63078207</v>
      </c>
      <c r="X47" s="6">
        <f t="shared" si="5"/>
        <v>89.61814952</v>
      </c>
      <c r="Y47" s="6">
        <f t="shared" ref="Y47:Z47" si="50">_xlfn.NORM.S.DIST(W47)</f>
        <v>1</v>
      </c>
      <c r="Z47" s="6">
        <f t="shared" si="50"/>
        <v>1</v>
      </c>
      <c r="AA47" s="5"/>
      <c r="AB47" s="5"/>
    </row>
    <row r="48" ht="14.25" customHeight="1">
      <c r="A48" s="5" t="s">
        <v>122</v>
      </c>
      <c r="B48" s="5" t="s">
        <v>123</v>
      </c>
      <c r="C48" s="5" t="s">
        <v>110</v>
      </c>
      <c r="D48" s="5" t="s">
        <v>29</v>
      </c>
      <c r="E48" s="6">
        <v>500.0</v>
      </c>
      <c r="F48" s="5" t="s">
        <v>30</v>
      </c>
      <c r="G48" s="6">
        <v>1054.3</v>
      </c>
      <c r="H48" s="5"/>
      <c r="I48" s="6">
        <v>1056.8</v>
      </c>
      <c r="J48" s="5"/>
      <c r="K48" s="6">
        <v>9000.0</v>
      </c>
      <c r="L48" s="6">
        <v>49244.0</v>
      </c>
      <c r="M48" s="5" t="s">
        <v>78</v>
      </c>
      <c r="N48" s="6">
        <v>1.0</v>
      </c>
      <c r="O48" s="6">
        <v>0.0</v>
      </c>
      <c r="P48" s="6">
        <v>-1.4095</v>
      </c>
      <c r="Q48" s="6">
        <v>0.0</v>
      </c>
      <c r="R48" s="6">
        <v>0.0895</v>
      </c>
      <c r="S48" s="6">
        <v>1556.219971</v>
      </c>
      <c r="T48" s="6">
        <v>5.0</v>
      </c>
      <c r="U48" s="6">
        <f t="shared" si="2"/>
        <v>1055.55</v>
      </c>
      <c r="V48" s="6">
        <f t="shared" si="3"/>
        <v>1056.226915</v>
      </c>
      <c r="W48" s="6">
        <f t="shared" si="4"/>
        <v>90.0698614</v>
      </c>
      <c r="X48" s="6">
        <f t="shared" si="5"/>
        <v>90.05725451</v>
      </c>
      <c r="Y48" s="6">
        <f t="shared" ref="Y48:Z48" si="51">_xlfn.NORM.S.DIST(W48)</f>
        <v>1</v>
      </c>
      <c r="Z48" s="6">
        <f t="shared" si="51"/>
        <v>1</v>
      </c>
      <c r="AA48" s="5"/>
      <c r="AB48" s="5"/>
    </row>
    <row r="49" ht="14.25" customHeight="1">
      <c r="A49" s="5" t="s">
        <v>122</v>
      </c>
      <c r="B49" s="5" t="s">
        <v>123</v>
      </c>
      <c r="C49" s="5" t="s">
        <v>110</v>
      </c>
      <c r="D49" s="5" t="s">
        <v>29</v>
      </c>
      <c r="E49" s="6">
        <v>500.0</v>
      </c>
      <c r="F49" s="5" t="s">
        <v>30</v>
      </c>
      <c r="G49" s="6">
        <v>1050.8</v>
      </c>
      <c r="H49" s="5"/>
      <c r="I49" s="6">
        <v>1053.3</v>
      </c>
      <c r="J49" s="5"/>
      <c r="K49" s="6">
        <v>5600.0</v>
      </c>
      <c r="L49" s="6">
        <v>51145.0</v>
      </c>
      <c r="M49" s="5" t="s">
        <v>79</v>
      </c>
      <c r="N49" s="6">
        <v>1.0</v>
      </c>
      <c r="O49" s="6">
        <v>0.0</v>
      </c>
      <c r="P49" s="6">
        <v>-1.4095</v>
      </c>
      <c r="Q49" s="6">
        <v>0.0</v>
      </c>
      <c r="R49" s="6">
        <v>0.1095</v>
      </c>
      <c r="S49" s="6">
        <v>1552.47998</v>
      </c>
      <c r="T49" s="6">
        <v>4.0</v>
      </c>
      <c r="U49" s="6">
        <f t="shared" si="2"/>
        <v>1052.05</v>
      </c>
      <c r="V49" s="6">
        <f t="shared" si="3"/>
        <v>1052.485536</v>
      </c>
      <c r="W49" s="6">
        <f t="shared" si="4"/>
        <v>82.13478284</v>
      </c>
      <c r="X49" s="6">
        <f t="shared" si="5"/>
        <v>82.12098714</v>
      </c>
      <c r="Y49" s="6">
        <f t="shared" ref="Y49:Z49" si="52">_xlfn.NORM.S.DIST(W49)</f>
        <v>1</v>
      </c>
      <c r="Z49" s="6">
        <f t="shared" si="52"/>
        <v>1</v>
      </c>
      <c r="AA49" s="5"/>
      <c r="AB49" s="5"/>
    </row>
    <row r="50" ht="14.25" customHeight="1">
      <c r="A50" s="5" t="s">
        <v>122</v>
      </c>
      <c r="B50" s="5" t="s">
        <v>123</v>
      </c>
      <c r="C50" s="5" t="s">
        <v>110</v>
      </c>
      <c r="D50" s="5" t="s">
        <v>29</v>
      </c>
      <c r="E50" s="6">
        <v>500.0</v>
      </c>
      <c r="F50" s="5" t="s">
        <v>30</v>
      </c>
      <c r="G50" s="6">
        <v>1054.5</v>
      </c>
      <c r="H50" s="5"/>
      <c r="I50" s="6">
        <v>1057.0</v>
      </c>
      <c r="J50" s="5"/>
      <c r="K50" s="6">
        <v>0.0</v>
      </c>
      <c r="L50" s="6">
        <v>48195.0</v>
      </c>
      <c r="M50" s="5" t="s">
        <v>80</v>
      </c>
      <c r="N50" s="6">
        <v>1.0</v>
      </c>
      <c r="O50" s="6">
        <v>0.0</v>
      </c>
      <c r="P50" s="6">
        <v>-1.4095</v>
      </c>
      <c r="Q50" s="6">
        <v>0.0</v>
      </c>
      <c r="R50" s="6">
        <v>0.175</v>
      </c>
      <c r="S50" s="6">
        <v>1554.52002</v>
      </c>
      <c r="T50" s="6">
        <v>3.0</v>
      </c>
      <c r="U50" s="6">
        <f t="shared" si="2"/>
        <v>1055.75</v>
      </c>
      <c r="V50" s="6">
        <f t="shared" si="3"/>
        <v>1054.524187</v>
      </c>
      <c r="W50" s="6">
        <f t="shared" si="4"/>
        <v>59.41660989</v>
      </c>
      <c r="X50" s="6">
        <f t="shared" si="5"/>
        <v>59.39751582</v>
      </c>
      <c r="Y50" s="6">
        <f t="shared" ref="Y50:Z50" si="53">_xlfn.NORM.S.DIST(W50)</f>
        <v>1</v>
      </c>
      <c r="Z50" s="6">
        <f t="shared" si="53"/>
        <v>1</v>
      </c>
      <c r="AA50" s="5"/>
      <c r="AB50" s="5"/>
    </row>
    <row r="51" ht="14.25" customHeight="1">
      <c r="A51" s="5" t="s">
        <v>122</v>
      </c>
      <c r="B51" s="5" t="s">
        <v>123</v>
      </c>
      <c r="C51" s="5" t="s">
        <v>110</v>
      </c>
      <c r="D51" s="5" t="s">
        <v>29</v>
      </c>
      <c r="E51" s="6">
        <v>500.0</v>
      </c>
      <c r="F51" s="5" t="s">
        <v>30</v>
      </c>
      <c r="G51" s="6">
        <v>1060.7</v>
      </c>
      <c r="H51" s="5"/>
      <c r="I51" s="6">
        <v>1064.8</v>
      </c>
      <c r="J51" s="5"/>
      <c r="K51" s="6">
        <v>400.0</v>
      </c>
      <c r="L51" s="6">
        <v>48195.0</v>
      </c>
      <c r="M51" s="5" t="s">
        <v>81</v>
      </c>
      <c r="N51" s="6">
        <v>1.0</v>
      </c>
      <c r="O51" s="6">
        <v>0.0</v>
      </c>
      <c r="P51" s="6">
        <v>-1.4095</v>
      </c>
      <c r="Q51" s="6">
        <v>0.0</v>
      </c>
      <c r="R51" s="6">
        <v>0.0693</v>
      </c>
      <c r="S51" s="6">
        <v>1563.22998</v>
      </c>
      <c r="T51" s="6">
        <v>2.0</v>
      </c>
      <c r="U51" s="6">
        <f t="shared" si="2"/>
        <v>1062.75</v>
      </c>
      <c r="V51" s="6">
        <f t="shared" si="3"/>
        <v>1063.232758</v>
      </c>
      <c r="W51" s="6">
        <f t="shared" si="4"/>
        <v>184.6412313</v>
      </c>
      <c r="X51" s="6">
        <f t="shared" si="5"/>
        <v>184.6350575</v>
      </c>
      <c r="Y51" s="6">
        <f t="shared" ref="Y51:Z51" si="54">_xlfn.NORM.S.DIST(W51)</f>
        <v>1</v>
      </c>
      <c r="Z51" s="6">
        <f t="shared" si="54"/>
        <v>1</v>
      </c>
      <c r="AA51" s="5"/>
      <c r="AB51" s="5"/>
    </row>
    <row r="52" ht="14.25" customHeight="1">
      <c r="A52" s="5" t="s">
        <v>122</v>
      </c>
      <c r="B52" s="5" t="s">
        <v>123</v>
      </c>
      <c r="C52" s="5" t="s">
        <v>110</v>
      </c>
      <c r="D52" s="5" t="s">
        <v>29</v>
      </c>
      <c r="E52" s="6">
        <v>500.0</v>
      </c>
      <c r="F52" s="5" t="s">
        <v>30</v>
      </c>
      <c r="G52" s="6">
        <v>1055.8</v>
      </c>
      <c r="H52" s="5"/>
      <c r="I52" s="6">
        <v>1068.6</v>
      </c>
      <c r="J52" s="5"/>
      <c r="K52" s="6">
        <v>0.0</v>
      </c>
      <c r="L52" s="6">
        <v>48195.0</v>
      </c>
      <c r="M52" s="5" t="s">
        <v>82</v>
      </c>
      <c r="N52" s="6">
        <v>1.0</v>
      </c>
      <c r="O52" s="6">
        <v>0.0</v>
      </c>
      <c r="P52" s="6">
        <v>-1.4095</v>
      </c>
      <c r="Q52" s="6">
        <v>0.0</v>
      </c>
      <c r="R52" s="6">
        <v>0.3788</v>
      </c>
      <c r="S52" s="6">
        <v>1560.699951</v>
      </c>
      <c r="T52" s="6">
        <v>1.0</v>
      </c>
      <c r="U52" s="6">
        <f t="shared" si="2"/>
        <v>1062.2</v>
      </c>
      <c r="V52" s="6">
        <f t="shared" si="3"/>
        <v>1060.70134</v>
      </c>
      <c r="W52" s="6">
        <f t="shared" si="4"/>
        <v>47.71442346</v>
      </c>
      <c r="X52" s="6">
        <f t="shared" si="5"/>
        <v>47.6905613</v>
      </c>
      <c r="Y52" s="6">
        <f t="shared" ref="Y52:Z52" si="55">_xlfn.NORM.S.DIST(W52)</f>
        <v>1</v>
      </c>
      <c r="Z52" s="6">
        <f t="shared" si="55"/>
        <v>1</v>
      </c>
      <c r="AA52" s="5"/>
      <c r="AB52" s="5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8.43"/>
    <col customWidth="1" min="2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124</v>
      </c>
      <c r="B2" s="2" t="s">
        <v>125</v>
      </c>
      <c r="C2" s="2" t="s">
        <v>109</v>
      </c>
      <c r="D2" s="2" t="s">
        <v>29</v>
      </c>
      <c r="E2" s="2">
        <v>78.0</v>
      </c>
      <c r="F2" s="2" t="s">
        <v>30</v>
      </c>
      <c r="G2" s="2">
        <v>26.3</v>
      </c>
      <c r="I2" s="2">
        <v>26.5</v>
      </c>
      <c r="K2" s="2">
        <v>0.0</v>
      </c>
      <c r="L2" s="2">
        <v>0.0</v>
      </c>
      <c r="M2" s="2" t="s">
        <v>31</v>
      </c>
      <c r="N2" s="2">
        <v>0.9941</v>
      </c>
      <c r="O2" s="2">
        <v>0.0</v>
      </c>
      <c r="P2" s="2">
        <v>2.8954</v>
      </c>
      <c r="Q2" s="2">
        <v>5.0E-4</v>
      </c>
      <c r="R2" s="2">
        <v>0.1454</v>
      </c>
      <c r="S2" s="2">
        <v>104.93</v>
      </c>
      <c r="T2" s="2">
        <v>73.0</v>
      </c>
      <c r="V2" s="2">
        <f t="shared" ref="V2:V45" si="2">S2*Y2 - E2*Z2*exp(-0.0007*T2/252)</f>
        <v>26.94593736</v>
      </c>
      <c r="W2" s="2">
        <f t="shared" ref="W2:W45" si="3">((LN(S2/E2) + (0.0007 + (R2^2)/2) * U2/$AB$2)) / (R2 * SQRT(T2/252))</f>
        <v>3.789859249</v>
      </c>
      <c r="X2" s="2">
        <f t="shared" ref="X2:X45" si="4">W2-(R2*SQRT(T2/$AB$2))</f>
        <v>3.711601822</v>
      </c>
      <c r="Y2" s="2">
        <f t="shared" ref="Y2:Z2" si="1">_xlfn.NORM.S.DIST(W2)</f>
        <v>0.9999246337</v>
      </c>
      <c r="Z2" s="2">
        <f t="shared" si="1"/>
        <v>0.9998970241</v>
      </c>
      <c r="AA2" s="2">
        <f t="shared" ref="AA2:AA45" si="6">if(0.5*(G2+I2)=0,0,0.5*(G2+I2))</f>
        <v>26.4</v>
      </c>
      <c r="AB2" s="2">
        <v>252.0</v>
      </c>
    </row>
    <row r="3" ht="14.25" customHeight="1">
      <c r="A3" s="2" t="s">
        <v>124</v>
      </c>
      <c r="B3" s="2" t="s">
        <v>125</v>
      </c>
      <c r="C3" s="2" t="s">
        <v>109</v>
      </c>
      <c r="D3" s="2" t="s">
        <v>29</v>
      </c>
      <c r="E3" s="2">
        <v>78.0</v>
      </c>
      <c r="F3" s="2" t="s">
        <v>30</v>
      </c>
      <c r="G3" s="2">
        <v>26.05</v>
      </c>
      <c r="I3" s="2">
        <v>26.25</v>
      </c>
      <c r="K3" s="2">
        <v>0.0</v>
      </c>
      <c r="L3" s="2">
        <v>0.0</v>
      </c>
      <c r="M3" s="2" t="s">
        <v>32</v>
      </c>
      <c r="N3" s="2">
        <v>0.9941</v>
      </c>
      <c r="O3" s="2">
        <v>0.0</v>
      </c>
      <c r="P3" s="2">
        <v>2.922</v>
      </c>
      <c r="Q3" s="2">
        <v>0.0</v>
      </c>
      <c r="R3" s="2">
        <v>0.0978</v>
      </c>
      <c r="S3" s="2">
        <v>104.73</v>
      </c>
      <c r="T3" s="2">
        <v>72.0</v>
      </c>
      <c r="V3" s="2">
        <f t="shared" si="2"/>
        <v>26.74559845</v>
      </c>
      <c r="W3" s="2">
        <f t="shared" si="3"/>
        <v>5.636909827</v>
      </c>
      <c r="X3" s="2">
        <f t="shared" si="4"/>
        <v>5.584633528</v>
      </c>
      <c r="Y3" s="2">
        <f t="shared" ref="Y3:Z3" si="5">_xlfn.NORM.S.DIST(W3)</f>
        <v>0.9999999913</v>
      </c>
      <c r="Z3" s="2">
        <f t="shared" si="5"/>
        <v>0.9999999883</v>
      </c>
      <c r="AA3" s="2">
        <f t="shared" si="6"/>
        <v>26.15</v>
      </c>
    </row>
    <row r="4" ht="14.25" customHeight="1">
      <c r="A4" s="2" t="s">
        <v>124</v>
      </c>
      <c r="B4" s="2" t="s">
        <v>125</v>
      </c>
      <c r="C4" s="2" t="s">
        <v>109</v>
      </c>
      <c r="D4" s="2" t="s">
        <v>29</v>
      </c>
      <c r="E4" s="2">
        <v>78.0</v>
      </c>
      <c r="F4" s="2" t="s">
        <v>30</v>
      </c>
      <c r="G4" s="2">
        <v>26.2</v>
      </c>
      <c r="I4" s="2">
        <v>26.35</v>
      </c>
      <c r="K4" s="2">
        <v>0.0</v>
      </c>
      <c r="L4" s="2">
        <v>0.0</v>
      </c>
      <c r="M4" s="2" t="s">
        <v>33</v>
      </c>
      <c r="N4" s="2">
        <v>0.9971</v>
      </c>
      <c r="O4" s="2">
        <v>0.0</v>
      </c>
      <c r="P4" s="2">
        <v>1.3483</v>
      </c>
      <c r="Q4" s="2">
        <v>0.0</v>
      </c>
      <c r="R4" s="2">
        <v>0.0662</v>
      </c>
      <c r="S4" s="2">
        <v>104.77</v>
      </c>
      <c r="T4" s="2">
        <v>71.0</v>
      </c>
      <c r="V4" s="2">
        <f t="shared" si="2"/>
        <v>26.78538182</v>
      </c>
      <c r="W4" s="2">
        <f t="shared" si="3"/>
        <v>8.39694773</v>
      </c>
      <c r="X4" s="2">
        <f t="shared" si="4"/>
        <v>8.361808933</v>
      </c>
      <c r="Y4" s="2">
        <f t="shared" ref="Y4:Z4" si="7">_xlfn.NORM.S.DIST(W4)</f>
        <v>1</v>
      </c>
      <c r="Z4" s="2">
        <f t="shared" si="7"/>
        <v>1</v>
      </c>
      <c r="AA4" s="2">
        <f t="shared" si="6"/>
        <v>26.275</v>
      </c>
      <c r="AB4" s="2">
        <f>average(R2:R45)</f>
        <v>0.1143068182</v>
      </c>
    </row>
    <row r="5" ht="14.25" customHeight="1">
      <c r="A5" s="2" t="s">
        <v>124</v>
      </c>
      <c r="B5" s="2" t="s">
        <v>125</v>
      </c>
      <c r="C5" s="2" t="s">
        <v>109</v>
      </c>
      <c r="D5" s="2" t="s">
        <v>29</v>
      </c>
      <c r="E5" s="2">
        <v>78.0</v>
      </c>
      <c r="F5" s="2" t="s">
        <v>30</v>
      </c>
      <c r="G5" s="2">
        <v>26.4</v>
      </c>
      <c r="I5" s="2">
        <v>26.6</v>
      </c>
      <c r="K5" s="2">
        <v>0.0</v>
      </c>
      <c r="L5" s="2">
        <v>0.0</v>
      </c>
      <c r="M5" s="2" t="s">
        <v>34</v>
      </c>
      <c r="N5" s="2">
        <v>0.9973</v>
      </c>
      <c r="O5" s="2">
        <v>0.0</v>
      </c>
      <c r="P5" s="2">
        <v>1.3203</v>
      </c>
      <c r="Q5" s="2">
        <v>0.0</v>
      </c>
      <c r="R5" s="2">
        <v>0.0658</v>
      </c>
      <c r="S5" s="2">
        <v>104.95</v>
      </c>
      <c r="T5" s="2">
        <v>68.0</v>
      </c>
      <c r="V5" s="2">
        <f t="shared" si="2"/>
        <v>26.96473194</v>
      </c>
      <c r="W5" s="2">
        <f t="shared" si="3"/>
        <v>8.682555247</v>
      </c>
      <c r="X5" s="2">
        <f t="shared" si="4"/>
        <v>8.648374616</v>
      </c>
      <c r="Y5" s="2">
        <f t="shared" ref="Y5:Z5" si="8">_xlfn.NORM.S.DIST(W5)</f>
        <v>1</v>
      </c>
      <c r="Z5" s="2">
        <f t="shared" si="8"/>
        <v>1</v>
      </c>
      <c r="AA5" s="2">
        <f t="shared" si="6"/>
        <v>26.5</v>
      </c>
    </row>
    <row r="6" ht="14.25" customHeight="1">
      <c r="A6" s="2" t="s">
        <v>124</v>
      </c>
      <c r="B6" s="2" t="s">
        <v>125</v>
      </c>
      <c r="C6" s="2" t="s">
        <v>109</v>
      </c>
      <c r="D6" s="2" t="s">
        <v>29</v>
      </c>
      <c r="E6" s="2">
        <v>78.0</v>
      </c>
      <c r="F6" s="2" t="s">
        <v>30</v>
      </c>
      <c r="G6" s="2">
        <v>26.35</v>
      </c>
      <c r="I6" s="2">
        <v>26.55</v>
      </c>
      <c r="K6" s="2">
        <v>0.0</v>
      </c>
      <c r="L6" s="2">
        <v>0.0</v>
      </c>
      <c r="M6" s="2" t="s">
        <v>35</v>
      </c>
      <c r="N6" s="2">
        <v>0.9946</v>
      </c>
      <c r="O6" s="2">
        <v>0.0</v>
      </c>
      <c r="P6" s="2">
        <v>2.8693</v>
      </c>
      <c r="Q6" s="2">
        <v>0.0</v>
      </c>
      <c r="R6" s="2">
        <v>0.093</v>
      </c>
      <c r="S6" s="2">
        <v>104.98</v>
      </c>
      <c r="T6" s="2">
        <v>67.0</v>
      </c>
      <c r="V6" s="2">
        <f t="shared" si="2"/>
        <v>26.99451532</v>
      </c>
      <c r="W6" s="2">
        <f t="shared" si="3"/>
        <v>6.194775924</v>
      </c>
      <c r="X6" s="2">
        <f t="shared" si="4"/>
        <v>6.146822449</v>
      </c>
      <c r="Y6" s="2">
        <f t="shared" ref="Y6:Z6" si="9">_xlfn.NORM.S.DIST(W6)</f>
        <v>0.9999999997</v>
      </c>
      <c r="Z6" s="2">
        <f t="shared" si="9"/>
        <v>0.9999999996</v>
      </c>
      <c r="AA6" s="2">
        <f t="shared" si="6"/>
        <v>26.45</v>
      </c>
    </row>
    <row r="7" ht="14.25" customHeight="1">
      <c r="A7" s="2" t="s">
        <v>124</v>
      </c>
      <c r="B7" s="2" t="s">
        <v>125</v>
      </c>
      <c r="C7" s="2" t="s">
        <v>109</v>
      </c>
      <c r="D7" s="2" t="s">
        <v>29</v>
      </c>
      <c r="E7" s="2">
        <v>78.0</v>
      </c>
      <c r="F7" s="2" t="s">
        <v>30</v>
      </c>
      <c r="G7" s="2">
        <v>26.55</v>
      </c>
      <c r="I7" s="2">
        <v>26.7</v>
      </c>
      <c r="K7" s="2">
        <v>0.0</v>
      </c>
      <c r="L7" s="2">
        <v>0.0</v>
      </c>
      <c r="M7" s="2" t="s">
        <v>36</v>
      </c>
      <c r="N7" s="2">
        <v>0.9973</v>
      </c>
      <c r="O7" s="2">
        <v>0.0</v>
      </c>
      <c r="P7" s="2">
        <v>1.3222</v>
      </c>
      <c r="Q7" s="2">
        <v>0.0</v>
      </c>
      <c r="R7" s="2">
        <v>0.0656</v>
      </c>
      <c r="S7" s="2">
        <v>105.07</v>
      </c>
      <c r="T7" s="2">
        <v>66.0</v>
      </c>
      <c r="V7" s="2">
        <f t="shared" si="2"/>
        <v>27.08429869</v>
      </c>
      <c r="W7" s="2">
        <f t="shared" si="3"/>
        <v>8.874035472</v>
      </c>
      <c r="X7" s="2">
        <f t="shared" si="4"/>
        <v>8.840463602</v>
      </c>
      <c r="Y7" s="2">
        <f t="shared" ref="Y7:Z7" si="10">_xlfn.NORM.S.DIST(W7)</f>
        <v>1</v>
      </c>
      <c r="Z7" s="2">
        <f t="shared" si="10"/>
        <v>1</v>
      </c>
      <c r="AA7" s="2">
        <f t="shared" si="6"/>
        <v>26.625</v>
      </c>
    </row>
    <row r="8" ht="14.25" customHeight="1">
      <c r="A8" s="2" t="s">
        <v>124</v>
      </c>
      <c r="B8" s="2" t="s">
        <v>125</v>
      </c>
      <c r="C8" s="2" t="s">
        <v>109</v>
      </c>
      <c r="D8" s="2" t="s">
        <v>29</v>
      </c>
      <c r="E8" s="2">
        <v>78.0</v>
      </c>
      <c r="F8" s="2" t="s">
        <v>30</v>
      </c>
      <c r="G8" s="2">
        <v>27.35</v>
      </c>
      <c r="I8" s="2">
        <v>27.55</v>
      </c>
      <c r="K8" s="2">
        <v>0.0</v>
      </c>
      <c r="L8" s="2">
        <v>0.0</v>
      </c>
      <c r="M8" s="2" t="s">
        <v>37</v>
      </c>
      <c r="N8" s="2">
        <v>0.9948</v>
      </c>
      <c r="O8" s="2">
        <v>0.0</v>
      </c>
      <c r="P8" s="2">
        <v>2.907</v>
      </c>
      <c r="Q8" s="2">
        <v>0.0</v>
      </c>
      <c r="R8" s="2">
        <v>0.0985</v>
      </c>
      <c r="S8" s="2">
        <v>105.94</v>
      </c>
      <c r="T8" s="2">
        <v>65.0</v>
      </c>
      <c r="V8" s="2">
        <f t="shared" si="2"/>
        <v>27.95408206</v>
      </c>
      <c r="W8" s="2">
        <f t="shared" si="3"/>
        <v>6.120143191</v>
      </c>
      <c r="X8" s="2">
        <f t="shared" si="4"/>
        <v>6.070117553</v>
      </c>
      <c r="Y8" s="2">
        <f t="shared" ref="Y8:Z8" si="11">_xlfn.NORM.S.DIST(W8)</f>
        <v>0.9999999995</v>
      </c>
      <c r="Z8" s="2">
        <f t="shared" si="11"/>
        <v>0.9999999994</v>
      </c>
      <c r="AA8" s="2">
        <f t="shared" si="6"/>
        <v>27.45</v>
      </c>
    </row>
    <row r="9" ht="14.25" customHeight="1">
      <c r="A9" s="2" t="s">
        <v>124</v>
      </c>
      <c r="B9" s="2" t="s">
        <v>125</v>
      </c>
      <c r="C9" s="2" t="s">
        <v>109</v>
      </c>
      <c r="D9" s="2" t="s">
        <v>29</v>
      </c>
      <c r="E9" s="2">
        <v>78.0</v>
      </c>
      <c r="F9" s="2" t="s">
        <v>30</v>
      </c>
      <c r="G9" s="2">
        <v>26.7</v>
      </c>
      <c r="I9" s="2">
        <v>26.9</v>
      </c>
      <c r="K9" s="2">
        <v>0.0</v>
      </c>
      <c r="L9" s="2">
        <v>0.0</v>
      </c>
      <c r="M9" s="2" t="s">
        <v>38</v>
      </c>
      <c r="N9" s="2">
        <v>0.9948</v>
      </c>
      <c r="O9" s="2">
        <v>0.0</v>
      </c>
      <c r="P9" s="2">
        <v>2.9006</v>
      </c>
      <c r="Q9" s="2">
        <v>0.0</v>
      </c>
      <c r="R9" s="2">
        <v>0.0733</v>
      </c>
      <c r="S9" s="2">
        <v>105.42</v>
      </c>
      <c r="T9" s="2">
        <v>64.0</v>
      </c>
      <c r="V9" s="2">
        <f t="shared" si="2"/>
        <v>27.43386543</v>
      </c>
      <c r="W9" s="2">
        <f t="shared" si="3"/>
        <v>8.155001741</v>
      </c>
      <c r="X9" s="2">
        <f t="shared" si="4"/>
        <v>8.118062013</v>
      </c>
      <c r="Y9" s="2">
        <f t="shared" ref="Y9:Z9" si="12">_xlfn.NORM.S.DIST(W9)</f>
        <v>1</v>
      </c>
      <c r="Z9" s="2">
        <f t="shared" si="12"/>
        <v>1</v>
      </c>
      <c r="AA9" s="2">
        <f t="shared" si="6"/>
        <v>26.8</v>
      </c>
    </row>
    <row r="10" ht="14.25" customHeight="1">
      <c r="A10" s="2" t="s">
        <v>124</v>
      </c>
      <c r="B10" s="2" t="s">
        <v>125</v>
      </c>
      <c r="C10" s="2" t="s">
        <v>109</v>
      </c>
      <c r="D10" s="2" t="s">
        <v>29</v>
      </c>
      <c r="E10" s="2">
        <v>78.0</v>
      </c>
      <c r="F10" s="2" t="s">
        <v>30</v>
      </c>
      <c r="G10" s="2">
        <v>27.1</v>
      </c>
      <c r="I10" s="2">
        <v>27.3</v>
      </c>
      <c r="K10" s="2">
        <v>0.0</v>
      </c>
      <c r="L10" s="2">
        <v>0.0</v>
      </c>
      <c r="M10" s="2" t="s">
        <v>39</v>
      </c>
      <c r="N10" s="2">
        <v>0.9951</v>
      </c>
      <c r="O10" s="2">
        <v>0.0</v>
      </c>
      <c r="P10" s="2">
        <v>2.9108</v>
      </c>
      <c r="Q10" s="2">
        <v>0.0</v>
      </c>
      <c r="R10" s="2">
        <v>0.084</v>
      </c>
      <c r="S10" s="2">
        <v>105.73</v>
      </c>
      <c r="T10" s="2">
        <v>61.0</v>
      </c>
      <c r="V10" s="2">
        <f t="shared" si="2"/>
        <v>27.74321555</v>
      </c>
      <c r="W10" s="2">
        <f t="shared" si="3"/>
        <v>7.36014729</v>
      </c>
      <c r="X10" s="2">
        <f t="shared" si="4"/>
        <v>7.318819333</v>
      </c>
      <c r="Y10" s="2">
        <f t="shared" ref="Y10:Z10" si="13">_xlfn.NORM.S.DIST(W10)</f>
        <v>1</v>
      </c>
      <c r="Z10" s="2">
        <f t="shared" si="13"/>
        <v>1</v>
      </c>
      <c r="AA10" s="2">
        <f t="shared" si="6"/>
        <v>27.2</v>
      </c>
    </row>
    <row r="11" ht="14.25" customHeight="1">
      <c r="A11" s="2" t="s">
        <v>124</v>
      </c>
      <c r="B11" s="2" t="s">
        <v>125</v>
      </c>
      <c r="C11" s="2" t="s">
        <v>109</v>
      </c>
      <c r="D11" s="2" t="s">
        <v>29</v>
      </c>
      <c r="E11" s="2">
        <v>78.0</v>
      </c>
      <c r="F11" s="2" t="s">
        <v>30</v>
      </c>
      <c r="G11" s="2">
        <v>27.0</v>
      </c>
      <c r="I11" s="2">
        <v>27.2</v>
      </c>
      <c r="K11" s="2">
        <v>0.0</v>
      </c>
      <c r="L11" s="2">
        <v>0.0</v>
      </c>
      <c r="M11" s="2" t="s">
        <v>40</v>
      </c>
      <c r="N11" s="2">
        <v>0.9951</v>
      </c>
      <c r="O11" s="2">
        <v>0.0</v>
      </c>
      <c r="P11" s="2">
        <v>2.9064</v>
      </c>
      <c r="Q11" s="2">
        <v>0.0</v>
      </c>
      <c r="R11" s="2">
        <v>0.1001</v>
      </c>
      <c r="S11" s="2">
        <v>105.57</v>
      </c>
      <c r="T11" s="2">
        <v>60.0</v>
      </c>
      <c r="V11" s="2">
        <f t="shared" si="2"/>
        <v>27.58299892</v>
      </c>
      <c r="W11" s="2">
        <f t="shared" si="3"/>
        <v>6.196598579</v>
      </c>
      <c r="X11" s="2">
        <f t="shared" si="4"/>
        <v>6.14775478</v>
      </c>
      <c r="Y11" s="2">
        <f t="shared" ref="Y11:Z11" si="14">_xlfn.NORM.S.DIST(W11)</f>
        <v>0.9999999997</v>
      </c>
      <c r="Z11" s="2">
        <f t="shared" si="14"/>
        <v>0.9999999996</v>
      </c>
      <c r="AA11" s="2">
        <f t="shared" si="6"/>
        <v>27.1</v>
      </c>
    </row>
    <row r="12" ht="14.25" customHeight="1">
      <c r="A12" s="2" t="s">
        <v>124</v>
      </c>
      <c r="B12" s="2" t="s">
        <v>125</v>
      </c>
      <c r="C12" s="2" t="s">
        <v>109</v>
      </c>
      <c r="D12" s="2" t="s">
        <v>29</v>
      </c>
      <c r="E12" s="2">
        <v>78.0</v>
      </c>
      <c r="F12" s="2" t="s">
        <v>30</v>
      </c>
      <c r="G12" s="2">
        <v>27.15</v>
      </c>
      <c r="I12" s="2">
        <v>27.35</v>
      </c>
      <c r="K12" s="2">
        <v>0.0</v>
      </c>
      <c r="L12" s="2">
        <v>0.0</v>
      </c>
      <c r="M12" s="2" t="s">
        <v>41</v>
      </c>
      <c r="N12" s="2">
        <v>0.9952</v>
      </c>
      <c r="O12" s="2">
        <v>0.0</v>
      </c>
      <c r="P12" s="2">
        <v>2.9114</v>
      </c>
      <c r="Q12" s="2">
        <v>0.0</v>
      </c>
      <c r="R12" s="2">
        <v>0.0853</v>
      </c>
      <c r="S12" s="2">
        <v>105.73</v>
      </c>
      <c r="T12" s="2">
        <v>59.0</v>
      </c>
      <c r="V12" s="2">
        <f t="shared" si="2"/>
        <v>27.74278229</v>
      </c>
      <c r="W12" s="2">
        <f t="shared" si="3"/>
        <v>7.369799487</v>
      </c>
      <c r="X12" s="2">
        <f t="shared" si="4"/>
        <v>7.328525658</v>
      </c>
      <c r="Y12" s="2">
        <f t="shared" ref="Y12:Z12" si="15">_xlfn.NORM.S.DIST(W12)</f>
        <v>1</v>
      </c>
      <c r="Z12" s="2">
        <f t="shared" si="15"/>
        <v>1</v>
      </c>
      <c r="AA12" s="2">
        <f t="shared" si="6"/>
        <v>27.25</v>
      </c>
    </row>
    <row r="13" ht="14.25" customHeight="1">
      <c r="A13" s="2" t="s">
        <v>124</v>
      </c>
      <c r="B13" s="2" t="s">
        <v>125</v>
      </c>
      <c r="C13" s="2" t="s">
        <v>109</v>
      </c>
      <c r="D13" s="2" t="s">
        <v>29</v>
      </c>
      <c r="E13" s="2">
        <v>78.0</v>
      </c>
      <c r="F13" s="2" t="s">
        <v>30</v>
      </c>
      <c r="G13" s="2">
        <v>26.8</v>
      </c>
      <c r="I13" s="2">
        <v>27.05</v>
      </c>
      <c r="K13" s="2">
        <v>0.0</v>
      </c>
      <c r="L13" s="2">
        <v>0.0</v>
      </c>
      <c r="M13" s="2" t="s">
        <v>42</v>
      </c>
      <c r="N13" s="2">
        <v>0.9953</v>
      </c>
      <c r="O13" s="2">
        <v>0.0</v>
      </c>
      <c r="P13" s="2">
        <v>2.902</v>
      </c>
      <c r="Q13" s="2">
        <v>0.0</v>
      </c>
      <c r="R13" s="2">
        <v>0.0868</v>
      </c>
      <c r="S13" s="2">
        <v>105.4</v>
      </c>
      <c r="T13" s="2">
        <v>58.0</v>
      </c>
      <c r="V13" s="2">
        <f t="shared" si="2"/>
        <v>27.41256565</v>
      </c>
      <c r="W13" s="2">
        <f t="shared" si="3"/>
        <v>7.229540174</v>
      </c>
      <c r="X13" s="2">
        <f t="shared" si="4"/>
        <v>7.187897994</v>
      </c>
      <c r="Y13" s="2">
        <f t="shared" ref="Y13:Z13" si="16">_xlfn.NORM.S.DIST(W13)</f>
        <v>1</v>
      </c>
      <c r="Z13" s="2">
        <f t="shared" si="16"/>
        <v>1</v>
      </c>
      <c r="AA13" s="2">
        <f t="shared" si="6"/>
        <v>26.925</v>
      </c>
    </row>
    <row r="14" ht="14.25" customHeight="1">
      <c r="A14" s="2" t="s">
        <v>124</v>
      </c>
      <c r="B14" s="2" t="s">
        <v>125</v>
      </c>
      <c r="C14" s="2" t="s">
        <v>109</v>
      </c>
      <c r="D14" s="2" t="s">
        <v>29</v>
      </c>
      <c r="E14" s="2">
        <v>78.0</v>
      </c>
      <c r="F14" s="2" t="s">
        <v>30</v>
      </c>
      <c r="G14" s="2">
        <v>26.5</v>
      </c>
      <c r="I14" s="2">
        <v>26.75</v>
      </c>
      <c r="K14" s="2">
        <v>0.0</v>
      </c>
      <c r="L14" s="2">
        <v>0.0</v>
      </c>
      <c r="M14" s="2" t="s">
        <v>43</v>
      </c>
      <c r="N14" s="2">
        <v>0.9954</v>
      </c>
      <c r="O14" s="2">
        <v>0.0</v>
      </c>
      <c r="P14" s="2">
        <v>2.8925</v>
      </c>
      <c r="Q14" s="2">
        <v>0.0</v>
      </c>
      <c r="R14" s="2">
        <v>0.0976</v>
      </c>
      <c r="S14" s="2">
        <v>105.08</v>
      </c>
      <c r="T14" s="2">
        <v>57.0</v>
      </c>
      <c r="V14" s="2">
        <f t="shared" si="2"/>
        <v>27.09234902</v>
      </c>
      <c r="W14" s="2">
        <f t="shared" si="3"/>
        <v>6.420198201</v>
      </c>
      <c r="X14" s="2">
        <f t="shared" si="4"/>
        <v>6.373780142</v>
      </c>
      <c r="Y14" s="2">
        <f t="shared" ref="Y14:Z14" si="17">_xlfn.NORM.S.DIST(W14)</f>
        <v>0.9999999999</v>
      </c>
      <c r="Z14" s="2">
        <f t="shared" si="17"/>
        <v>0.9999999999</v>
      </c>
      <c r="AA14" s="2">
        <f t="shared" si="6"/>
        <v>26.625</v>
      </c>
    </row>
    <row r="15" ht="14.25" customHeight="1">
      <c r="A15" s="2" t="s">
        <v>124</v>
      </c>
      <c r="B15" s="2" t="s">
        <v>125</v>
      </c>
      <c r="C15" s="2" t="s">
        <v>109</v>
      </c>
      <c r="D15" s="2" t="s">
        <v>29</v>
      </c>
      <c r="E15" s="2">
        <v>78.0</v>
      </c>
      <c r="F15" s="2" t="s">
        <v>30</v>
      </c>
      <c r="G15" s="2">
        <v>27.1</v>
      </c>
      <c r="I15" s="2">
        <v>27.3</v>
      </c>
      <c r="K15" s="2">
        <v>0.0</v>
      </c>
      <c r="L15" s="2">
        <v>0.0</v>
      </c>
      <c r="M15" s="2" t="s">
        <v>44</v>
      </c>
      <c r="N15" s="2">
        <v>0.9978</v>
      </c>
      <c r="O15" s="2">
        <v>0.0</v>
      </c>
      <c r="P15" s="2">
        <v>1.3491</v>
      </c>
      <c r="Q15" s="2">
        <v>0.0</v>
      </c>
      <c r="R15" s="2">
        <v>0.0688</v>
      </c>
      <c r="S15" s="2">
        <v>105.6</v>
      </c>
      <c r="T15" s="2">
        <v>53.0</v>
      </c>
      <c r="V15" s="2">
        <f t="shared" si="2"/>
        <v>27.61148249</v>
      </c>
      <c r="W15" s="2">
        <f t="shared" si="3"/>
        <v>9.601613086</v>
      </c>
      <c r="X15" s="2">
        <f t="shared" si="4"/>
        <v>9.570061143</v>
      </c>
      <c r="Y15" s="2">
        <f t="shared" ref="Y15:Z15" si="18">_xlfn.NORM.S.DIST(W15)</f>
        <v>1</v>
      </c>
      <c r="Z15" s="2">
        <f t="shared" si="18"/>
        <v>1</v>
      </c>
      <c r="AA15" s="2">
        <f t="shared" si="6"/>
        <v>27.2</v>
      </c>
    </row>
    <row r="16" ht="14.25" customHeight="1">
      <c r="A16" s="2" t="s">
        <v>124</v>
      </c>
      <c r="B16" s="2" t="s">
        <v>125</v>
      </c>
      <c r="C16" s="2" t="s">
        <v>109</v>
      </c>
      <c r="D16" s="2" t="s">
        <v>29</v>
      </c>
      <c r="E16" s="2">
        <v>78.0</v>
      </c>
      <c r="F16" s="2" t="s">
        <v>30</v>
      </c>
      <c r="G16" s="2">
        <v>27.0</v>
      </c>
      <c r="I16" s="2">
        <v>27.2</v>
      </c>
      <c r="K16" s="2">
        <v>0.0</v>
      </c>
      <c r="L16" s="2">
        <v>0.0</v>
      </c>
      <c r="M16" s="2" t="s">
        <v>45</v>
      </c>
      <c r="N16" s="2">
        <v>0.9958</v>
      </c>
      <c r="O16" s="2">
        <v>0.0</v>
      </c>
      <c r="P16" s="2">
        <v>2.9242</v>
      </c>
      <c r="Q16" s="2">
        <v>0.0</v>
      </c>
      <c r="R16" s="2">
        <v>0.0972</v>
      </c>
      <c r="S16" s="2">
        <v>105.48</v>
      </c>
      <c r="T16" s="2">
        <v>52.0</v>
      </c>
      <c r="V16" s="2">
        <f t="shared" si="2"/>
        <v>27.49126585</v>
      </c>
      <c r="W16" s="2">
        <f t="shared" si="3"/>
        <v>6.835489279</v>
      </c>
      <c r="X16" s="2">
        <f t="shared" si="4"/>
        <v>6.791335521</v>
      </c>
      <c r="Y16" s="2">
        <f t="shared" ref="Y16:Z16" si="19">_xlfn.NORM.S.DIST(W16)</f>
        <v>1</v>
      </c>
      <c r="Z16" s="2">
        <f t="shared" si="19"/>
        <v>1</v>
      </c>
      <c r="AA16" s="2">
        <f t="shared" si="6"/>
        <v>27.1</v>
      </c>
    </row>
    <row r="17" ht="14.25" customHeight="1">
      <c r="A17" s="2" t="s">
        <v>124</v>
      </c>
      <c r="B17" s="2" t="s">
        <v>125</v>
      </c>
      <c r="C17" s="2" t="s">
        <v>109</v>
      </c>
      <c r="D17" s="2" t="s">
        <v>29</v>
      </c>
      <c r="E17" s="2">
        <v>78.0</v>
      </c>
      <c r="F17" s="2" t="s">
        <v>30</v>
      </c>
      <c r="G17" s="2">
        <v>26.15</v>
      </c>
      <c r="I17" s="2">
        <v>26.35</v>
      </c>
      <c r="K17" s="2">
        <v>0.0</v>
      </c>
      <c r="L17" s="2">
        <v>0.0</v>
      </c>
      <c r="M17" s="2" t="s">
        <v>46</v>
      </c>
      <c r="N17" s="2">
        <v>0.9958</v>
      </c>
      <c r="O17" s="2">
        <v>0.0</v>
      </c>
      <c r="P17" s="2">
        <v>2.9216</v>
      </c>
      <c r="Q17" s="2">
        <v>0.0</v>
      </c>
      <c r="R17" s="2">
        <v>0.0757</v>
      </c>
      <c r="S17" s="2">
        <v>104.68</v>
      </c>
      <c r="T17" s="2">
        <v>51.0</v>
      </c>
      <c r="V17" s="2">
        <f t="shared" si="2"/>
        <v>26.69104922</v>
      </c>
      <c r="W17" s="2">
        <f t="shared" si="3"/>
        <v>8.638948112</v>
      </c>
      <c r="X17" s="2">
        <f t="shared" si="4"/>
        <v>8.604893127</v>
      </c>
      <c r="Y17" s="2">
        <f t="shared" ref="Y17:Z17" si="20">_xlfn.NORM.S.DIST(W17)</f>
        <v>1</v>
      </c>
      <c r="Z17" s="2">
        <f t="shared" si="20"/>
        <v>1</v>
      </c>
      <c r="AA17" s="2">
        <f t="shared" si="6"/>
        <v>26.25</v>
      </c>
    </row>
    <row r="18" ht="14.25" customHeight="1">
      <c r="A18" s="2" t="s">
        <v>124</v>
      </c>
      <c r="B18" s="2" t="s">
        <v>125</v>
      </c>
      <c r="C18" s="2" t="s">
        <v>109</v>
      </c>
      <c r="D18" s="2" t="s">
        <v>29</v>
      </c>
      <c r="E18" s="2">
        <v>78.0</v>
      </c>
      <c r="F18" s="2" t="s">
        <v>30</v>
      </c>
      <c r="G18" s="2">
        <v>25.75</v>
      </c>
      <c r="I18" s="2">
        <v>25.95</v>
      </c>
      <c r="K18" s="2">
        <v>0.0</v>
      </c>
      <c r="L18" s="2">
        <v>0.0</v>
      </c>
      <c r="M18" s="2" t="s">
        <v>47</v>
      </c>
      <c r="N18" s="2">
        <v>0.9959</v>
      </c>
      <c r="O18" s="2">
        <v>0.0</v>
      </c>
      <c r="P18" s="2">
        <v>2.9136</v>
      </c>
      <c r="Q18" s="2">
        <v>4.0E-4</v>
      </c>
      <c r="R18" s="2">
        <v>0.171</v>
      </c>
      <c r="S18" s="2">
        <v>104.16</v>
      </c>
      <c r="T18" s="2">
        <v>50.0</v>
      </c>
      <c r="V18" s="2">
        <f t="shared" si="2"/>
        <v>26.17094817</v>
      </c>
      <c r="W18" s="2">
        <f t="shared" si="3"/>
        <v>3.797051663</v>
      </c>
      <c r="X18" s="2">
        <f t="shared" si="4"/>
        <v>3.720882209</v>
      </c>
      <c r="Y18" s="2">
        <f t="shared" ref="Y18:Z18" si="21">_xlfn.NORM.S.DIST(W18)</f>
        <v>0.9999267864</v>
      </c>
      <c r="Z18" s="2">
        <f t="shared" si="21"/>
        <v>0.999900736</v>
      </c>
      <c r="AA18" s="2">
        <f t="shared" si="6"/>
        <v>25.85</v>
      </c>
    </row>
    <row r="19" ht="14.25" customHeight="1">
      <c r="A19" s="2" t="s">
        <v>124</v>
      </c>
      <c r="B19" s="2" t="s">
        <v>125</v>
      </c>
      <c r="C19" s="2" t="s">
        <v>109</v>
      </c>
      <c r="D19" s="2" t="s">
        <v>29</v>
      </c>
      <c r="E19" s="2">
        <v>78.0</v>
      </c>
      <c r="F19" s="2" t="s">
        <v>30</v>
      </c>
      <c r="G19" s="2">
        <v>25.65</v>
      </c>
      <c r="I19" s="2">
        <v>25.85</v>
      </c>
      <c r="K19" s="2">
        <v>0.0</v>
      </c>
      <c r="L19" s="2">
        <v>0.0</v>
      </c>
      <c r="M19" s="2" t="s">
        <v>48</v>
      </c>
      <c r="N19" s="2">
        <v>0.9961</v>
      </c>
      <c r="O19" s="2">
        <v>0.0</v>
      </c>
      <c r="P19" s="2">
        <v>2.9221</v>
      </c>
      <c r="Q19" s="2">
        <v>0.0</v>
      </c>
      <c r="R19" s="2">
        <v>0.0822</v>
      </c>
      <c r="S19" s="2">
        <v>104.15</v>
      </c>
      <c r="T19" s="2">
        <v>47.0</v>
      </c>
      <c r="V19" s="2">
        <f t="shared" si="2"/>
        <v>26.16018267</v>
      </c>
      <c r="W19" s="2">
        <f t="shared" si="3"/>
        <v>8.144467183</v>
      </c>
      <c r="X19" s="2">
        <f t="shared" si="4"/>
        <v>8.108967827</v>
      </c>
      <c r="Y19" s="2">
        <f t="shared" ref="Y19:Z19" si="22">_xlfn.NORM.S.DIST(W19)</f>
        <v>1</v>
      </c>
      <c r="Z19" s="2">
        <f t="shared" si="22"/>
        <v>1</v>
      </c>
      <c r="AA19" s="2">
        <f t="shared" si="6"/>
        <v>25.75</v>
      </c>
    </row>
    <row r="20" ht="14.25" customHeight="1">
      <c r="A20" s="2" t="s">
        <v>124</v>
      </c>
      <c r="B20" s="2" t="s">
        <v>125</v>
      </c>
      <c r="C20" s="2" t="s">
        <v>109</v>
      </c>
      <c r="D20" s="2" t="s">
        <v>29</v>
      </c>
      <c r="E20" s="2">
        <v>78.0</v>
      </c>
      <c r="F20" s="2" t="s">
        <v>30</v>
      </c>
      <c r="G20" s="2">
        <v>26.2</v>
      </c>
      <c r="I20" s="2">
        <v>26.4</v>
      </c>
      <c r="K20" s="2">
        <v>0.0</v>
      </c>
      <c r="L20" s="2">
        <v>0.0</v>
      </c>
      <c r="M20" s="2" t="s">
        <v>49</v>
      </c>
      <c r="N20" s="2">
        <v>0.9962</v>
      </c>
      <c r="O20" s="2">
        <v>0.0</v>
      </c>
      <c r="P20" s="2">
        <v>2.9541</v>
      </c>
      <c r="Q20" s="2">
        <v>0.0</v>
      </c>
      <c r="R20" s="2">
        <v>0.0961</v>
      </c>
      <c r="S20" s="2">
        <v>104.64</v>
      </c>
      <c r="T20" s="2">
        <v>46.0</v>
      </c>
      <c r="V20" s="2">
        <f t="shared" si="2"/>
        <v>26.64996603</v>
      </c>
      <c r="W20" s="2">
        <f t="shared" si="3"/>
        <v>7.156076542</v>
      </c>
      <c r="X20" s="2">
        <f t="shared" si="4"/>
        <v>7.115018141</v>
      </c>
      <c r="Y20" s="2">
        <f t="shared" ref="Y20:Z20" si="23">_xlfn.NORM.S.DIST(W20)</f>
        <v>1</v>
      </c>
      <c r="Z20" s="2">
        <f t="shared" si="23"/>
        <v>1</v>
      </c>
      <c r="AA20" s="2">
        <f t="shared" si="6"/>
        <v>26.3</v>
      </c>
    </row>
    <row r="21" ht="14.25" customHeight="1">
      <c r="A21" s="2" t="s">
        <v>124</v>
      </c>
      <c r="B21" s="2" t="s">
        <v>125</v>
      </c>
      <c r="C21" s="2" t="s">
        <v>109</v>
      </c>
      <c r="D21" s="2" t="s">
        <v>29</v>
      </c>
      <c r="E21" s="2">
        <v>78.0</v>
      </c>
      <c r="F21" s="2" t="s">
        <v>30</v>
      </c>
      <c r="G21" s="2">
        <v>25.65</v>
      </c>
      <c r="I21" s="2">
        <v>25.85</v>
      </c>
      <c r="K21" s="2">
        <v>0.0</v>
      </c>
      <c r="L21" s="2">
        <v>0.0</v>
      </c>
      <c r="M21" s="2" t="s">
        <v>50</v>
      </c>
      <c r="N21" s="2">
        <v>0.9963</v>
      </c>
      <c r="O21" s="2">
        <v>0.0</v>
      </c>
      <c r="P21" s="2">
        <v>2.9693</v>
      </c>
      <c r="Q21" s="2">
        <v>0.0</v>
      </c>
      <c r="R21" s="2">
        <v>0.0935</v>
      </c>
      <c r="S21" s="2">
        <v>104.07</v>
      </c>
      <c r="T21" s="2">
        <v>45.0</v>
      </c>
      <c r="V21" s="2">
        <f t="shared" si="2"/>
        <v>26.07974939</v>
      </c>
      <c r="W21" s="2">
        <f t="shared" si="3"/>
        <v>7.29809938</v>
      </c>
      <c r="X21" s="2">
        <f t="shared" si="4"/>
        <v>7.258588419</v>
      </c>
      <c r="Y21" s="2">
        <f t="shared" ref="Y21:Z21" si="24">_xlfn.NORM.S.DIST(W21)</f>
        <v>1</v>
      </c>
      <c r="Z21" s="2">
        <f t="shared" si="24"/>
        <v>1</v>
      </c>
      <c r="AA21" s="2">
        <f t="shared" si="6"/>
        <v>25.75</v>
      </c>
    </row>
    <row r="22" ht="14.25" customHeight="1">
      <c r="A22" s="2" t="s">
        <v>124</v>
      </c>
      <c r="B22" s="2" t="s">
        <v>125</v>
      </c>
      <c r="C22" s="2" t="s">
        <v>110</v>
      </c>
      <c r="D22" s="2" t="s">
        <v>29</v>
      </c>
      <c r="E22" s="2">
        <v>78.0</v>
      </c>
      <c r="F22" s="2" t="s">
        <v>30</v>
      </c>
      <c r="G22" s="2">
        <v>24.35</v>
      </c>
      <c r="I22" s="2">
        <v>24.55</v>
      </c>
      <c r="K22" s="2">
        <v>0.0</v>
      </c>
      <c r="L22" s="2">
        <v>0.0</v>
      </c>
      <c r="M22" s="2" t="s">
        <v>59</v>
      </c>
      <c r="N22" s="2">
        <v>0.9987</v>
      </c>
      <c r="O22" s="2">
        <v>0.0</v>
      </c>
      <c r="P22" s="2">
        <v>1.2824</v>
      </c>
      <c r="Q22" s="2">
        <v>0.0</v>
      </c>
      <c r="R22" s="2">
        <v>0.0663</v>
      </c>
      <c r="S22" s="2">
        <v>104.41</v>
      </c>
      <c r="T22" s="2">
        <v>33.0</v>
      </c>
      <c r="V22" s="2">
        <f t="shared" si="2"/>
        <v>26.41714967</v>
      </c>
      <c r="W22" s="2">
        <f t="shared" si="3"/>
        <v>12.15463882</v>
      </c>
      <c r="X22" s="2">
        <f t="shared" si="4"/>
        <v>12.13064662</v>
      </c>
      <c r="Y22" s="2">
        <f t="shared" ref="Y22:Z22" si="25">_xlfn.NORM.S.DIST(W22)</f>
        <v>1</v>
      </c>
      <c r="Z22" s="2">
        <f t="shared" si="25"/>
        <v>1</v>
      </c>
      <c r="AA22" s="2">
        <f t="shared" si="6"/>
        <v>24.45</v>
      </c>
    </row>
    <row r="23" ht="14.25" customHeight="1">
      <c r="A23" s="2" t="s">
        <v>124</v>
      </c>
      <c r="B23" s="2" t="s">
        <v>125</v>
      </c>
      <c r="C23" s="2" t="s">
        <v>110</v>
      </c>
      <c r="D23" s="2" t="s">
        <v>29</v>
      </c>
      <c r="E23" s="2">
        <v>78.0</v>
      </c>
      <c r="F23" s="2" t="s">
        <v>30</v>
      </c>
      <c r="G23" s="2">
        <v>24.65</v>
      </c>
      <c r="I23" s="2">
        <v>24.85</v>
      </c>
      <c r="K23" s="2">
        <v>0.0</v>
      </c>
      <c r="L23" s="2">
        <v>0.0</v>
      </c>
      <c r="M23" s="2" t="s">
        <v>60</v>
      </c>
      <c r="N23" s="2">
        <v>1.0</v>
      </c>
      <c r="O23" s="2">
        <v>0.0</v>
      </c>
      <c r="P23" s="2">
        <v>-0.2265</v>
      </c>
      <c r="Q23" s="2">
        <v>0.0</v>
      </c>
      <c r="R23" s="2">
        <v>0.0704</v>
      </c>
      <c r="S23" s="2">
        <v>104.07</v>
      </c>
      <c r="T23" s="2">
        <v>32.0</v>
      </c>
      <c r="V23" s="2">
        <f t="shared" si="2"/>
        <v>26.07693303</v>
      </c>
      <c r="W23" s="2">
        <f t="shared" si="3"/>
        <v>11.49423289</v>
      </c>
      <c r="X23" s="2">
        <f t="shared" si="4"/>
        <v>11.46914597</v>
      </c>
      <c r="Y23" s="2">
        <f t="shared" ref="Y23:Z23" si="26">_xlfn.NORM.S.DIST(W23)</f>
        <v>1</v>
      </c>
      <c r="Z23" s="2">
        <f t="shared" si="26"/>
        <v>1</v>
      </c>
      <c r="AA23" s="2">
        <f t="shared" si="6"/>
        <v>24.75</v>
      </c>
    </row>
    <row r="24" ht="14.25" customHeight="1">
      <c r="A24" s="2" t="s">
        <v>124</v>
      </c>
      <c r="B24" s="2" t="s">
        <v>125</v>
      </c>
      <c r="C24" s="2" t="s">
        <v>110</v>
      </c>
      <c r="D24" s="2" t="s">
        <v>29</v>
      </c>
      <c r="E24" s="2">
        <v>78.0</v>
      </c>
      <c r="F24" s="2" t="s">
        <v>30</v>
      </c>
      <c r="G24" s="2">
        <v>25.1</v>
      </c>
      <c r="I24" s="2">
        <v>25.3</v>
      </c>
      <c r="K24" s="2">
        <v>0.0</v>
      </c>
      <c r="L24" s="2">
        <v>0.0</v>
      </c>
      <c r="M24" s="2" t="s">
        <v>61</v>
      </c>
      <c r="N24" s="2">
        <v>0.9988</v>
      </c>
      <c r="O24" s="2">
        <v>0.0</v>
      </c>
      <c r="P24" s="2">
        <v>1.2924</v>
      </c>
      <c r="Q24" s="2">
        <v>0.0</v>
      </c>
      <c r="R24" s="2">
        <v>0.068</v>
      </c>
      <c r="S24" s="2">
        <v>104.35</v>
      </c>
      <c r="T24" s="2">
        <v>31.0</v>
      </c>
      <c r="V24" s="2">
        <f t="shared" si="2"/>
        <v>26.35671638</v>
      </c>
      <c r="W24" s="2">
        <f t="shared" si="3"/>
        <v>12.2029797</v>
      </c>
      <c r="X24" s="2">
        <f t="shared" si="4"/>
        <v>12.17912964</v>
      </c>
      <c r="Y24" s="2">
        <f t="shared" ref="Y24:Z24" si="27">_xlfn.NORM.S.DIST(W24)</f>
        <v>1</v>
      </c>
      <c r="Z24" s="2">
        <f t="shared" si="27"/>
        <v>1</v>
      </c>
      <c r="AA24" s="2">
        <f t="shared" si="6"/>
        <v>25.2</v>
      </c>
    </row>
    <row r="25" ht="14.25" customHeight="1">
      <c r="A25" s="2" t="s">
        <v>124</v>
      </c>
      <c r="B25" s="2" t="s">
        <v>125</v>
      </c>
      <c r="C25" s="2" t="s">
        <v>110</v>
      </c>
      <c r="D25" s="2" t="s">
        <v>29</v>
      </c>
      <c r="E25" s="2">
        <v>78.0</v>
      </c>
      <c r="F25" s="2" t="s">
        <v>30</v>
      </c>
      <c r="G25" s="2">
        <v>25.25</v>
      </c>
      <c r="I25" s="2">
        <v>25.5</v>
      </c>
      <c r="K25" s="2">
        <v>0.0</v>
      </c>
      <c r="L25" s="2">
        <v>0.0</v>
      </c>
      <c r="M25" s="2" t="s">
        <v>62</v>
      </c>
      <c r="N25" s="2">
        <v>1.0</v>
      </c>
      <c r="O25" s="2">
        <v>0.0</v>
      </c>
      <c r="P25" s="2">
        <v>-0.2265</v>
      </c>
      <c r="Q25" s="2">
        <v>0.0</v>
      </c>
      <c r="R25" s="2">
        <v>0.0607</v>
      </c>
      <c r="S25" s="2">
        <v>104.1</v>
      </c>
      <c r="T25" s="2">
        <v>30.0</v>
      </c>
      <c r="V25" s="2">
        <f t="shared" si="2"/>
        <v>26.10649973</v>
      </c>
      <c r="W25" s="2">
        <f t="shared" si="3"/>
        <v>13.78199874</v>
      </c>
      <c r="X25" s="2">
        <f t="shared" si="4"/>
        <v>13.76105525</v>
      </c>
      <c r="Y25" s="2">
        <f t="shared" ref="Y25:Z25" si="28">_xlfn.NORM.S.DIST(W25)</f>
        <v>1</v>
      </c>
      <c r="Z25" s="2">
        <f t="shared" si="28"/>
        <v>1</v>
      </c>
      <c r="AA25" s="2">
        <f t="shared" si="6"/>
        <v>25.375</v>
      </c>
    </row>
    <row r="26" ht="14.25" customHeight="1">
      <c r="A26" s="2" t="s">
        <v>124</v>
      </c>
      <c r="B26" s="2" t="s">
        <v>125</v>
      </c>
      <c r="C26" s="2" t="s">
        <v>110</v>
      </c>
      <c r="D26" s="2" t="s">
        <v>29</v>
      </c>
      <c r="E26" s="2">
        <v>78.0</v>
      </c>
      <c r="F26" s="2" t="s">
        <v>30</v>
      </c>
      <c r="G26" s="2">
        <v>24.7</v>
      </c>
      <c r="I26" s="2">
        <v>24.9</v>
      </c>
      <c r="K26" s="2">
        <v>0.0</v>
      </c>
      <c r="L26" s="2">
        <v>0.0</v>
      </c>
      <c r="M26" s="2" t="s">
        <v>63</v>
      </c>
      <c r="N26" s="2">
        <v>0.9988</v>
      </c>
      <c r="O26" s="2">
        <v>0.0</v>
      </c>
      <c r="P26" s="2">
        <v>1.3977</v>
      </c>
      <c r="Q26" s="2">
        <v>0.0</v>
      </c>
      <c r="R26" s="2">
        <v>0.0789</v>
      </c>
      <c r="S26" s="2">
        <v>103.17</v>
      </c>
      <c r="T26" s="2">
        <v>29.0</v>
      </c>
      <c r="V26" s="2">
        <f t="shared" si="2"/>
        <v>25.17628308</v>
      </c>
      <c r="W26" s="2">
        <f t="shared" si="3"/>
        <v>10.44886318</v>
      </c>
      <c r="X26" s="2">
        <f t="shared" si="4"/>
        <v>10.42209766</v>
      </c>
      <c r="Y26" s="2">
        <f t="shared" ref="Y26:Z26" si="29">_xlfn.NORM.S.DIST(W26)</f>
        <v>1</v>
      </c>
      <c r="Z26" s="2">
        <f t="shared" si="29"/>
        <v>1</v>
      </c>
      <c r="AA26" s="2">
        <f t="shared" si="6"/>
        <v>24.8</v>
      </c>
    </row>
    <row r="27" ht="14.25" customHeight="1">
      <c r="A27" s="2" t="s">
        <v>124</v>
      </c>
      <c r="B27" s="2" t="s">
        <v>125</v>
      </c>
      <c r="C27" s="2" t="s">
        <v>110</v>
      </c>
      <c r="D27" s="2" t="s">
        <v>29</v>
      </c>
      <c r="E27" s="2">
        <v>78.0</v>
      </c>
      <c r="F27" s="2" t="s">
        <v>30</v>
      </c>
      <c r="G27" s="2">
        <v>25.2</v>
      </c>
      <c r="I27" s="2">
        <v>25.4</v>
      </c>
      <c r="K27" s="2">
        <v>0.0</v>
      </c>
      <c r="L27" s="2">
        <v>0.0</v>
      </c>
      <c r="M27" s="2" t="s">
        <v>64</v>
      </c>
      <c r="N27" s="2">
        <v>0.9977</v>
      </c>
      <c r="O27" s="2">
        <v>0.0</v>
      </c>
      <c r="P27" s="2">
        <v>3.2754</v>
      </c>
      <c r="Q27" s="2">
        <v>0.0</v>
      </c>
      <c r="R27" s="2">
        <v>0.0675</v>
      </c>
      <c r="S27" s="2">
        <v>102.84</v>
      </c>
      <c r="T27" s="2">
        <v>25.0</v>
      </c>
      <c r="V27" s="2">
        <f t="shared" si="2"/>
        <v>24.84541648</v>
      </c>
      <c r="W27" s="2">
        <f t="shared" si="3"/>
        <v>13.00371745</v>
      </c>
      <c r="X27" s="2">
        <f t="shared" si="4"/>
        <v>12.98245695</v>
      </c>
      <c r="Y27" s="2">
        <f t="shared" ref="Y27:Z27" si="30">_xlfn.NORM.S.DIST(W27)</f>
        <v>1</v>
      </c>
      <c r="Z27" s="2">
        <f t="shared" si="30"/>
        <v>1</v>
      </c>
      <c r="AA27" s="2">
        <f t="shared" si="6"/>
        <v>25.3</v>
      </c>
    </row>
    <row r="28" ht="14.25" customHeight="1">
      <c r="A28" s="2" t="s">
        <v>124</v>
      </c>
      <c r="B28" s="2" t="s">
        <v>125</v>
      </c>
      <c r="C28" s="2" t="s">
        <v>110</v>
      </c>
      <c r="D28" s="2" t="s">
        <v>29</v>
      </c>
      <c r="E28" s="2">
        <v>78.0</v>
      </c>
      <c r="F28" s="2" t="s">
        <v>30</v>
      </c>
      <c r="G28" s="2">
        <v>24.15</v>
      </c>
      <c r="I28" s="2">
        <v>24.4</v>
      </c>
      <c r="K28" s="2">
        <v>0.0</v>
      </c>
      <c r="L28" s="2">
        <v>0.0</v>
      </c>
      <c r="M28" s="2" t="s">
        <v>65</v>
      </c>
      <c r="N28" s="2">
        <v>0.9978</v>
      </c>
      <c r="O28" s="2">
        <v>0.0</v>
      </c>
      <c r="P28" s="2">
        <v>3.2919</v>
      </c>
      <c r="Q28" s="2">
        <v>0.0</v>
      </c>
      <c r="R28" s="2">
        <v>0.0999</v>
      </c>
      <c r="S28" s="2">
        <v>103.16</v>
      </c>
      <c r="T28" s="2">
        <v>24.0</v>
      </c>
      <c r="V28" s="2">
        <f t="shared" si="2"/>
        <v>25.16519983</v>
      </c>
      <c r="W28" s="2">
        <f t="shared" si="3"/>
        <v>9.068247922</v>
      </c>
      <c r="X28" s="2">
        <f t="shared" si="4"/>
        <v>9.037418113</v>
      </c>
      <c r="Y28" s="2">
        <f t="shared" ref="Y28:Z28" si="31">_xlfn.NORM.S.DIST(W28)</f>
        <v>1</v>
      </c>
      <c r="Z28" s="2">
        <f t="shared" si="31"/>
        <v>1</v>
      </c>
      <c r="AA28" s="2">
        <f t="shared" si="6"/>
        <v>24.275</v>
      </c>
    </row>
    <row r="29" ht="14.25" customHeight="1">
      <c r="A29" s="2" t="s">
        <v>124</v>
      </c>
      <c r="B29" s="2" t="s">
        <v>125</v>
      </c>
      <c r="C29" s="2" t="s">
        <v>110</v>
      </c>
      <c r="D29" s="2" t="s">
        <v>29</v>
      </c>
      <c r="E29" s="2">
        <v>78.0</v>
      </c>
      <c r="F29" s="2" t="s">
        <v>30</v>
      </c>
      <c r="G29" s="2">
        <v>24.15</v>
      </c>
      <c r="I29" s="2">
        <v>24.35</v>
      </c>
      <c r="K29" s="2">
        <v>0.0</v>
      </c>
      <c r="L29" s="2">
        <v>0.0</v>
      </c>
      <c r="M29" s="2" t="s">
        <v>66</v>
      </c>
      <c r="N29" s="2">
        <v>0.9742</v>
      </c>
      <c r="O29" s="2">
        <v>0.0039</v>
      </c>
      <c r="P29" s="2">
        <v>-3.2685</v>
      </c>
      <c r="Q29" s="2">
        <v>1.4107</v>
      </c>
      <c r="R29" s="2">
        <v>0.5691</v>
      </c>
      <c r="S29" s="2">
        <v>102.89</v>
      </c>
      <c r="T29" s="2">
        <v>23.0</v>
      </c>
      <c r="V29" s="2">
        <f t="shared" si="2"/>
        <v>25.23582087</v>
      </c>
      <c r="W29" s="2">
        <f t="shared" si="3"/>
        <v>1.610837353</v>
      </c>
      <c r="X29" s="2">
        <f t="shared" si="4"/>
        <v>1.438907128</v>
      </c>
      <c r="Y29" s="2">
        <f t="shared" ref="Y29:Z29" si="32">_xlfn.NORM.S.DIST(W29)</f>
        <v>0.9463924114</v>
      </c>
      <c r="Z29" s="2">
        <f t="shared" si="32"/>
        <v>0.9249115811</v>
      </c>
      <c r="AA29" s="2">
        <f t="shared" si="6"/>
        <v>24.25</v>
      </c>
    </row>
    <row r="30" ht="14.25" customHeight="1">
      <c r="A30" s="2" t="s">
        <v>124</v>
      </c>
      <c r="B30" s="2" t="s">
        <v>125</v>
      </c>
      <c r="C30" s="2" t="s">
        <v>110</v>
      </c>
      <c r="D30" s="2" t="s">
        <v>29</v>
      </c>
      <c r="E30" s="2">
        <v>78.0</v>
      </c>
      <c r="F30" s="2" t="s">
        <v>30</v>
      </c>
      <c r="G30" s="2">
        <v>25.05</v>
      </c>
      <c r="I30" s="2">
        <v>25.25</v>
      </c>
      <c r="K30" s="2">
        <v>0.0</v>
      </c>
      <c r="L30" s="2">
        <v>0.0</v>
      </c>
      <c r="M30" s="2" t="s">
        <v>67</v>
      </c>
      <c r="N30" s="2">
        <v>0.9783</v>
      </c>
      <c r="O30" s="2">
        <v>0.0033</v>
      </c>
      <c r="P30" s="2">
        <v>-2.5916</v>
      </c>
      <c r="Q30" s="2">
        <v>1.1902</v>
      </c>
      <c r="R30" s="2">
        <v>0.5782</v>
      </c>
      <c r="S30" s="2">
        <v>103.05</v>
      </c>
      <c r="T30" s="2">
        <v>22.0</v>
      </c>
      <c r="V30" s="2">
        <f t="shared" si="2"/>
        <v>25.3784716</v>
      </c>
      <c r="W30" s="2">
        <f t="shared" si="3"/>
        <v>1.630213888</v>
      </c>
      <c r="X30" s="2">
        <f t="shared" si="4"/>
        <v>1.459374047</v>
      </c>
      <c r="Y30" s="2">
        <f t="shared" ref="Y30:Z30" si="33">_xlfn.NORM.S.DIST(W30)</f>
        <v>0.9484718501</v>
      </c>
      <c r="Z30" s="2">
        <f t="shared" si="33"/>
        <v>0.9277689075</v>
      </c>
      <c r="AA30" s="2">
        <f t="shared" si="6"/>
        <v>25.15</v>
      </c>
    </row>
    <row r="31" ht="14.25" customHeight="1">
      <c r="A31" s="2" t="s">
        <v>124</v>
      </c>
      <c r="B31" s="2" t="s">
        <v>125</v>
      </c>
      <c r="C31" s="2" t="s">
        <v>110</v>
      </c>
      <c r="D31" s="2" t="s">
        <v>29</v>
      </c>
      <c r="E31" s="2">
        <v>78.0</v>
      </c>
      <c r="F31" s="2" t="s">
        <v>30</v>
      </c>
      <c r="G31" s="2">
        <v>24.4</v>
      </c>
      <c r="I31" s="2">
        <v>24.65</v>
      </c>
      <c r="K31" s="2">
        <v>0.0</v>
      </c>
      <c r="L31" s="2">
        <v>0.0</v>
      </c>
      <c r="M31" s="2" t="s">
        <v>68</v>
      </c>
      <c r="N31" s="2">
        <v>0.9991</v>
      </c>
      <c r="O31" s="2">
        <v>0.0</v>
      </c>
      <c r="P31" s="2">
        <v>1.5405</v>
      </c>
      <c r="Q31" s="2">
        <v>0.0</v>
      </c>
      <c r="R31" s="2">
        <v>0.075</v>
      </c>
      <c r="S31" s="2">
        <v>103.41</v>
      </c>
      <c r="T31" s="2">
        <v>19.0</v>
      </c>
      <c r="V31" s="2">
        <f t="shared" si="2"/>
        <v>25.41411656</v>
      </c>
      <c r="W31" s="2">
        <f t="shared" si="3"/>
        <v>13.69305308</v>
      </c>
      <c r="X31" s="2">
        <f t="shared" si="4"/>
        <v>13.67245922</v>
      </c>
      <c r="Y31" s="2">
        <f t="shared" ref="Y31:Z31" si="34">_xlfn.NORM.S.DIST(W31)</f>
        <v>1</v>
      </c>
      <c r="Z31" s="2">
        <f t="shared" si="34"/>
        <v>1</v>
      </c>
      <c r="AA31" s="2">
        <f t="shared" si="6"/>
        <v>24.525</v>
      </c>
    </row>
    <row r="32" ht="14.25" customHeight="1">
      <c r="A32" s="2" t="s">
        <v>124</v>
      </c>
      <c r="B32" s="2" t="s">
        <v>125</v>
      </c>
      <c r="C32" s="2" t="s">
        <v>110</v>
      </c>
      <c r="D32" s="2" t="s">
        <v>29</v>
      </c>
      <c r="E32" s="2">
        <v>78.0</v>
      </c>
      <c r="F32" s="2" t="s">
        <v>30</v>
      </c>
      <c r="G32" s="2">
        <v>24.1</v>
      </c>
      <c r="I32" s="2">
        <v>24.3</v>
      </c>
      <c r="K32" s="2">
        <v>0.0</v>
      </c>
      <c r="L32" s="2">
        <v>0.0</v>
      </c>
      <c r="M32" s="2" t="s">
        <v>69</v>
      </c>
      <c r="N32" s="2">
        <v>1.0</v>
      </c>
      <c r="O32" s="2">
        <v>0.0</v>
      </c>
      <c r="P32" s="2">
        <v>-0.2266</v>
      </c>
      <c r="Q32" s="2">
        <v>0.0</v>
      </c>
      <c r="R32" s="2">
        <v>0.0784</v>
      </c>
      <c r="S32" s="2">
        <v>103.51</v>
      </c>
      <c r="T32" s="2">
        <v>18.0</v>
      </c>
      <c r="V32" s="2">
        <f t="shared" si="2"/>
        <v>25.5138999</v>
      </c>
      <c r="W32" s="2">
        <f t="shared" si="3"/>
        <v>13.5043001</v>
      </c>
      <c r="X32" s="2">
        <f t="shared" si="4"/>
        <v>13.48334682</v>
      </c>
      <c r="Y32" s="2">
        <f t="shared" ref="Y32:Z32" si="35">_xlfn.NORM.S.DIST(W32)</f>
        <v>1</v>
      </c>
      <c r="Z32" s="2">
        <f t="shared" si="35"/>
        <v>1</v>
      </c>
      <c r="AA32" s="2">
        <f t="shared" si="6"/>
        <v>24.2</v>
      </c>
    </row>
    <row r="33" ht="14.25" customHeight="1">
      <c r="A33" s="2" t="s">
        <v>124</v>
      </c>
      <c r="B33" s="2" t="s">
        <v>125</v>
      </c>
      <c r="C33" s="2" t="s">
        <v>110</v>
      </c>
      <c r="D33" s="2" t="s">
        <v>29</v>
      </c>
      <c r="E33" s="2">
        <v>78.0</v>
      </c>
      <c r="F33" s="2" t="s">
        <v>30</v>
      </c>
      <c r="G33" s="2">
        <v>24.1</v>
      </c>
      <c r="I33" s="2">
        <v>24.3</v>
      </c>
      <c r="K33" s="2">
        <v>0.0</v>
      </c>
      <c r="L33" s="2">
        <v>0.0</v>
      </c>
      <c r="M33" s="2" t="s">
        <v>70</v>
      </c>
      <c r="N33" s="2">
        <v>1.0</v>
      </c>
      <c r="O33" s="2">
        <v>0.0</v>
      </c>
      <c r="P33" s="2">
        <v>-0.2266</v>
      </c>
      <c r="Q33" s="2">
        <v>0.0</v>
      </c>
      <c r="R33" s="2">
        <v>0.077</v>
      </c>
      <c r="S33" s="2">
        <v>102.95</v>
      </c>
      <c r="T33" s="2">
        <v>17.0</v>
      </c>
      <c r="V33" s="2">
        <f t="shared" si="2"/>
        <v>24.95368325</v>
      </c>
      <c r="W33" s="2">
        <f t="shared" si="3"/>
        <v>13.8772122</v>
      </c>
      <c r="X33" s="2">
        <f t="shared" si="4"/>
        <v>13.85721289</v>
      </c>
      <c r="Y33" s="2">
        <f t="shared" ref="Y33:Z33" si="36">_xlfn.NORM.S.DIST(W33)</f>
        <v>1</v>
      </c>
      <c r="Z33" s="2">
        <f t="shared" si="36"/>
        <v>1</v>
      </c>
      <c r="AA33" s="2">
        <f t="shared" si="6"/>
        <v>24.2</v>
      </c>
    </row>
    <row r="34" ht="14.25" customHeight="1">
      <c r="A34" s="2" t="s">
        <v>124</v>
      </c>
      <c r="B34" s="2" t="s">
        <v>125</v>
      </c>
      <c r="C34" s="2" t="s">
        <v>110</v>
      </c>
      <c r="D34" s="2" t="s">
        <v>29</v>
      </c>
      <c r="E34" s="2">
        <v>78.0</v>
      </c>
      <c r="F34" s="2" t="s">
        <v>30</v>
      </c>
      <c r="G34" s="2">
        <v>23.9</v>
      </c>
      <c r="I34" s="2">
        <v>24.15</v>
      </c>
      <c r="K34" s="2">
        <v>0.0</v>
      </c>
      <c r="L34" s="2">
        <v>0.0</v>
      </c>
      <c r="M34" s="2" t="s">
        <v>71</v>
      </c>
      <c r="N34" s="2">
        <v>0.9993</v>
      </c>
      <c r="O34" s="2">
        <v>0.0</v>
      </c>
      <c r="P34" s="2">
        <v>1.5348</v>
      </c>
      <c r="Q34" s="2">
        <v>0.0</v>
      </c>
      <c r="R34" s="2">
        <v>0.0666</v>
      </c>
      <c r="S34" s="2">
        <v>103.63</v>
      </c>
      <c r="T34" s="2">
        <v>16.0</v>
      </c>
      <c r="V34" s="2">
        <f t="shared" si="2"/>
        <v>25.63346659</v>
      </c>
      <c r="W34" s="2">
        <f t="shared" si="3"/>
        <v>16.93030783</v>
      </c>
      <c r="X34" s="2">
        <f t="shared" si="4"/>
        <v>16.91352621</v>
      </c>
      <c r="Y34" s="2">
        <f t="shared" ref="Y34:Z34" si="37">_xlfn.NORM.S.DIST(W34)</f>
        <v>1</v>
      </c>
      <c r="Z34" s="2">
        <f t="shared" si="37"/>
        <v>1</v>
      </c>
      <c r="AA34" s="2">
        <f t="shared" si="6"/>
        <v>24.025</v>
      </c>
    </row>
    <row r="35" ht="14.25" customHeight="1">
      <c r="A35" s="2" t="s">
        <v>124</v>
      </c>
      <c r="B35" s="2" t="s">
        <v>125</v>
      </c>
      <c r="C35" s="2" t="s">
        <v>110</v>
      </c>
      <c r="D35" s="2" t="s">
        <v>29</v>
      </c>
      <c r="E35" s="2">
        <v>78.0</v>
      </c>
      <c r="F35" s="2" t="s">
        <v>30</v>
      </c>
      <c r="G35" s="2">
        <v>23.8</v>
      </c>
      <c r="I35" s="2">
        <v>24.0</v>
      </c>
      <c r="K35" s="2">
        <v>0.0</v>
      </c>
      <c r="L35" s="2">
        <v>0.0</v>
      </c>
      <c r="M35" s="2" t="s">
        <v>72</v>
      </c>
      <c r="N35" s="2">
        <v>0.9986</v>
      </c>
      <c r="O35" s="2">
        <v>0.0</v>
      </c>
      <c r="P35" s="2">
        <v>3.2896</v>
      </c>
      <c r="Q35" s="2">
        <v>0.0</v>
      </c>
      <c r="R35" s="2">
        <v>0.1335</v>
      </c>
      <c r="S35" s="2">
        <v>102.47</v>
      </c>
      <c r="T35" s="2">
        <v>15.0</v>
      </c>
      <c r="V35" s="2">
        <f t="shared" si="2"/>
        <v>24.47324993</v>
      </c>
      <c r="W35" s="2">
        <f t="shared" si="3"/>
        <v>8.377515371</v>
      </c>
      <c r="X35" s="2">
        <f t="shared" si="4"/>
        <v>8.344944706</v>
      </c>
      <c r="Y35" s="2">
        <f t="shared" ref="Y35:Z35" si="38">_xlfn.NORM.S.DIST(W35)</f>
        <v>1</v>
      </c>
      <c r="Z35" s="2">
        <f t="shared" si="38"/>
        <v>1</v>
      </c>
      <c r="AA35" s="2">
        <f t="shared" si="6"/>
        <v>23.9</v>
      </c>
    </row>
    <row r="36" ht="14.25" customHeight="1">
      <c r="A36" s="2" t="s">
        <v>124</v>
      </c>
      <c r="B36" s="2" t="s">
        <v>125</v>
      </c>
      <c r="C36" s="2" t="s">
        <v>110</v>
      </c>
      <c r="D36" s="2" t="s">
        <v>29</v>
      </c>
      <c r="E36" s="2">
        <v>78.0</v>
      </c>
      <c r="F36" s="2" t="s">
        <v>30</v>
      </c>
      <c r="G36" s="2">
        <v>21.3</v>
      </c>
      <c r="I36" s="2">
        <v>26.25</v>
      </c>
      <c r="K36" s="2">
        <v>0.0</v>
      </c>
      <c r="L36" s="2">
        <v>0.0</v>
      </c>
      <c r="M36" s="2" t="s">
        <v>73</v>
      </c>
      <c r="N36" s="2">
        <v>0.9989</v>
      </c>
      <c r="O36" s="2">
        <v>0.0</v>
      </c>
      <c r="P36" s="2">
        <v>3.355</v>
      </c>
      <c r="Q36" s="2">
        <v>0.0</v>
      </c>
      <c r="R36" s="2">
        <v>0.0868</v>
      </c>
      <c r="S36" s="2">
        <v>102.3</v>
      </c>
      <c r="T36" s="2">
        <v>12.0</v>
      </c>
      <c r="V36" s="2">
        <f t="shared" si="2"/>
        <v>24.30259996</v>
      </c>
      <c r="W36" s="2">
        <f t="shared" si="3"/>
        <v>14.31795399</v>
      </c>
      <c r="X36" s="2">
        <f t="shared" si="4"/>
        <v>14.29901268</v>
      </c>
      <c r="Y36" s="2">
        <f t="shared" ref="Y36:Z36" si="39">_xlfn.NORM.S.DIST(W36)</f>
        <v>1</v>
      </c>
      <c r="Z36" s="2">
        <f t="shared" si="39"/>
        <v>1</v>
      </c>
      <c r="AA36" s="2">
        <f t="shared" si="6"/>
        <v>23.775</v>
      </c>
    </row>
    <row r="37" ht="14.25" customHeight="1">
      <c r="A37" s="2" t="s">
        <v>124</v>
      </c>
      <c r="B37" s="2" t="s">
        <v>125</v>
      </c>
      <c r="C37" s="2" t="s">
        <v>110</v>
      </c>
      <c r="D37" s="2" t="s">
        <v>29</v>
      </c>
      <c r="E37" s="2">
        <v>78.0</v>
      </c>
      <c r="F37" s="2" t="s">
        <v>30</v>
      </c>
      <c r="G37" s="2">
        <v>24.25</v>
      </c>
      <c r="I37" s="2">
        <v>24.5</v>
      </c>
      <c r="K37" s="2">
        <v>0.0</v>
      </c>
      <c r="L37" s="2">
        <v>0.0</v>
      </c>
      <c r="M37" s="2" t="s">
        <v>74</v>
      </c>
      <c r="N37" s="2">
        <v>0.999</v>
      </c>
      <c r="O37" s="2">
        <v>0.0</v>
      </c>
      <c r="P37" s="2">
        <v>3.4395</v>
      </c>
      <c r="Q37" s="2">
        <v>0.0</v>
      </c>
      <c r="R37" s="2">
        <v>0.0732</v>
      </c>
      <c r="S37" s="2">
        <v>103.21</v>
      </c>
      <c r="T37" s="2">
        <v>11.0</v>
      </c>
      <c r="V37" s="2">
        <f t="shared" si="2"/>
        <v>25.2123833</v>
      </c>
      <c r="W37" s="2">
        <f t="shared" si="3"/>
        <v>18.31214238</v>
      </c>
      <c r="X37" s="2">
        <f t="shared" si="4"/>
        <v>18.29684887</v>
      </c>
      <c r="Y37" s="2">
        <f t="shared" ref="Y37:Z37" si="40">_xlfn.NORM.S.DIST(W37)</f>
        <v>1</v>
      </c>
      <c r="Z37" s="2">
        <f t="shared" si="40"/>
        <v>1</v>
      </c>
      <c r="AA37" s="2">
        <f t="shared" si="6"/>
        <v>24.375</v>
      </c>
    </row>
    <row r="38" ht="14.25" customHeight="1">
      <c r="A38" s="2" t="s">
        <v>124</v>
      </c>
      <c r="B38" s="2" t="s">
        <v>125</v>
      </c>
      <c r="C38" s="2" t="s">
        <v>110</v>
      </c>
      <c r="D38" s="2" t="s">
        <v>29</v>
      </c>
      <c r="E38" s="2">
        <v>78.0</v>
      </c>
      <c r="F38" s="2" t="s">
        <v>30</v>
      </c>
      <c r="G38" s="2">
        <v>24.2</v>
      </c>
      <c r="I38" s="2">
        <v>24.5</v>
      </c>
      <c r="K38" s="2">
        <v>0.0</v>
      </c>
      <c r="L38" s="2">
        <v>0.0</v>
      </c>
      <c r="M38" s="2" t="s">
        <v>75</v>
      </c>
      <c r="N38" s="2">
        <v>0.9991</v>
      </c>
      <c r="O38" s="2">
        <v>0.0</v>
      </c>
      <c r="P38" s="2">
        <v>3.4495</v>
      </c>
      <c r="Q38" s="2">
        <v>0.0</v>
      </c>
      <c r="R38" s="2">
        <v>0.0901</v>
      </c>
      <c r="S38" s="2">
        <v>102.79</v>
      </c>
      <c r="T38" s="2">
        <v>10.0</v>
      </c>
      <c r="V38" s="2">
        <f t="shared" si="2"/>
        <v>24.79216664</v>
      </c>
      <c r="W38" s="2">
        <f t="shared" si="3"/>
        <v>15.37630207</v>
      </c>
      <c r="X38" s="2">
        <f t="shared" si="4"/>
        <v>15.35835372</v>
      </c>
      <c r="Y38" s="2">
        <f t="shared" ref="Y38:Z38" si="41">_xlfn.NORM.S.DIST(W38)</f>
        <v>1</v>
      </c>
      <c r="Z38" s="2">
        <f t="shared" si="41"/>
        <v>1</v>
      </c>
      <c r="AA38" s="2">
        <f t="shared" si="6"/>
        <v>24.35</v>
      </c>
    </row>
    <row r="39" ht="14.25" customHeight="1">
      <c r="A39" s="2" t="s">
        <v>124</v>
      </c>
      <c r="B39" s="2" t="s">
        <v>125</v>
      </c>
      <c r="C39" s="2" t="s">
        <v>110</v>
      </c>
      <c r="D39" s="2" t="s">
        <v>29</v>
      </c>
      <c r="E39" s="2">
        <v>78.0</v>
      </c>
      <c r="F39" s="2" t="s">
        <v>30</v>
      </c>
      <c r="G39" s="2">
        <v>24.45</v>
      </c>
      <c r="I39" s="2">
        <v>24.8</v>
      </c>
      <c r="K39" s="2">
        <v>0.0</v>
      </c>
      <c r="L39" s="2">
        <v>0.0</v>
      </c>
      <c r="M39" s="2" t="s">
        <v>76</v>
      </c>
      <c r="N39" s="2">
        <v>0.9992</v>
      </c>
      <c r="O39" s="2">
        <v>0.0</v>
      </c>
      <c r="P39" s="2">
        <v>3.461</v>
      </c>
      <c r="Q39" s="2">
        <v>0.0</v>
      </c>
      <c r="R39" s="2">
        <v>0.0683</v>
      </c>
      <c r="S39" s="2">
        <v>102.35</v>
      </c>
      <c r="T39" s="2">
        <v>9.0</v>
      </c>
      <c r="V39" s="2">
        <f t="shared" si="2"/>
        <v>24.35194998</v>
      </c>
      <c r="W39" s="2">
        <f t="shared" si="3"/>
        <v>21.04898425</v>
      </c>
      <c r="X39" s="2">
        <f t="shared" si="4"/>
        <v>21.03607677</v>
      </c>
      <c r="Y39" s="2">
        <f t="shared" ref="Y39:Z39" si="42">_xlfn.NORM.S.DIST(W39)</f>
        <v>1</v>
      </c>
      <c r="Z39" s="2">
        <f t="shared" si="42"/>
        <v>1</v>
      </c>
      <c r="AA39" s="2">
        <f t="shared" si="6"/>
        <v>24.625</v>
      </c>
    </row>
    <row r="40" ht="14.25" customHeight="1">
      <c r="A40" s="2" t="s">
        <v>124</v>
      </c>
      <c r="B40" s="2" t="s">
        <v>125</v>
      </c>
      <c r="C40" s="2" t="s">
        <v>110</v>
      </c>
      <c r="D40" s="2" t="s">
        <v>29</v>
      </c>
      <c r="E40" s="2">
        <v>78.0</v>
      </c>
      <c r="F40" s="2" t="s">
        <v>30</v>
      </c>
      <c r="G40" s="2">
        <v>24.05</v>
      </c>
      <c r="I40" s="2">
        <v>24.65</v>
      </c>
      <c r="K40" s="2">
        <v>0.0</v>
      </c>
      <c r="L40" s="2">
        <v>0.0</v>
      </c>
      <c r="M40" s="2" t="s">
        <v>77</v>
      </c>
      <c r="N40" s="2">
        <v>0.9993</v>
      </c>
      <c r="O40" s="2">
        <v>0.0</v>
      </c>
      <c r="P40" s="2">
        <v>3.4341</v>
      </c>
      <c r="Q40" s="2">
        <v>0.0</v>
      </c>
      <c r="R40" s="2">
        <v>0.0742</v>
      </c>
      <c r="S40" s="2">
        <v>102.38</v>
      </c>
      <c r="T40" s="2">
        <v>8.0</v>
      </c>
      <c r="V40" s="2">
        <f t="shared" si="2"/>
        <v>24.38173331</v>
      </c>
      <c r="W40" s="2">
        <f t="shared" si="3"/>
        <v>20.57275337</v>
      </c>
      <c r="X40" s="2">
        <f t="shared" si="4"/>
        <v>20.55953285</v>
      </c>
      <c r="Y40" s="2">
        <f t="shared" ref="Y40:Z40" si="43">_xlfn.NORM.S.DIST(W40)</f>
        <v>1</v>
      </c>
      <c r="Z40" s="2">
        <f t="shared" si="43"/>
        <v>1</v>
      </c>
      <c r="AA40" s="2">
        <f t="shared" si="6"/>
        <v>24.35</v>
      </c>
    </row>
    <row r="41" ht="14.25" customHeight="1">
      <c r="A41" s="2" t="s">
        <v>124</v>
      </c>
      <c r="B41" s="2" t="s">
        <v>125</v>
      </c>
      <c r="C41" s="2" t="s">
        <v>110</v>
      </c>
      <c r="D41" s="2" t="s">
        <v>29</v>
      </c>
      <c r="E41" s="2">
        <v>78.0</v>
      </c>
      <c r="F41" s="2" t="s">
        <v>30</v>
      </c>
      <c r="G41" s="2">
        <v>24.5</v>
      </c>
      <c r="I41" s="2">
        <v>24.85</v>
      </c>
      <c r="K41" s="2">
        <v>0.0</v>
      </c>
      <c r="L41" s="2">
        <v>0.0</v>
      </c>
      <c r="M41" s="2" t="s">
        <v>78</v>
      </c>
      <c r="N41" s="2">
        <v>1.0</v>
      </c>
      <c r="O41" s="2">
        <v>0.0</v>
      </c>
      <c r="P41" s="2">
        <v>-0.2199</v>
      </c>
      <c r="Q41" s="2">
        <v>0.0</v>
      </c>
      <c r="R41" s="2">
        <v>0.0869</v>
      </c>
      <c r="S41" s="2">
        <v>102.27</v>
      </c>
      <c r="T41" s="2">
        <v>5.0</v>
      </c>
      <c r="V41" s="2">
        <f t="shared" si="2"/>
        <v>24.27108333</v>
      </c>
      <c r="W41" s="2">
        <f t="shared" si="3"/>
        <v>22.13179289</v>
      </c>
      <c r="X41" s="2">
        <f t="shared" si="4"/>
        <v>22.11955224</v>
      </c>
      <c r="Y41" s="2">
        <f t="shared" ref="Y41:Z41" si="44">_xlfn.NORM.S.DIST(W41)</f>
        <v>1</v>
      </c>
      <c r="Z41" s="2">
        <f t="shared" si="44"/>
        <v>1</v>
      </c>
      <c r="AA41" s="2">
        <f t="shared" si="6"/>
        <v>24.675</v>
      </c>
    </row>
    <row r="42" ht="14.25" customHeight="1">
      <c r="A42" s="2" t="s">
        <v>124</v>
      </c>
      <c r="B42" s="2" t="s">
        <v>125</v>
      </c>
      <c r="C42" s="2" t="s">
        <v>110</v>
      </c>
      <c r="D42" s="2" t="s">
        <v>29</v>
      </c>
      <c r="E42" s="2">
        <v>78.0</v>
      </c>
      <c r="F42" s="2" t="s">
        <v>30</v>
      </c>
      <c r="G42" s="2">
        <v>25.05</v>
      </c>
      <c r="I42" s="2">
        <v>25.35</v>
      </c>
      <c r="K42" s="2">
        <v>0.0</v>
      </c>
      <c r="L42" s="2">
        <v>0.0</v>
      </c>
      <c r="M42" s="2" t="s">
        <v>79</v>
      </c>
      <c r="N42" s="2">
        <v>1.0</v>
      </c>
      <c r="O42" s="2">
        <v>0.0</v>
      </c>
      <c r="P42" s="2">
        <v>-0.2199</v>
      </c>
      <c r="Q42" s="2">
        <v>0.0</v>
      </c>
      <c r="R42" s="2">
        <v>0.0689</v>
      </c>
      <c r="S42" s="2">
        <v>101.95</v>
      </c>
      <c r="T42" s="2">
        <v>4.0</v>
      </c>
      <c r="V42" s="2">
        <f t="shared" si="2"/>
        <v>23.95086666</v>
      </c>
      <c r="W42" s="2">
        <f t="shared" si="3"/>
        <v>30.84742552</v>
      </c>
      <c r="X42" s="2">
        <f t="shared" si="4"/>
        <v>30.83874493</v>
      </c>
      <c r="Y42" s="2">
        <f t="shared" ref="Y42:Z42" si="45">_xlfn.NORM.S.DIST(W42)</f>
        <v>1</v>
      </c>
      <c r="Z42" s="2">
        <f t="shared" si="45"/>
        <v>1</v>
      </c>
      <c r="AA42" s="2">
        <f t="shared" si="6"/>
        <v>25.2</v>
      </c>
    </row>
    <row r="43" ht="14.25" customHeight="1">
      <c r="A43" s="2" t="s">
        <v>124</v>
      </c>
      <c r="B43" s="2" t="s">
        <v>125</v>
      </c>
      <c r="C43" s="2" t="s">
        <v>110</v>
      </c>
      <c r="D43" s="2" t="s">
        <v>29</v>
      </c>
      <c r="E43" s="2">
        <v>78.0</v>
      </c>
      <c r="F43" s="2" t="s">
        <v>30</v>
      </c>
      <c r="G43" s="2">
        <v>24.9</v>
      </c>
      <c r="I43" s="2">
        <v>25.2</v>
      </c>
      <c r="K43" s="2">
        <v>0.0</v>
      </c>
      <c r="L43" s="2">
        <v>0.0</v>
      </c>
      <c r="M43" s="2" t="s">
        <v>80</v>
      </c>
      <c r="N43" s="2">
        <v>1.0</v>
      </c>
      <c r="O43" s="2">
        <v>0.0</v>
      </c>
      <c r="P43" s="2">
        <v>-0.2199</v>
      </c>
      <c r="Q43" s="2">
        <v>0.0</v>
      </c>
      <c r="R43" s="2">
        <v>0.5148</v>
      </c>
      <c r="S43" s="2">
        <v>102.01</v>
      </c>
      <c r="T43" s="2">
        <v>3.0</v>
      </c>
      <c r="V43" s="2">
        <f t="shared" si="2"/>
        <v>24.01065085</v>
      </c>
      <c r="W43" s="2">
        <f t="shared" si="3"/>
        <v>4.777736111</v>
      </c>
      <c r="X43" s="2">
        <f t="shared" si="4"/>
        <v>4.721566826</v>
      </c>
      <c r="Y43" s="2">
        <f t="shared" ref="Y43:Z43" si="46">_xlfn.NORM.S.DIST(W43)</f>
        <v>0.9999991136</v>
      </c>
      <c r="Z43" s="2">
        <f t="shared" si="46"/>
        <v>0.9999988298</v>
      </c>
      <c r="AA43" s="2">
        <f t="shared" si="6"/>
        <v>25.05</v>
      </c>
    </row>
    <row r="44" ht="14.25" customHeight="1">
      <c r="A44" s="2" t="s">
        <v>124</v>
      </c>
      <c r="B44" s="2" t="s">
        <v>125</v>
      </c>
      <c r="C44" s="2" t="s">
        <v>110</v>
      </c>
      <c r="D44" s="2" t="s">
        <v>29</v>
      </c>
      <c r="E44" s="2">
        <v>78.0</v>
      </c>
      <c r="F44" s="2" t="s">
        <v>30</v>
      </c>
      <c r="G44" s="2">
        <v>25.6</v>
      </c>
      <c r="I44" s="2">
        <v>25.95</v>
      </c>
      <c r="K44" s="2">
        <v>0.0</v>
      </c>
      <c r="L44" s="2">
        <v>0.0</v>
      </c>
      <c r="M44" s="2" t="s">
        <v>81</v>
      </c>
      <c r="N44" s="2">
        <v>1.0</v>
      </c>
      <c r="O44" s="2">
        <v>0.0</v>
      </c>
      <c r="P44" s="2">
        <v>-0.2199</v>
      </c>
      <c r="Q44" s="2">
        <v>0.0</v>
      </c>
      <c r="R44" s="2">
        <v>0.0061</v>
      </c>
      <c r="S44" s="2">
        <v>102.54</v>
      </c>
      <c r="T44" s="2">
        <v>2.0</v>
      </c>
      <c r="V44" s="2">
        <f t="shared" si="2"/>
        <v>24.54043333</v>
      </c>
      <c r="W44" s="2">
        <f t="shared" si="3"/>
        <v>503.3648119</v>
      </c>
      <c r="X44" s="2">
        <f t="shared" si="4"/>
        <v>503.3642684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25.775</v>
      </c>
    </row>
    <row r="45" ht="14.25" customHeight="1">
      <c r="A45" s="2" t="s">
        <v>124</v>
      </c>
      <c r="B45" s="2" t="s">
        <v>125</v>
      </c>
      <c r="C45" s="2" t="s">
        <v>110</v>
      </c>
      <c r="D45" s="2" t="s">
        <v>29</v>
      </c>
      <c r="E45" s="2">
        <v>78.0</v>
      </c>
      <c r="F45" s="2" t="s">
        <v>30</v>
      </c>
      <c r="G45" s="2">
        <v>23.57</v>
      </c>
      <c r="I45" s="2">
        <v>28.57</v>
      </c>
      <c r="K45" s="2">
        <v>0.0</v>
      </c>
      <c r="L45" s="2">
        <v>0.0</v>
      </c>
      <c r="M45" s="2" t="s">
        <v>82</v>
      </c>
      <c r="N45" s="2">
        <v>1.0</v>
      </c>
      <c r="O45" s="2">
        <v>0.0</v>
      </c>
      <c r="P45" s="2">
        <v>-0.2199</v>
      </c>
      <c r="Q45" s="2">
        <v>0.0</v>
      </c>
      <c r="R45" s="2">
        <v>0.0268</v>
      </c>
      <c r="S45" s="2">
        <v>102.4</v>
      </c>
      <c r="T45" s="2">
        <v>1.0</v>
      </c>
      <c r="V45" s="2">
        <f t="shared" si="2"/>
        <v>24.40021667</v>
      </c>
      <c r="W45" s="2">
        <f t="shared" si="3"/>
        <v>161.2197758</v>
      </c>
      <c r="X45" s="2">
        <f t="shared" si="4"/>
        <v>161.2180875</v>
      </c>
      <c r="Y45" s="2">
        <f t="shared" ref="Y45:Z45" si="48">_xlfn.NORM.S.DIST(W45)</f>
        <v>1</v>
      </c>
      <c r="Z45" s="2">
        <f t="shared" si="48"/>
        <v>1</v>
      </c>
      <c r="AA45" s="2">
        <f t="shared" si="6"/>
        <v>26.07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  <col customWidth="1" min="20" max="20" width="15.29"/>
    <col customWidth="1" min="21" max="2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7" t="s">
        <v>126</v>
      </c>
      <c r="V1" s="3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4" t="s">
        <v>25</v>
      </c>
    </row>
    <row r="2" ht="14.25" customHeight="1">
      <c r="A2" s="2" t="s">
        <v>127</v>
      </c>
      <c r="B2" s="2" t="s">
        <v>126</v>
      </c>
      <c r="C2" s="2" t="s">
        <v>119</v>
      </c>
      <c r="D2" s="2" t="s">
        <v>29</v>
      </c>
      <c r="E2" s="2">
        <v>90.0</v>
      </c>
      <c r="F2" s="2" t="s">
        <v>30</v>
      </c>
      <c r="G2" s="2">
        <v>55.4</v>
      </c>
      <c r="I2" s="2">
        <v>55.85</v>
      </c>
      <c r="K2" s="2">
        <v>0.0</v>
      </c>
      <c r="L2" s="2">
        <v>0.0</v>
      </c>
      <c r="M2" s="2" t="s">
        <v>31</v>
      </c>
      <c r="N2" s="2">
        <v>0.9953</v>
      </c>
      <c r="O2" s="2">
        <v>0.0</v>
      </c>
      <c r="P2" s="2">
        <v>2.6744</v>
      </c>
      <c r="Q2" s="2">
        <v>0.0</v>
      </c>
      <c r="R2" s="2">
        <v>0.1648</v>
      </c>
      <c r="S2" s="2">
        <v>146.24</v>
      </c>
      <c r="T2" s="2">
        <v>85.0</v>
      </c>
      <c r="U2" s="6">
        <v>57.3751220703125</v>
      </c>
      <c r="V2" s="2">
        <f t="shared" ref="V2:V60" si="2">S2*Y2 - E2*Z2*exp(-0.0007*T2/252)</f>
        <v>56.26124788</v>
      </c>
      <c r="W2" s="2">
        <f t="shared" ref="W2:W60" si="3">((LN(S2/E2) + (0.0007 + (R2^2)/2) * U2/$AB$2)) / (R2 * SQRT(T2/252))</f>
        <v>5.105844361</v>
      </c>
      <c r="X2" s="2">
        <f t="shared" ref="X2:X60" si="4">W2-(R2*SQRT(T2/$AB$2))</f>
        <v>5.010132359</v>
      </c>
      <c r="Y2" s="2">
        <f t="shared" ref="Y2:Z2" si="1">_xlfn.NORM.S.DIST(W2)</f>
        <v>0.9999998353</v>
      </c>
      <c r="Z2" s="2">
        <f t="shared" si="1"/>
        <v>0.999999728</v>
      </c>
      <c r="AA2" s="2">
        <f t="shared" ref="AA2:AA60" si="6">if(0.5*(G2+I2)=0,0,0.5*(G2+I2))</f>
        <v>55.625</v>
      </c>
      <c r="AB2" s="2">
        <v>252.0</v>
      </c>
    </row>
    <row r="3" ht="14.25" customHeight="1">
      <c r="A3" s="2" t="s">
        <v>127</v>
      </c>
      <c r="B3" s="2" t="s">
        <v>126</v>
      </c>
      <c r="C3" s="2" t="s">
        <v>119</v>
      </c>
      <c r="D3" s="2" t="s">
        <v>29</v>
      </c>
      <c r="E3" s="2">
        <v>90.0</v>
      </c>
      <c r="F3" s="2" t="s">
        <v>30</v>
      </c>
      <c r="G3" s="2">
        <v>55.0</v>
      </c>
      <c r="I3" s="2">
        <v>55.45</v>
      </c>
      <c r="K3" s="2">
        <v>0.0</v>
      </c>
      <c r="L3" s="2">
        <v>0.0</v>
      </c>
      <c r="M3" s="2" t="s">
        <v>32</v>
      </c>
      <c r="N3" s="2">
        <v>1.0</v>
      </c>
      <c r="O3" s="2">
        <v>0.0</v>
      </c>
      <c r="P3" s="2">
        <v>-0.2723</v>
      </c>
      <c r="Q3" s="2">
        <v>0.0</v>
      </c>
      <c r="R3" s="2">
        <v>0.1414</v>
      </c>
      <c r="S3" s="2">
        <v>145.94</v>
      </c>
      <c r="T3" s="2">
        <v>84.0</v>
      </c>
      <c r="U3" s="6">
        <v>57.33393478393555</v>
      </c>
      <c r="V3" s="2">
        <f t="shared" si="2"/>
        <v>55.96099755</v>
      </c>
      <c r="W3" s="2">
        <f t="shared" si="3"/>
        <v>5.950949762</v>
      </c>
      <c r="X3" s="2">
        <f t="shared" si="4"/>
        <v>5.869312434</v>
      </c>
      <c r="Y3" s="2">
        <f t="shared" ref="Y3:Z3" si="5">_xlfn.NORM.S.DIST(W3)</f>
        <v>0.9999999987</v>
      </c>
      <c r="Z3" s="2">
        <f t="shared" si="5"/>
        <v>0.9999999978</v>
      </c>
      <c r="AA3" s="2">
        <f t="shared" si="6"/>
        <v>55.225</v>
      </c>
    </row>
    <row r="4" ht="14.25" customHeight="1">
      <c r="A4" s="2" t="s">
        <v>127</v>
      </c>
      <c r="B4" s="2" t="s">
        <v>126</v>
      </c>
      <c r="C4" s="2" t="s">
        <v>119</v>
      </c>
      <c r="D4" s="2" t="s">
        <v>29</v>
      </c>
      <c r="E4" s="2">
        <v>90.0</v>
      </c>
      <c r="F4" s="2" t="s">
        <v>30</v>
      </c>
      <c r="G4" s="2">
        <v>55.7</v>
      </c>
      <c r="I4" s="2">
        <v>56.2</v>
      </c>
      <c r="K4" s="2">
        <v>0.0</v>
      </c>
      <c r="L4" s="2">
        <v>0.0</v>
      </c>
      <c r="M4" s="2" t="s">
        <v>33</v>
      </c>
      <c r="N4" s="2">
        <v>0.9975</v>
      </c>
      <c r="O4" s="2">
        <v>0.0</v>
      </c>
      <c r="P4" s="2">
        <v>1.3675</v>
      </c>
      <c r="Q4" s="2">
        <v>0.0</v>
      </c>
      <c r="R4" s="2">
        <v>0.1534</v>
      </c>
      <c r="S4" s="2">
        <v>146.65</v>
      </c>
      <c r="T4" s="2">
        <v>83.0</v>
      </c>
      <c r="U4" s="6">
        <v>57.75521469116211</v>
      </c>
      <c r="V4" s="2">
        <f t="shared" si="2"/>
        <v>56.67074763</v>
      </c>
      <c r="W4" s="2">
        <f t="shared" si="3"/>
        <v>5.57830648</v>
      </c>
      <c r="X4" s="2">
        <f t="shared" si="4"/>
        <v>5.490269703</v>
      </c>
      <c r="Y4" s="2">
        <f t="shared" ref="Y4:Z4" si="7">_xlfn.NORM.S.DIST(W4)</f>
        <v>0.9999999879</v>
      </c>
      <c r="Z4" s="2">
        <f t="shared" si="7"/>
        <v>0.9999999799</v>
      </c>
      <c r="AA4" s="2">
        <f t="shared" si="6"/>
        <v>55.95</v>
      </c>
      <c r="AB4" s="2">
        <f>average(R2:R60)</f>
        <v>0.1984322034</v>
      </c>
    </row>
    <row r="5" ht="14.25" customHeight="1">
      <c r="A5" s="2" t="s">
        <v>127</v>
      </c>
      <c r="B5" s="2" t="s">
        <v>126</v>
      </c>
      <c r="C5" s="2" t="s">
        <v>119</v>
      </c>
      <c r="D5" s="2" t="s">
        <v>29</v>
      </c>
      <c r="E5" s="2">
        <v>90.0</v>
      </c>
      <c r="F5" s="2" t="s">
        <v>30</v>
      </c>
      <c r="G5" s="2">
        <v>55.35</v>
      </c>
      <c r="I5" s="2">
        <v>55.85</v>
      </c>
      <c r="K5" s="2">
        <v>0.0</v>
      </c>
      <c r="L5" s="2">
        <v>0.0</v>
      </c>
      <c r="M5" s="2" t="s">
        <v>34</v>
      </c>
      <c r="N5" s="2">
        <v>0.9976</v>
      </c>
      <c r="O5" s="2">
        <v>0.0</v>
      </c>
      <c r="P5" s="2">
        <v>1.3692</v>
      </c>
      <c r="Q5" s="2">
        <v>0.0</v>
      </c>
      <c r="R5" s="2">
        <v>0.1569</v>
      </c>
      <c r="S5" s="2">
        <v>146.19</v>
      </c>
      <c r="T5" s="2">
        <v>80.0</v>
      </c>
      <c r="U5" s="6">
        <v>57.85666275024414</v>
      </c>
      <c r="V5" s="2">
        <f t="shared" si="2"/>
        <v>56.20999781</v>
      </c>
      <c r="W5" s="2">
        <f t="shared" si="3"/>
        <v>5.521118291</v>
      </c>
      <c r="X5" s="2">
        <f t="shared" si="4"/>
        <v>5.432715156</v>
      </c>
      <c r="Y5" s="2">
        <f t="shared" ref="Y5:Z5" si="8">_xlfn.NORM.S.DIST(W5)</f>
        <v>0.9999999832</v>
      </c>
      <c r="Z5" s="2">
        <f t="shared" si="8"/>
        <v>0.9999999722</v>
      </c>
      <c r="AA5" s="2">
        <f t="shared" si="6"/>
        <v>55.6</v>
      </c>
    </row>
    <row r="6" ht="14.25" customHeight="1">
      <c r="A6" s="2" t="s">
        <v>127</v>
      </c>
      <c r="B6" s="2" t="s">
        <v>126</v>
      </c>
      <c r="C6" s="2" t="s">
        <v>119</v>
      </c>
      <c r="D6" s="2" t="s">
        <v>29</v>
      </c>
      <c r="E6" s="2">
        <v>90.0</v>
      </c>
      <c r="F6" s="2" t="s">
        <v>30</v>
      </c>
      <c r="G6" s="2">
        <v>54.9</v>
      </c>
      <c r="I6" s="2">
        <v>55.4</v>
      </c>
      <c r="K6" s="2">
        <v>0.0</v>
      </c>
      <c r="L6" s="2">
        <v>0.0</v>
      </c>
      <c r="M6" s="2" t="s">
        <v>35</v>
      </c>
      <c r="N6" s="2">
        <v>0.9952</v>
      </c>
      <c r="O6" s="2">
        <v>0.0</v>
      </c>
      <c r="P6" s="2">
        <v>2.9924</v>
      </c>
      <c r="Q6" s="2">
        <v>0.0</v>
      </c>
      <c r="R6" s="2">
        <v>0.1638</v>
      </c>
      <c r="S6" s="2">
        <v>145.72</v>
      </c>
      <c r="T6" s="2">
        <v>79.0</v>
      </c>
      <c r="U6" s="6">
        <v>57.75162887573242</v>
      </c>
      <c r="V6" s="2">
        <f t="shared" si="2"/>
        <v>55.73974797</v>
      </c>
      <c r="W6" s="2">
        <f t="shared" si="3"/>
        <v>5.289504151</v>
      </c>
      <c r="X6" s="2">
        <f t="shared" si="4"/>
        <v>5.197791938</v>
      </c>
      <c r="Y6" s="2">
        <f t="shared" ref="Y6:Z6" si="9">_xlfn.NORM.S.DIST(W6)</f>
        <v>0.9999999387</v>
      </c>
      <c r="Z6" s="2">
        <f t="shared" si="9"/>
        <v>0.9999998992</v>
      </c>
      <c r="AA6" s="2">
        <f t="shared" si="6"/>
        <v>55.15</v>
      </c>
    </row>
    <row r="7" ht="14.25" customHeight="1">
      <c r="A7" s="2" t="s">
        <v>127</v>
      </c>
      <c r="B7" s="2" t="s">
        <v>126</v>
      </c>
      <c r="C7" s="2" t="s">
        <v>119</v>
      </c>
      <c r="D7" s="2" t="s">
        <v>29</v>
      </c>
      <c r="E7" s="2">
        <v>90.0</v>
      </c>
      <c r="F7" s="2" t="s">
        <v>30</v>
      </c>
      <c r="G7" s="2">
        <v>55.2</v>
      </c>
      <c r="I7" s="2">
        <v>55.75</v>
      </c>
      <c r="K7" s="2">
        <v>0.0</v>
      </c>
      <c r="L7" s="2">
        <v>0.0</v>
      </c>
      <c r="M7" s="2" t="s">
        <v>36</v>
      </c>
      <c r="N7" s="2">
        <v>0.9975</v>
      </c>
      <c r="O7" s="2">
        <v>0.0</v>
      </c>
      <c r="P7" s="2">
        <v>1.4244</v>
      </c>
      <c r="Q7" s="2">
        <v>0.0</v>
      </c>
      <c r="R7" s="2">
        <v>0.1552</v>
      </c>
      <c r="S7" s="2">
        <v>146.1</v>
      </c>
      <c r="T7" s="2">
        <v>78.0</v>
      </c>
      <c r="U7" s="6">
        <v>58.04058837890625</v>
      </c>
      <c r="V7" s="2">
        <f t="shared" si="2"/>
        <v>56.1194979</v>
      </c>
      <c r="W7" s="2">
        <f t="shared" si="3"/>
        <v>5.644970632</v>
      </c>
      <c r="X7" s="2">
        <f t="shared" si="4"/>
        <v>5.558625323</v>
      </c>
      <c r="Y7" s="2">
        <f t="shared" ref="Y7:Z7" si="10">_xlfn.NORM.S.DIST(W7)</f>
        <v>0.9999999917</v>
      </c>
      <c r="Z7" s="2">
        <f t="shared" si="10"/>
        <v>0.9999999864</v>
      </c>
      <c r="AA7" s="2">
        <f t="shared" si="6"/>
        <v>55.475</v>
      </c>
    </row>
    <row r="8" ht="14.25" customHeight="1">
      <c r="A8" s="2" t="s">
        <v>127</v>
      </c>
      <c r="B8" s="2" t="s">
        <v>126</v>
      </c>
      <c r="C8" s="2" t="s">
        <v>119</v>
      </c>
      <c r="D8" s="2" t="s">
        <v>29</v>
      </c>
      <c r="E8" s="2">
        <v>90.0</v>
      </c>
      <c r="F8" s="2" t="s">
        <v>30</v>
      </c>
      <c r="G8" s="2">
        <v>56.35</v>
      </c>
      <c r="I8" s="2">
        <v>56.85</v>
      </c>
      <c r="K8" s="2">
        <v>0.0</v>
      </c>
      <c r="L8" s="2">
        <v>0.0</v>
      </c>
      <c r="M8" s="2" t="s">
        <v>37</v>
      </c>
      <c r="N8" s="2">
        <v>0.9952</v>
      </c>
      <c r="O8" s="2">
        <v>0.0</v>
      </c>
      <c r="P8" s="2">
        <v>3.1138</v>
      </c>
      <c r="Q8" s="2">
        <v>0.0</v>
      </c>
      <c r="R8" s="2">
        <v>0.1681</v>
      </c>
      <c r="S8" s="2">
        <v>147.21</v>
      </c>
      <c r="T8" s="2">
        <v>77.0</v>
      </c>
      <c r="U8" s="6">
        <v>58.67315292358398</v>
      </c>
      <c r="V8" s="2">
        <f t="shared" si="2"/>
        <v>57.22924805</v>
      </c>
      <c r="W8" s="2">
        <f t="shared" si="3"/>
        <v>5.332532783</v>
      </c>
      <c r="X8" s="2">
        <f t="shared" si="4"/>
        <v>5.239612012</v>
      </c>
      <c r="Y8" s="2">
        <f t="shared" ref="Y8:Z8" si="11">_xlfn.NORM.S.DIST(W8)</f>
        <v>0.9999999516</v>
      </c>
      <c r="Z8" s="2">
        <f t="shared" si="11"/>
        <v>0.9999999195</v>
      </c>
      <c r="AA8" s="2">
        <f t="shared" si="6"/>
        <v>56.6</v>
      </c>
    </row>
    <row r="9" ht="14.25" customHeight="1">
      <c r="A9" s="2" t="s">
        <v>127</v>
      </c>
      <c r="B9" s="2" t="s">
        <v>126</v>
      </c>
      <c r="C9" s="2" t="s">
        <v>119</v>
      </c>
      <c r="D9" s="2" t="s">
        <v>29</v>
      </c>
      <c r="E9" s="2">
        <v>90.0</v>
      </c>
      <c r="F9" s="2" t="s">
        <v>30</v>
      </c>
      <c r="G9" s="2">
        <v>56.35</v>
      </c>
      <c r="I9" s="2">
        <v>56.85</v>
      </c>
      <c r="K9" s="2">
        <v>0.0</v>
      </c>
      <c r="L9" s="2">
        <v>0.0</v>
      </c>
      <c r="M9" s="2" t="s">
        <v>38</v>
      </c>
      <c r="N9" s="2">
        <v>0.9952</v>
      </c>
      <c r="O9" s="2">
        <v>0.0</v>
      </c>
      <c r="P9" s="2">
        <v>3.1248</v>
      </c>
      <c r="Q9" s="2">
        <v>0.0</v>
      </c>
      <c r="R9" s="2">
        <v>0.1671</v>
      </c>
      <c r="S9" s="2">
        <v>147.2</v>
      </c>
      <c r="T9" s="2">
        <v>76.0</v>
      </c>
      <c r="U9" s="6">
        <v>58.78877258300781</v>
      </c>
      <c r="V9" s="2">
        <f t="shared" si="2"/>
        <v>57.21899807</v>
      </c>
      <c r="W9" s="2">
        <f t="shared" si="3"/>
        <v>5.398529862</v>
      </c>
      <c r="X9" s="2">
        <f t="shared" si="4"/>
        <v>5.306763614</v>
      </c>
      <c r="Y9" s="2">
        <f t="shared" ref="Y9:Z9" si="12">_xlfn.NORM.S.DIST(W9)</f>
        <v>0.9999999664</v>
      </c>
      <c r="Z9" s="2">
        <f t="shared" si="12"/>
        <v>0.9999999442</v>
      </c>
      <c r="AA9" s="2">
        <f t="shared" si="6"/>
        <v>56.6</v>
      </c>
    </row>
    <row r="10" ht="14.25" customHeight="1">
      <c r="A10" s="2" t="s">
        <v>127</v>
      </c>
      <c r="B10" s="2" t="s">
        <v>126</v>
      </c>
      <c r="C10" s="2" t="s">
        <v>119</v>
      </c>
      <c r="D10" s="2" t="s">
        <v>29</v>
      </c>
      <c r="E10" s="2">
        <v>90.0</v>
      </c>
      <c r="F10" s="2" t="s">
        <v>30</v>
      </c>
      <c r="G10" s="2">
        <v>56.1</v>
      </c>
      <c r="I10" s="2">
        <v>56.6</v>
      </c>
      <c r="K10" s="2">
        <v>0.0</v>
      </c>
      <c r="L10" s="2">
        <v>0.0</v>
      </c>
      <c r="M10" s="2" t="s">
        <v>39</v>
      </c>
      <c r="N10" s="2">
        <v>0.9954</v>
      </c>
      <c r="O10" s="2">
        <v>0.0</v>
      </c>
      <c r="P10" s="2">
        <v>3.1294</v>
      </c>
      <c r="Q10" s="2">
        <v>0.0</v>
      </c>
      <c r="R10" s="2">
        <v>0.1637</v>
      </c>
      <c r="S10" s="2">
        <v>147.07</v>
      </c>
      <c r="T10" s="2">
        <v>73.0</v>
      </c>
      <c r="U10" s="6">
        <v>59.08660125732422</v>
      </c>
      <c r="V10" s="2">
        <f t="shared" si="2"/>
        <v>57.08824817</v>
      </c>
      <c r="W10" s="2">
        <f t="shared" si="3"/>
        <v>5.611420356</v>
      </c>
      <c r="X10" s="2">
        <f t="shared" si="4"/>
        <v>5.523313472</v>
      </c>
      <c r="Y10" s="2">
        <f t="shared" ref="Y10:Z10" si="13">_xlfn.NORM.S.DIST(W10)</f>
        <v>0.99999999</v>
      </c>
      <c r="Z10" s="2">
        <f t="shared" si="13"/>
        <v>0.9999999834</v>
      </c>
      <c r="AA10" s="2">
        <f t="shared" si="6"/>
        <v>56.35</v>
      </c>
    </row>
    <row r="11" ht="14.25" customHeight="1">
      <c r="A11" s="2" t="s">
        <v>127</v>
      </c>
      <c r="B11" s="2" t="s">
        <v>126</v>
      </c>
      <c r="C11" s="2" t="s">
        <v>119</v>
      </c>
      <c r="D11" s="2" t="s">
        <v>29</v>
      </c>
      <c r="E11" s="2">
        <v>90.0</v>
      </c>
      <c r="F11" s="2" t="s">
        <v>30</v>
      </c>
      <c r="G11" s="2">
        <v>56.3</v>
      </c>
      <c r="I11" s="2">
        <v>56.8</v>
      </c>
      <c r="K11" s="2">
        <v>0.0</v>
      </c>
      <c r="L11" s="2">
        <v>0.0</v>
      </c>
      <c r="M11" s="2" t="s">
        <v>40</v>
      </c>
      <c r="N11" s="2">
        <v>0.9955</v>
      </c>
      <c r="O11" s="2">
        <v>0.0</v>
      </c>
      <c r="P11" s="2">
        <v>3.1403</v>
      </c>
      <c r="Q11" s="2">
        <v>0.0</v>
      </c>
      <c r="R11" s="2">
        <v>0.1649</v>
      </c>
      <c r="S11" s="2">
        <v>147.23</v>
      </c>
      <c r="T11" s="2">
        <v>72.0</v>
      </c>
      <c r="U11" s="6">
        <v>59.27470016479492</v>
      </c>
      <c r="V11" s="2">
        <f t="shared" si="2"/>
        <v>57.24799822</v>
      </c>
      <c r="W11" s="2">
        <f t="shared" si="3"/>
        <v>5.622117999</v>
      </c>
      <c r="X11" s="2">
        <f t="shared" si="4"/>
        <v>5.533975241</v>
      </c>
      <c r="Y11" s="2">
        <f t="shared" ref="Y11:Z11" si="14">_xlfn.NORM.S.DIST(W11)</f>
        <v>0.9999999906</v>
      </c>
      <c r="Z11" s="2">
        <f t="shared" si="14"/>
        <v>0.9999999843</v>
      </c>
      <c r="AA11" s="2">
        <f t="shared" si="6"/>
        <v>56.55</v>
      </c>
    </row>
    <row r="12" ht="14.25" customHeight="1">
      <c r="A12" s="2" t="s">
        <v>127</v>
      </c>
      <c r="B12" s="2" t="s">
        <v>126</v>
      </c>
      <c r="C12" s="2" t="s">
        <v>119</v>
      </c>
      <c r="D12" s="2" t="s">
        <v>29</v>
      </c>
      <c r="E12" s="2">
        <v>90.0</v>
      </c>
      <c r="F12" s="2" t="s">
        <v>30</v>
      </c>
      <c r="G12" s="2">
        <v>56.25</v>
      </c>
      <c r="I12" s="2">
        <v>56.75</v>
      </c>
      <c r="K12" s="2">
        <v>0.0</v>
      </c>
      <c r="L12" s="2">
        <v>0.0</v>
      </c>
      <c r="M12" s="2" t="s">
        <v>41</v>
      </c>
      <c r="N12" s="2">
        <v>0.9955</v>
      </c>
      <c r="O12" s="2">
        <v>0.0</v>
      </c>
      <c r="P12" s="2">
        <v>3.1482</v>
      </c>
      <c r="Q12" s="2">
        <v>0.0</v>
      </c>
      <c r="R12" s="2">
        <v>0.161</v>
      </c>
      <c r="S12" s="2">
        <v>147.26</v>
      </c>
      <c r="T12" s="2">
        <v>71.0</v>
      </c>
      <c r="U12" s="6">
        <v>59.39776611328125</v>
      </c>
      <c r="V12" s="2">
        <f t="shared" si="2"/>
        <v>57.27774826</v>
      </c>
      <c r="W12" s="2">
        <f t="shared" si="3"/>
        <v>5.799428608</v>
      </c>
      <c r="X12" s="2">
        <f t="shared" si="4"/>
        <v>5.713970204</v>
      </c>
      <c r="Y12" s="2">
        <f t="shared" ref="Y12:Z12" si="15">_xlfn.NORM.S.DIST(W12)</f>
        <v>0.9999999967</v>
      </c>
      <c r="Z12" s="2">
        <f t="shared" si="15"/>
        <v>0.9999999945</v>
      </c>
      <c r="AA12" s="2">
        <f t="shared" si="6"/>
        <v>56.5</v>
      </c>
    </row>
    <row r="13" ht="14.25" customHeight="1">
      <c r="A13" s="2" t="s">
        <v>127</v>
      </c>
      <c r="B13" s="2" t="s">
        <v>126</v>
      </c>
      <c r="C13" s="2" t="s">
        <v>119</v>
      </c>
      <c r="D13" s="2" t="s">
        <v>29</v>
      </c>
      <c r="E13" s="2">
        <v>90.0</v>
      </c>
      <c r="F13" s="2" t="s">
        <v>30</v>
      </c>
      <c r="G13" s="2">
        <v>57.3</v>
      </c>
      <c r="I13" s="2">
        <v>57.8</v>
      </c>
      <c r="K13" s="2">
        <v>0.0</v>
      </c>
      <c r="L13" s="2">
        <v>0.0</v>
      </c>
      <c r="M13" s="2" t="s">
        <v>42</v>
      </c>
      <c r="N13" s="2">
        <v>0.9956</v>
      </c>
      <c r="O13" s="2">
        <v>0.0</v>
      </c>
      <c r="P13" s="2">
        <v>3.1467</v>
      </c>
      <c r="Q13" s="2">
        <v>0.0</v>
      </c>
      <c r="R13" s="2">
        <v>0.1714</v>
      </c>
      <c r="S13" s="2">
        <v>148.09</v>
      </c>
      <c r="T13" s="2">
        <v>70.0</v>
      </c>
      <c r="U13" s="6">
        <v>59.88090133666992</v>
      </c>
      <c r="V13" s="2">
        <f t="shared" si="2"/>
        <v>58.10749833</v>
      </c>
      <c r="W13" s="2">
        <f t="shared" si="3"/>
        <v>5.553365057</v>
      </c>
      <c r="X13" s="2">
        <f t="shared" si="4"/>
        <v>5.463029325</v>
      </c>
      <c r="Y13" s="2">
        <f t="shared" ref="Y13:Z13" si="16">_xlfn.NORM.S.DIST(W13)</f>
        <v>0.999999986</v>
      </c>
      <c r="Z13" s="2">
        <f t="shared" si="16"/>
        <v>0.9999999766</v>
      </c>
      <c r="AA13" s="2">
        <f t="shared" si="6"/>
        <v>57.55</v>
      </c>
    </row>
    <row r="14" ht="14.25" customHeight="1">
      <c r="A14" s="2" t="s">
        <v>127</v>
      </c>
      <c r="B14" s="2" t="s">
        <v>126</v>
      </c>
      <c r="C14" s="2" t="s">
        <v>119</v>
      </c>
      <c r="D14" s="2" t="s">
        <v>29</v>
      </c>
      <c r="E14" s="2">
        <v>90.0</v>
      </c>
      <c r="F14" s="2" t="s">
        <v>30</v>
      </c>
      <c r="G14" s="2">
        <v>57.5</v>
      </c>
      <c r="I14" s="2">
        <v>58.0</v>
      </c>
      <c r="K14" s="2">
        <v>0.0</v>
      </c>
      <c r="L14" s="2">
        <v>0.0</v>
      </c>
      <c r="M14" s="2" t="s">
        <v>43</v>
      </c>
      <c r="N14" s="2">
        <v>0.9957</v>
      </c>
      <c r="O14" s="2">
        <v>0.0</v>
      </c>
      <c r="P14" s="2">
        <v>3.1405</v>
      </c>
      <c r="Q14" s="2">
        <v>0.0</v>
      </c>
      <c r="R14" s="2">
        <v>0.1484</v>
      </c>
      <c r="S14" s="2">
        <v>148.6</v>
      </c>
      <c r="T14" s="2">
        <v>69.0</v>
      </c>
      <c r="U14" s="6">
        <v>60.20433807373047</v>
      </c>
      <c r="V14" s="2">
        <f t="shared" si="2"/>
        <v>58.61724835</v>
      </c>
      <c r="W14" s="2">
        <f t="shared" si="3"/>
        <v>6.493585967</v>
      </c>
      <c r="X14" s="2">
        <f t="shared" si="4"/>
        <v>6.415932978</v>
      </c>
      <c r="Y14" s="2">
        <f t="shared" ref="Y14:Z14" si="17">_xlfn.NORM.S.DIST(W14)</f>
        <v>1</v>
      </c>
      <c r="Z14" s="2">
        <f t="shared" si="17"/>
        <v>0.9999999999</v>
      </c>
      <c r="AA14" s="2">
        <f t="shared" si="6"/>
        <v>57.75</v>
      </c>
    </row>
    <row r="15" ht="14.25" customHeight="1">
      <c r="A15" s="2" t="s">
        <v>127</v>
      </c>
      <c r="B15" s="2" t="s">
        <v>126</v>
      </c>
      <c r="C15" s="2" t="s">
        <v>119</v>
      </c>
      <c r="D15" s="2" t="s">
        <v>29</v>
      </c>
      <c r="E15" s="2">
        <v>90.0</v>
      </c>
      <c r="F15" s="2" t="s">
        <v>30</v>
      </c>
      <c r="G15" s="2">
        <v>58.4</v>
      </c>
      <c r="I15" s="2">
        <v>58.9</v>
      </c>
      <c r="K15" s="2">
        <v>0.0</v>
      </c>
      <c r="L15" s="2">
        <v>0.0</v>
      </c>
      <c r="M15" s="2" t="s">
        <v>44</v>
      </c>
      <c r="N15" s="2">
        <v>0.996</v>
      </c>
      <c r="O15" s="2">
        <v>0.0</v>
      </c>
      <c r="P15" s="2">
        <v>3.1322</v>
      </c>
      <c r="Q15" s="2">
        <v>0.0</v>
      </c>
      <c r="R15" s="2">
        <v>0.1545</v>
      </c>
      <c r="S15" s="2">
        <v>149.26</v>
      </c>
      <c r="T15" s="2">
        <v>65.0</v>
      </c>
      <c r="U15" s="6">
        <v>60.77328491210938</v>
      </c>
      <c r="V15" s="2">
        <f t="shared" si="2"/>
        <v>59.27624853</v>
      </c>
      <c r="W15" s="2">
        <f t="shared" si="3"/>
        <v>6.485908015</v>
      </c>
      <c r="X15" s="2">
        <f t="shared" si="4"/>
        <v>6.407441405</v>
      </c>
      <c r="Y15" s="2">
        <f t="shared" ref="Y15:Z15" si="18">_xlfn.NORM.S.DIST(W15)</f>
        <v>1</v>
      </c>
      <c r="Z15" s="2">
        <f t="shared" si="18"/>
        <v>0.9999999999</v>
      </c>
      <c r="AA15" s="2">
        <f t="shared" si="6"/>
        <v>58.65</v>
      </c>
    </row>
    <row r="16" ht="14.25" customHeight="1">
      <c r="A16" s="2" t="s">
        <v>127</v>
      </c>
      <c r="B16" s="2" t="s">
        <v>126</v>
      </c>
      <c r="C16" s="2" t="s">
        <v>119</v>
      </c>
      <c r="D16" s="2" t="s">
        <v>29</v>
      </c>
      <c r="E16" s="2">
        <v>90.0</v>
      </c>
      <c r="F16" s="2" t="s">
        <v>30</v>
      </c>
      <c r="G16" s="2">
        <v>58.75</v>
      </c>
      <c r="I16" s="2">
        <v>59.15</v>
      </c>
      <c r="K16" s="2">
        <v>0.0</v>
      </c>
      <c r="L16" s="2">
        <v>0.0</v>
      </c>
      <c r="M16" s="2" t="s">
        <v>45</v>
      </c>
      <c r="N16" s="2">
        <v>0.9961</v>
      </c>
      <c r="O16" s="2">
        <v>0.0</v>
      </c>
      <c r="P16" s="2">
        <v>3.0499</v>
      </c>
      <c r="Q16" s="2">
        <v>0.0</v>
      </c>
      <c r="R16" s="2">
        <v>0.159</v>
      </c>
      <c r="S16" s="2">
        <v>149.48</v>
      </c>
      <c r="T16" s="2">
        <v>64.0</v>
      </c>
      <c r="U16" s="6">
        <v>60.91046524047852</v>
      </c>
      <c r="V16" s="2">
        <f t="shared" si="2"/>
        <v>59.49599858</v>
      </c>
      <c r="W16" s="2">
        <f t="shared" si="3"/>
        <v>6.371985556</v>
      </c>
      <c r="X16" s="2">
        <f t="shared" si="4"/>
        <v>6.291857087</v>
      </c>
      <c r="Y16" s="2">
        <f t="shared" ref="Y16:Z16" si="19">_xlfn.NORM.S.DIST(W16)</f>
        <v>0.9999999999</v>
      </c>
      <c r="Z16" s="2">
        <f t="shared" si="19"/>
        <v>0.9999999998</v>
      </c>
      <c r="AA16" s="2">
        <f t="shared" si="6"/>
        <v>58.95</v>
      </c>
    </row>
    <row r="17" ht="14.25" customHeight="1">
      <c r="A17" s="2" t="s">
        <v>127</v>
      </c>
      <c r="B17" s="2" t="s">
        <v>126</v>
      </c>
      <c r="C17" s="2" t="s">
        <v>119</v>
      </c>
      <c r="D17" s="2" t="s">
        <v>29</v>
      </c>
      <c r="E17" s="2">
        <v>90.0</v>
      </c>
      <c r="F17" s="2" t="s">
        <v>30</v>
      </c>
      <c r="G17" s="2">
        <v>58.85</v>
      </c>
      <c r="I17" s="2">
        <v>59.25</v>
      </c>
      <c r="K17" s="2">
        <v>0.0</v>
      </c>
      <c r="L17" s="2">
        <v>0.0</v>
      </c>
      <c r="M17" s="2" t="s">
        <v>46</v>
      </c>
      <c r="N17" s="2">
        <v>0.9962</v>
      </c>
      <c r="O17" s="2">
        <v>0.0</v>
      </c>
      <c r="P17" s="2">
        <v>3.0501</v>
      </c>
      <c r="Q17" s="2">
        <v>0.0</v>
      </c>
      <c r="R17" s="2">
        <v>0.1668</v>
      </c>
      <c r="S17" s="2">
        <v>149.48</v>
      </c>
      <c r="T17" s="2">
        <v>63.0</v>
      </c>
      <c r="U17" s="6">
        <v>60.94296646118164</v>
      </c>
      <c r="V17" s="2">
        <f t="shared" si="2"/>
        <v>59.49574862</v>
      </c>
      <c r="W17" s="2">
        <f t="shared" si="3"/>
        <v>6.125736765</v>
      </c>
      <c r="X17" s="2">
        <f t="shared" si="4"/>
        <v>6.042336765</v>
      </c>
      <c r="Y17" s="2">
        <f t="shared" ref="Y17:Z17" si="20">_xlfn.NORM.S.DIST(W17)</f>
        <v>0.9999999995</v>
      </c>
      <c r="Z17" s="2">
        <f t="shared" si="20"/>
        <v>0.9999999992</v>
      </c>
      <c r="AA17" s="2">
        <f t="shared" si="6"/>
        <v>59.05</v>
      </c>
    </row>
    <row r="18" ht="14.25" customHeight="1">
      <c r="A18" s="2" t="s">
        <v>127</v>
      </c>
      <c r="B18" s="2" t="s">
        <v>126</v>
      </c>
      <c r="C18" s="2" t="s">
        <v>119</v>
      </c>
      <c r="D18" s="2" t="s">
        <v>29</v>
      </c>
      <c r="E18" s="2">
        <v>90.0</v>
      </c>
      <c r="F18" s="2" t="s">
        <v>30</v>
      </c>
      <c r="G18" s="2">
        <v>59.5</v>
      </c>
      <c r="I18" s="2">
        <v>59.9</v>
      </c>
      <c r="K18" s="2">
        <v>0.0</v>
      </c>
      <c r="L18" s="2">
        <v>0.0</v>
      </c>
      <c r="M18" s="2" t="s">
        <v>47</v>
      </c>
      <c r="N18" s="2">
        <v>0.9981</v>
      </c>
      <c r="O18" s="2">
        <v>0.0</v>
      </c>
      <c r="P18" s="2">
        <v>1.4012</v>
      </c>
      <c r="Q18" s="2">
        <v>0.0</v>
      </c>
      <c r="R18" s="2">
        <v>0.137</v>
      </c>
      <c r="S18" s="2">
        <v>150.3</v>
      </c>
      <c r="T18" s="2">
        <v>62.0</v>
      </c>
      <c r="U18" s="6">
        <v>61.30741500854492</v>
      </c>
      <c r="V18" s="2">
        <f t="shared" si="2"/>
        <v>60.31549867</v>
      </c>
      <c r="W18" s="2">
        <f t="shared" si="3"/>
        <v>7.582713219</v>
      </c>
      <c r="X18" s="2">
        <f t="shared" si="4"/>
        <v>7.514759045</v>
      </c>
      <c r="Y18" s="2">
        <f t="shared" ref="Y18:Z18" si="21">_xlfn.NORM.S.DIST(W18)</f>
        <v>1</v>
      </c>
      <c r="Z18" s="2">
        <f t="shared" si="21"/>
        <v>1</v>
      </c>
      <c r="AA18" s="2">
        <f t="shared" si="6"/>
        <v>59.7</v>
      </c>
    </row>
    <row r="19" ht="14.25" customHeight="1">
      <c r="A19" s="2" t="s">
        <v>127</v>
      </c>
      <c r="B19" s="2" t="s">
        <v>126</v>
      </c>
      <c r="C19" s="2" t="s">
        <v>119</v>
      </c>
      <c r="D19" s="2" t="s">
        <v>29</v>
      </c>
      <c r="E19" s="2">
        <v>90.0</v>
      </c>
      <c r="F19" s="2" t="s">
        <v>30</v>
      </c>
      <c r="G19" s="2">
        <v>59.45</v>
      </c>
      <c r="I19" s="2">
        <v>59.8</v>
      </c>
      <c r="K19" s="2">
        <v>0.0</v>
      </c>
      <c r="L19" s="2">
        <v>0.0</v>
      </c>
      <c r="M19" s="2" t="s">
        <v>48</v>
      </c>
      <c r="N19" s="2">
        <v>1.0</v>
      </c>
      <c r="O19" s="2">
        <v>0.0</v>
      </c>
      <c r="P19" s="2">
        <v>-0.2724</v>
      </c>
      <c r="Q19" s="2">
        <v>0.0</v>
      </c>
      <c r="R19" s="2">
        <v>0.1356</v>
      </c>
      <c r="S19" s="2">
        <v>150.02</v>
      </c>
      <c r="T19" s="2">
        <v>59.0</v>
      </c>
      <c r="U19" s="6">
        <v>61.20893478393555</v>
      </c>
      <c r="V19" s="2">
        <f t="shared" si="2"/>
        <v>60.03474879</v>
      </c>
      <c r="W19" s="2">
        <f t="shared" si="3"/>
        <v>7.824171035</v>
      </c>
      <c r="X19" s="2">
        <f t="shared" si="4"/>
        <v>7.75855871</v>
      </c>
      <c r="Y19" s="2">
        <f t="shared" ref="Y19:Z19" si="22">_xlfn.NORM.S.DIST(W19)</f>
        <v>1</v>
      </c>
      <c r="Z19" s="2">
        <f t="shared" si="22"/>
        <v>1</v>
      </c>
      <c r="AA19" s="2">
        <f t="shared" si="6"/>
        <v>59.625</v>
      </c>
    </row>
    <row r="20" ht="14.25" customHeight="1">
      <c r="A20" s="2" t="s">
        <v>127</v>
      </c>
      <c r="B20" s="2" t="s">
        <v>126</v>
      </c>
      <c r="C20" s="2" t="s">
        <v>119</v>
      </c>
      <c r="D20" s="2" t="s">
        <v>29</v>
      </c>
      <c r="E20" s="2">
        <v>90.0</v>
      </c>
      <c r="F20" s="2" t="s">
        <v>30</v>
      </c>
      <c r="G20" s="2">
        <v>60.1</v>
      </c>
      <c r="I20" s="2">
        <v>60.45</v>
      </c>
      <c r="K20" s="2">
        <v>0.0</v>
      </c>
      <c r="L20" s="2">
        <v>0.0</v>
      </c>
      <c r="M20" s="2" t="s">
        <v>49</v>
      </c>
      <c r="N20" s="2">
        <v>1.0</v>
      </c>
      <c r="O20" s="2">
        <v>0.0</v>
      </c>
      <c r="P20" s="2">
        <v>-0.2724</v>
      </c>
      <c r="Q20" s="2">
        <v>0.0</v>
      </c>
      <c r="R20" s="2">
        <v>0.0932</v>
      </c>
      <c r="S20" s="2">
        <v>150.78</v>
      </c>
      <c r="T20" s="2">
        <v>58.0</v>
      </c>
      <c r="U20" s="6">
        <v>61.51218032836914</v>
      </c>
      <c r="V20" s="2">
        <f t="shared" si="2"/>
        <v>60.79449883</v>
      </c>
      <c r="W20" s="2">
        <f t="shared" si="3"/>
        <v>11.56818203</v>
      </c>
      <c r="X20" s="2">
        <f t="shared" si="4"/>
        <v>11.52346946</v>
      </c>
      <c r="Y20" s="2">
        <f t="shared" ref="Y20:Z20" si="23">_xlfn.NORM.S.DIST(W20)</f>
        <v>1</v>
      </c>
      <c r="Z20" s="2">
        <f t="shared" si="23"/>
        <v>1</v>
      </c>
      <c r="AA20" s="2">
        <f t="shared" si="6"/>
        <v>60.275</v>
      </c>
    </row>
    <row r="21" ht="14.25" customHeight="1">
      <c r="A21" s="2" t="s">
        <v>127</v>
      </c>
      <c r="B21" s="2" t="s">
        <v>126</v>
      </c>
      <c r="C21" s="2" t="s">
        <v>119</v>
      </c>
      <c r="D21" s="2" t="s">
        <v>29</v>
      </c>
      <c r="E21" s="2">
        <v>90.0</v>
      </c>
      <c r="F21" s="2" t="s">
        <v>30</v>
      </c>
      <c r="G21" s="2">
        <v>59.4</v>
      </c>
      <c r="I21" s="2">
        <v>59.75</v>
      </c>
      <c r="K21" s="2">
        <v>0.0</v>
      </c>
      <c r="L21" s="2">
        <v>0.0</v>
      </c>
      <c r="M21" s="2" t="s">
        <v>50</v>
      </c>
      <c r="N21" s="2">
        <v>1.0</v>
      </c>
      <c r="O21" s="2">
        <v>0.0</v>
      </c>
      <c r="P21" s="2">
        <v>-0.2724</v>
      </c>
      <c r="Q21" s="2">
        <v>0.0</v>
      </c>
      <c r="R21" s="2">
        <v>0.1144</v>
      </c>
      <c r="S21" s="2">
        <v>150.2</v>
      </c>
      <c r="T21" s="2">
        <v>57.0</v>
      </c>
      <c r="U21" s="6">
        <v>61.26889801025391</v>
      </c>
      <c r="V21" s="2">
        <f t="shared" si="2"/>
        <v>60.21424887</v>
      </c>
      <c r="W21" s="2">
        <f t="shared" si="3"/>
        <v>9.445646445</v>
      </c>
      <c r="X21" s="2">
        <f t="shared" si="4"/>
        <v>9.391238393</v>
      </c>
      <c r="Y21" s="2">
        <f t="shared" ref="Y21:Z21" si="24">_xlfn.NORM.S.DIST(W21)</f>
        <v>1</v>
      </c>
      <c r="Z21" s="2">
        <f t="shared" si="24"/>
        <v>1</v>
      </c>
      <c r="AA21" s="2">
        <f t="shared" si="6"/>
        <v>59.575</v>
      </c>
    </row>
    <row r="22" ht="14.25" customHeight="1">
      <c r="A22" s="2" t="s">
        <v>127</v>
      </c>
      <c r="B22" s="2" t="s">
        <v>126</v>
      </c>
      <c r="C22" s="2" t="s">
        <v>119</v>
      </c>
      <c r="D22" s="2" t="s">
        <v>29</v>
      </c>
      <c r="E22" s="2">
        <v>90.0</v>
      </c>
      <c r="F22" s="2" t="s">
        <v>30</v>
      </c>
      <c r="G22" s="2">
        <v>59.1</v>
      </c>
      <c r="I22" s="2">
        <v>59.5</v>
      </c>
      <c r="K22" s="2">
        <v>0.0</v>
      </c>
      <c r="L22" s="2">
        <v>0.0</v>
      </c>
      <c r="M22" s="2" t="s">
        <v>51</v>
      </c>
      <c r="N22" s="2">
        <v>0.9983</v>
      </c>
      <c r="O22" s="2">
        <v>0.0</v>
      </c>
      <c r="P22" s="2">
        <v>1.431</v>
      </c>
      <c r="Q22" s="2">
        <v>0.0</v>
      </c>
      <c r="R22" s="2">
        <v>0.1553</v>
      </c>
      <c r="S22" s="2">
        <v>149.81</v>
      </c>
      <c r="T22" s="2">
        <v>56.0</v>
      </c>
      <c r="U22" s="6">
        <v>61.10378265380859</v>
      </c>
      <c r="V22" s="2">
        <f t="shared" si="2"/>
        <v>59.82399891</v>
      </c>
      <c r="W22" s="2">
        <f t="shared" si="3"/>
        <v>7.002568714</v>
      </c>
      <c r="X22" s="2">
        <f t="shared" si="4"/>
        <v>6.929359592</v>
      </c>
      <c r="Y22" s="2">
        <f t="shared" ref="Y22:Z22" si="25">_xlfn.NORM.S.DIST(W22)</f>
        <v>1</v>
      </c>
      <c r="Z22" s="2">
        <f t="shared" si="25"/>
        <v>1</v>
      </c>
      <c r="AA22" s="2">
        <f t="shared" si="6"/>
        <v>59.3</v>
      </c>
    </row>
    <row r="23" ht="14.25" customHeight="1">
      <c r="A23" s="2" t="s">
        <v>127</v>
      </c>
      <c r="B23" s="2" t="s">
        <v>126</v>
      </c>
      <c r="C23" s="2" t="s">
        <v>91</v>
      </c>
      <c r="D23" s="2" t="s">
        <v>29</v>
      </c>
      <c r="E23" s="2">
        <v>90.0</v>
      </c>
      <c r="F23" s="2" t="s">
        <v>30</v>
      </c>
      <c r="G23" s="2">
        <v>58.35</v>
      </c>
      <c r="I23" s="2">
        <v>63.15</v>
      </c>
      <c r="K23" s="2">
        <v>0.0</v>
      </c>
      <c r="L23" s="2">
        <v>0.0</v>
      </c>
      <c r="M23" s="2" t="s">
        <v>53</v>
      </c>
      <c r="N23" s="2">
        <v>0.9966</v>
      </c>
      <c r="O23" s="2">
        <v>0.0</v>
      </c>
      <c r="P23" s="2">
        <v>3.1741</v>
      </c>
      <c r="Q23" s="2">
        <v>0.0</v>
      </c>
      <c r="R23" s="2">
        <v>0.1325</v>
      </c>
      <c r="S23" s="2">
        <v>151.32</v>
      </c>
      <c r="T23" s="2">
        <v>55.0</v>
      </c>
      <c r="U23" s="6">
        <v>61.70087814331055</v>
      </c>
      <c r="V23" s="2">
        <f t="shared" si="2"/>
        <v>61.33374895</v>
      </c>
      <c r="W23" s="2">
        <f t="shared" si="3"/>
        <v>8.431344481</v>
      </c>
      <c r="X23" s="2">
        <f t="shared" si="4"/>
        <v>8.369443583</v>
      </c>
      <c r="Y23" s="2">
        <f t="shared" ref="Y23:Z23" si="26">_xlfn.NORM.S.DIST(W23)</f>
        <v>1</v>
      </c>
      <c r="Z23" s="2">
        <f t="shared" si="26"/>
        <v>1</v>
      </c>
      <c r="AA23" s="2">
        <f t="shared" si="6"/>
        <v>60.75</v>
      </c>
    </row>
    <row r="24" ht="14.25" customHeight="1">
      <c r="A24" s="2" t="s">
        <v>127</v>
      </c>
      <c r="B24" s="2" t="s">
        <v>126</v>
      </c>
      <c r="C24" s="2" t="s">
        <v>91</v>
      </c>
      <c r="D24" s="2" t="s">
        <v>29</v>
      </c>
      <c r="E24" s="2">
        <v>90.0</v>
      </c>
      <c r="F24" s="2" t="s">
        <v>30</v>
      </c>
      <c r="G24" s="2">
        <v>57.1</v>
      </c>
      <c r="I24" s="2">
        <v>61.7</v>
      </c>
      <c r="K24" s="2">
        <v>0.0</v>
      </c>
      <c r="L24" s="2">
        <v>0.0</v>
      </c>
      <c r="M24" s="2" t="s">
        <v>54</v>
      </c>
      <c r="N24" s="2">
        <v>0.9969</v>
      </c>
      <c r="O24" s="2">
        <v>0.0</v>
      </c>
      <c r="P24" s="2">
        <v>3.0516</v>
      </c>
      <c r="Q24" s="2">
        <v>0.0</v>
      </c>
      <c r="R24" s="2">
        <v>0.1862</v>
      </c>
      <c r="S24" s="2">
        <v>149.57</v>
      </c>
      <c r="T24" s="2">
        <v>52.0</v>
      </c>
      <c r="U24" s="6">
        <v>60.95200729370117</v>
      </c>
      <c r="V24" s="2">
        <f t="shared" si="2"/>
        <v>59.58299906</v>
      </c>
      <c r="W24" s="2">
        <f t="shared" si="3"/>
        <v>6.057002483</v>
      </c>
      <c r="X24" s="2">
        <f t="shared" si="4"/>
        <v>5.972419874</v>
      </c>
      <c r="Y24" s="2">
        <f t="shared" ref="Y24:Z24" si="27">_xlfn.NORM.S.DIST(W24)</f>
        <v>0.9999999993</v>
      </c>
      <c r="Z24" s="2">
        <f t="shared" si="27"/>
        <v>0.9999999988</v>
      </c>
      <c r="AA24" s="2">
        <f t="shared" si="6"/>
        <v>59.4</v>
      </c>
    </row>
    <row r="25" ht="14.25" customHeight="1">
      <c r="A25" s="2" t="s">
        <v>127</v>
      </c>
      <c r="B25" s="2" t="s">
        <v>126</v>
      </c>
      <c r="C25" s="2" t="s">
        <v>91</v>
      </c>
      <c r="D25" s="2" t="s">
        <v>29</v>
      </c>
      <c r="E25" s="2">
        <v>90.0</v>
      </c>
      <c r="F25" s="2" t="s">
        <v>30</v>
      </c>
      <c r="G25" s="2">
        <v>58.2</v>
      </c>
      <c r="I25" s="2">
        <v>62.9</v>
      </c>
      <c r="K25" s="2">
        <v>0.0</v>
      </c>
      <c r="L25" s="2">
        <v>0.0</v>
      </c>
      <c r="M25" s="2" t="s">
        <v>55</v>
      </c>
      <c r="N25" s="2">
        <v>0.9969</v>
      </c>
      <c r="O25" s="2">
        <v>0.0</v>
      </c>
      <c r="P25" s="2">
        <v>3.1016</v>
      </c>
      <c r="Q25" s="2">
        <v>0.0</v>
      </c>
      <c r="R25" s="2">
        <v>0.1402</v>
      </c>
      <c r="S25" s="2">
        <v>151.13</v>
      </c>
      <c r="T25" s="2">
        <v>51.0</v>
      </c>
      <c r="U25" s="6">
        <v>61.55274963378906</v>
      </c>
      <c r="V25" s="2">
        <f t="shared" si="2"/>
        <v>61.1427491</v>
      </c>
      <c r="W25" s="2">
        <f t="shared" si="3"/>
        <v>8.258922955</v>
      </c>
      <c r="X25" s="2">
        <f t="shared" si="4"/>
        <v>8.195851503</v>
      </c>
      <c r="Y25" s="2">
        <f t="shared" ref="Y25:Z25" si="28">_xlfn.NORM.S.DIST(W25)</f>
        <v>1</v>
      </c>
      <c r="Z25" s="2">
        <f t="shared" si="28"/>
        <v>1</v>
      </c>
      <c r="AA25" s="2">
        <f t="shared" si="6"/>
        <v>60.55</v>
      </c>
    </row>
    <row r="26" ht="14.25" customHeight="1">
      <c r="A26" s="2" t="s">
        <v>127</v>
      </c>
      <c r="B26" s="2" t="s">
        <v>126</v>
      </c>
      <c r="C26" s="2" t="s">
        <v>91</v>
      </c>
      <c r="D26" s="2" t="s">
        <v>29</v>
      </c>
      <c r="E26" s="2">
        <v>90.0</v>
      </c>
      <c r="F26" s="2" t="s">
        <v>30</v>
      </c>
      <c r="G26" s="2">
        <v>58.15</v>
      </c>
      <c r="I26" s="2">
        <v>63.05</v>
      </c>
      <c r="K26" s="2">
        <v>0.0</v>
      </c>
      <c r="L26" s="2">
        <v>0.0</v>
      </c>
      <c r="M26" s="2" t="s">
        <v>56</v>
      </c>
      <c r="N26" s="2">
        <v>0.997</v>
      </c>
      <c r="O26" s="2">
        <v>0.0</v>
      </c>
      <c r="P26" s="2">
        <v>3.1381</v>
      </c>
      <c r="Q26" s="2">
        <v>0.0</v>
      </c>
      <c r="R26" s="2">
        <v>0.1393</v>
      </c>
      <c r="S26" s="2">
        <v>151.21</v>
      </c>
      <c r="T26" s="2">
        <v>50.0</v>
      </c>
      <c r="U26" s="6">
        <v>61.56097030639648</v>
      </c>
      <c r="V26" s="2">
        <f t="shared" si="2"/>
        <v>61.22249913</v>
      </c>
      <c r="W26" s="2">
        <f t="shared" si="3"/>
        <v>8.403033317</v>
      </c>
      <c r="X26" s="2">
        <f t="shared" si="4"/>
        <v>8.340984165</v>
      </c>
      <c r="Y26" s="2">
        <f t="shared" ref="Y26:Z26" si="29">_xlfn.NORM.S.DIST(W26)</f>
        <v>1</v>
      </c>
      <c r="Z26" s="2">
        <f t="shared" si="29"/>
        <v>1</v>
      </c>
      <c r="AA26" s="2">
        <f t="shared" si="6"/>
        <v>60.6</v>
      </c>
    </row>
    <row r="27" ht="14.25" customHeight="1">
      <c r="A27" s="2" t="s">
        <v>127</v>
      </c>
      <c r="B27" s="2" t="s">
        <v>126</v>
      </c>
      <c r="C27" s="2" t="s">
        <v>91</v>
      </c>
      <c r="D27" s="2" t="s">
        <v>29</v>
      </c>
      <c r="E27" s="2">
        <v>90.0</v>
      </c>
      <c r="F27" s="2" t="s">
        <v>30</v>
      </c>
      <c r="G27" s="2">
        <v>57.9</v>
      </c>
      <c r="I27" s="2">
        <v>62.75</v>
      </c>
      <c r="K27" s="2">
        <v>0.0</v>
      </c>
      <c r="L27" s="2">
        <v>0.0</v>
      </c>
      <c r="M27" s="2" t="s">
        <v>57</v>
      </c>
      <c r="N27" s="2">
        <v>0.9971</v>
      </c>
      <c r="O27" s="2">
        <v>0.0</v>
      </c>
      <c r="P27" s="2">
        <v>3.0825</v>
      </c>
      <c r="Q27" s="2">
        <v>0.0</v>
      </c>
      <c r="R27" s="2">
        <v>0.1517</v>
      </c>
      <c r="S27" s="2">
        <v>150.94</v>
      </c>
      <c r="T27" s="2">
        <v>49.0</v>
      </c>
      <c r="U27" s="6">
        <v>61.4282112121582</v>
      </c>
      <c r="V27" s="2">
        <f t="shared" si="2"/>
        <v>60.95224917</v>
      </c>
      <c r="W27" s="2">
        <f t="shared" si="3"/>
        <v>7.774281428</v>
      </c>
      <c r="X27" s="2">
        <f t="shared" si="4"/>
        <v>7.707388016</v>
      </c>
      <c r="Y27" s="2">
        <f t="shared" ref="Y27:Z27" si="30">_xlfn.NORM.S.DIST(W27)</f>
        <v>1</v>
      </c>
      <c r="Z27" s="2">
        <f t="shared" si="30"/>
        <v>1</v>
      </c>
      <c r="AA27" s="2">
        <f t="shared" si="6"/>
        <v>60.325</v>
      </c>
    </row>
    <row r="28" ht="14.25" customHeight="1">
      <c r="A28" s="2" t="s">
        <v>127</v>
      </c>
      <c r="B28" s="2" t="s">
        <v>126</v>
      </c>
      <c r="C28" s="2" t="s">
        <v>91</v>
      </c>
      <c r="D28" s="2" t="s">
        <v>29</v>
      </c>
      <c r="E28" s="2">
        <v>90.0</v>
      </c>
      <c r="F28" s="2" t="s">
        <v>30</v>
      </c>
      <c r="G28" s="2">
        <v>58.8</v>
      </c>
      <c r="I28" s="2">
        <v>63.75</v>
      </c>
      <c r="K28" s="2">
        <v>0.0</v>
      </c>
      <c r="L28" s="2">
        <v>0.0</v>
      </c>
      <c r="M28" s="2" t="s">
        <v>58</v>
      </c>
      <c r="N28" s="2">
        <v>0.9971</v>
      </c>
      <c r="O28" s="2">
        <v>0.0</v>
      </c>
      <c r="P28" s="2">
        <v>3.0863</v>
      </c>
      <c r="Q28" s="2">
        <v>0.0</v>
      </c>
      <c r="R28" s="2">
        <v>0.1456</v>
      </c>
      <c r="S28" s="2">
        <v>151.79</v>
      </c>
      <c r="T28" s="2">
        <v>48.0</v>
      </c>
      <c r="U28" s="6">
        <v>61.73464202880859</v>
      </c>
      <c r="V28" s="2">
        <f t="shared" si="2"/>
        <v>61.8019992</v>
      </c>
      <c r="W28" s="2">
        <f t="shared" si="3"/>
        <v>8.269039062</v>
      </c>
      <c r="X28" s="2">
        <f t="shared" si="4"/>
        <v>8.205494013</v>
      </c>
      <c r="Y28" s="2">
        <f t="shared" ref="Y28:Z28" si="31">_xlfn.NORM.S.DIST(W28)</f>
        <v>1</v>
      </c>
      <c r="Z28" s="2">
        <f t="shared" si="31"/>
        <v>1</v>
      </c>
      <c r="AA28" s="2">
        <f t="shared" si="6"/>
        <v>61.275</v>
      </c>
    </row>
    <row r="29" ht="14.25" customHeight="1">
      <c r="A29" s="2" t="s">
        <v>127</v>
      </c>
      <c r="B29" s="2" t="s">
        <v>126</v>
      </c>
      <c r="C29" s="2" t="s">
        <v>91</v>
      </c>
      <c r="D29" s="2" t="s">
        <v>29</v>
      </c>
      <c r="E29" s="2">
        <v>90.0</v>
      </c>
      <c r="F29" s="2" t="s">
        <v>30</v>
      </c>
      <c r="G29" s="2">
        <v>58.8</v>
      </c>
      <c r="I29" s="2">
        <v>63.7</v>
      </c>
      <c r="K29" s="2">
        <v>0.0</v>
      </c>
      <c r="L29" s="2">
        <v>0.0</v>
      </c>
      <c r="M29" s="2" t="s">
        <v>59</v>
      </c>
      <c r="N29" s="2">
        <v>0.9974</v>
      </c>
      <c r="O29" s="2">
        <v>0.0</v>
      </c>
      <c r="P29" s="2">
        <v>2.9466</v>
      </c>
      <c r="Q29" s="2">
        <v>0.0</v>
      </c>
      <c r="R29" s="2">
        <v>0.135</v>
      </c>
      <c r="S29" s="2">
        <v>151.7</v>
      </c>
      <c r="T29" s="2">
        <v>45.0</v>
      </c>
      <c r="U29" s="6">
        <v>61.59079742431641</v>
      </c>
      <c r="V29" s="2">
        <f t="shared" si="2"/>
        <v>61.7112493</v>
      </c>
      <c r="W29" s="2">
        <f t="shared" si="3"/>
        <v>9.193911725</v>
      </c>
      <c r="X29" s="2">
        <f t="shared" si="4"/>
        <v>9.136863813</v>
      </c>
      <c r="Y29" s="2">
        <f t="shared" ref="Y29:Z29" si="32">_xlfn.NORM.S.DIST(W29)</f>
        <v>1</v>
      </c>
      <c r="Z29" s="2">
        <f t="shared" si="32"/>
        <v>1</v>
      </c>
      <c r="AA29" s="2">
        <f t="shared" si="6"/>
        <v>61.25</v>
      </c>
    </row>
    <row r="30" ht="14.25" customHeight="1">
      <c r="A30" s="2" t="s">
        <v>127</v>
      </c>
      <c r="B30" s="2" t="s">
        <v>126</v>
      </c>
      <c r="C30" s="2" t="s">
        <v>91</v>
      </c>
      <c r="D30" s="2" t="s">
        <v>29</v>
      </c>
      <c r="E30" s="2">
        <v>90.0</v>
      </c>
      <c r="F30" s="2" t="s">
        <v>30</v>
      </c>
      <c r="G30" s="2">
        <v>59.1</v>
      </c>
      <c r="I30" s="2">
        <v>64.0</v>
      </c>
      <c r="K30" s="2">
        <v>0.0</v>
      </c>
      <c r="L30" s="2">
        <v>0.0</v>
      </c>
      <c r="M30" s="2" t="s">
        <v>60</v>
      </c>
      <c r="N30" s="2">
        <v>0.9975</v>
      </c>
      <c r="O30" s="2">
        <v>0.0</v>
      </c>
      <c r="P30" s="2">
        <v>2.9376</v>
      </c>
      <c r="Q30" s="2">
        <v>0.0</v>
      </c>
      <c r="R30" s="2">
        <v>0.1485</v>
      </c>
      <c r="S30" s="2">
        <v>151.94</v>
      </c>
      <c r="T30" s="2">
        <v>44.0</v>
      </c>
      <c r="U30" s="6">
        <v>61.64749526977539</v>
      </c>
      <c r="V30" s="2">
        <f t="shared" si="2"/>
        <v>61.95099933</v>
      </c>
      <c r="W30" s="2">
        <f t="shared" si="3"/>
        <v>8.485602192</v>
      </c>
      <c r="X30" s="2">
        <f t="shared" si="4"/>
        <v>8.423550658</v>
      </c>
      <c r="Y30" s="2">
        <f t="shared" ref="Y30:Z30" si="33">_xlfn.NORM.S.DIST(W30)</f>
        <v>1</v>
      </c>
      <c r="Z30" s="2">
        <f t="shared" si="33"/>
        <v>1</v>
      </c>
      <c r="AA30" s="2">
        <f t="shared" si="6"/>
        <v>61.55</v>
      </c>
    </row>
    <row r="31" ht="14.25" customHeight="1">
      <c r="A31" s="2" t="s">
        <v>127</v>
      </c>
      <c r="B31" s="2" t="s">
        <v>126</v>
      </c>
      <c r="C31" s="2" t="s">
        <v>91</v>
      </c>
      <c r="D31" s="2" t="s">
        <v>29</v>
      </c>
      <c r="E31" s="2">
        <v>90.0</v>
      </c>
      <c r="F31" s="2" t="s">
        <v>30</v>
      </c>
      <c r="G31" s="2">
        <v>59.25</v>
      </c>
      <c r="I31" s="2">
        <v>64.15</v>
      </c>
      <c r="K31" s="2">
        <v>0.0</v>
      </c>
      <c r="L31" s="2">
        <v>0.0</v>
      </c>
      <c r="M31" s="2" t="s">
        <v>61</v>
      </c>
      <c r="N31" s="2">
        <v>0.9975</v>
      </c>
      <c r="O31" s="2">
        <v>0.0</v>
      </c>
      <c r="P31" s="2">
        <v>2.9539</v>
      </c>
      <c r="Q31" s="2">
        <v>0.0</v>
      </c>
      <c r="R31" s="2">
        <v>0.1403</v>
      </c>
      <c r="S31" s="2">
        <v>152.03</v>
      </c>
      <c r="T31" s="2">
        <v>43.0</v>
      </c>
      <c r="U31" s="6">
        <v>61.64353179931641</v>
      </c>
      <c r="V31" s="2">
        <f t="shared" si="2"/>
        <v>62.04074936</v>
      </c>
      <c r="W31" s="2">
        <f t="shared" si="3"/>
        <v>9.090606394</v>
      </c>
      <c r="X31" s="2">
        <f t="shared" si="4"/>
        <v>9.032651298</v>
      </c>
      <c r="Y31" s="2">
        <f t="shared" ref="Y31:Z31" si="34">_xlfn.NORM.S.DIST(W31)</f>
        <v>1</v>
      </c>
      <c r="Z31" s="2">
        <f t="shared" si="34"/>
        <v>1</v>
      </c>
      <c r="AA31" s="2">
        <f t="shared" si="6"/>
        <v>61.7</v>
      </c>
    </row>
    <row r="32" ht="14.25" customHeight="1">
      <c r="A32" s="2" t="s">
        <v>127</v>
      </c>
      <c r="B32" s="2" t="s">
        <v>126</v>
      </c>
      <c r="C32" s="2" t="s">
        <v>91</v>
      </c>
      <c r="D32" s="2" t="s">
        <v>29</v>
      </c>
      <c r="E32" s="2">
        <v>90.0</v>
      </c>
      <c r="F32" s="2" t="s">
        <v>30</v>
      </c>
      <c r="G32" s="2">
        <v>59.3</v>
      </c>
      <c r="I32" s="2">
        <v>64.2</v>
      </c>
      <c r="K32" s="2">
        <v>0.0</v>
      </c>
      <c r="L32" s="2">
        <v>0.0</v>
      </c>
      <c r="M32" s="2" t="s">
        <v>62</v>
      </c>
      <c r="N32" s="2">
        <v>0.9976</v>
      </c>
      <c r="O32" s="2">
        <v>0.0</v>
      </c>
      <c r="P32" s="2">
        <v>2.9421</v>
      </c>
      <c r="Q32" s="2">
        <v>0.0</v>
      </c>
      <c r="R32" s="2">
        <v>0.1393</v>
      </c>
      <c r="S32" s="2">
        <v>152.14</v>
      </c>
      <c r="T32" s="2">
        <v>42.0</v>
      </c>
      <c r="U32" s="6">
        <v>61.64908981323242</v>
      </c>
      <c r="V32" s="2">
        <f t="shared" si="2"/>
        <v>62.15049939</v>
      </c>
      <c r="W32" s="2">
        <f t="shared" si="3"/>
        <v>9.276343851</v>
      </c>
      <c r="X32" s="2">
        <f t="shared" si="4"/>
        <v>9.219474864</v>
      </c>
      <c r="Y32" s="2">
        <f t="shared" ref="Y32:Z32" si="35">_xlfn.NORM.S.DIST(W32)</f>
        <v>1</v>
      </c>
      <c r="Z32" s="2">
        <f t="shared" si="35"/>
        <v>1</v>
      </c>
      <c r="AA32" s="2">
        <f t="shared" si="6"/>
        <v>61.75</v>
      </c>
    </row>
    <row r="33" ht="14.25" customHeight="1">
      <c r="A33" s="2" t="s">
        <v>127</v>
      </c>
      <c r="B33" s="2" t="s">
        <v>126</v>
      </c>
      <c r="C33" s="2" t="s">
        <v>91</v>
      </c>
      <c r="D33" s="2" t="s">
        <v>29</v>
      </c>
      <c r="E33" s="2">
        <v>90.0</v>
      </c>
      <c r="F33" s="2" t="s">
        <v>30</v>
      </c>
      <c r="G33" s="2">
        <v>59.25</v>
      </c>
      <c r="I33" s="2">
        <v>64.1</v>
      </c>
      <c r="K33" s="2">
        <v>0.0</v>
      </c>
      <c r="L33" s="2">
        <v>0.0</v>
      </c>
      <c r="M33" s="2" t="s">
        <v>63</v>
      </c>
      <c r="N33" s="2">
        <v>1.0</v>
      </c>
      <c r="O33" s="2">
        <v>0.0</v>
      </c>
      <c r="P33" s="2">
        <v>-0.2614</v>
      </c>
      <c r="Q33" s="2">
        <v>0.0</v>
      </c>
      <c r="R33" s="2">
        <v>0.1737</v>
      </c>
      <c r="S33" s="2">
        <v>151.98</v>
      </c>
      <c r="T33" s="2">
        <v>41.0</v>
      </c>
      <c r="U33" s="6">
        <v>61.55311584472656</v>
      </c>
      <c r="V33" s="2">
        <f t="shared" si="2"/>
        <v>61.99024942</v>
      </c>
      <c r="W33" s="2">
        <f t="shared" si="3"/>
        <v>7.533102344</v>
      </c>
      <c r="X33" s="2">
        <f t="shared" si="4"/>
        <v>7.463038901</v>
      </c>
      <c r="Y33" s="2">
        <f t="shared" ref="Y33:Z33" si="36">_xlfn.NORM.S.DIST(W33)</f>
        <v>1</v>
      </c>
      <c r="Z33" s="2">
        <f t="shared" si="36"/>
        <v>1</v>
      </c>
      <c r="AA33" s="2">
        <f t="shared" si="6"/>
        <v>61.675</v>
      </c>
    </row>
    <row r="34" ht="14.25" customHeight="1">
      <c r="A34" s="2" t="s">
        <v>127</v>
      </c>
      <c r="B34" s="2" t="s">
        <v>126</v>
      </c>
      <c r="C34" s="2" t="s">
        <v>91</v>
      </c>
      <c r="D34" s="2" t="s">
        <v>29</v>
      </c>
      <c r="E34" s="2">
        <v>90.0</v>
      </c>
      <c r="F34" s="2" t="s">
        <v>30</v>
      </c>
      <c r="G34" s="2">
        <v>60.15</v>
      </c>
      <c r="I34" s="2">
        <v>65.15</v>
      </c>
      <c r="K34" s="2">
        <v>0.0</v>
      </c>
      <c r="L34" s="2">
        <v>0.0</v>
      </c>
      <c r="M34" s="2" t="s">
        <v>64</v>
      </c>
      <c r="N34" s="2">
        <v>1.0</v>
      </c>
      <c r="O34" s="2">
        <v>0.0</v>
      </c>
      <c r="P34" s="2">
        <v>-0.2614</v>
      </c>
      <c r="Q34" s="2">
        <v>0.0</v>
      </c>
      <c r="R34" s="2">
        <v>0.1767</v>
      </c>
      <c r="S34" s="2">
        <v>153.09</v>
      </c>
      <c r="T34" s="2">
        <v>37.0</v>
      </c>
      <c r="U34" s="6">
        <v>61.86052703857422</v>
      </c>
      <c r="V34" s="2">
        <f t="shared" si="2"/>
        <v>63.09924952</v>
      </c>
      <c r="W34" s="2">
        <f t="shared" si="3"/>
        <v>7.904884568</v>
      </c>
      <c r="X34" s="2">
        <f t="shared" si="4"/>
        <v>7.837177011</v>
      </c>
      <c r="Y34" s="2">
        <f t="shared" ref="Y34:Z34" si="37">_xlfn.NORM.S.DIST(W34)</f>
        <v>1</v>
      </c>
      <c r="Z34" s="2">
        <f t="shared" si="37"/>
        <v>1</v>
      </c>
      <c r="AA34" s="2">
        <f t="shared" si="6"/>
        <v>62.65</v>
      </c>
    </row>
    <row r="35" ht="14.25" customHeight="1">
      <c r="A35" s="2" t="s">
        <v>127</v>
      </c>
      <c r="B35" s="2" t="s">
        <v>126</v>
      </c>
      <c r="C35" s="2" t="s">
        <v>91</v>
      </c>
      <c r="D35" s="2" t="s">
        <v>29</v>
      </c>
      <c r="E35" s="2">
        <v>90.0</v>
      </c>
      <c r="F35" s="2" t="s">
        <v>30</v>
      </c>
      <c r="G35" s="2">
        <v>58.6</v>
      </c>
      <c r="I35" s="2">
        <v>63.25</v>
      </c>
      <c r="K35" s="2">
        <v>0.0</v>
      </c>
      <c r="L35" s="2">
        <v>0.0</v>
      </c>
      <c r="M35" s="2" t="s">
        <v>65</v>
      </c>
      <c r="N35" s="2">
        <v>1.0</v>
      </c>
      <c r="O35" s="2">
        <v>0.0</v>
      </c>
      <c r="P35" s="2">
        <v>-0.2614</v>
      </c>
      <c r="Q35" s="2">
        <v>0.0</v>
      </c>
      <c r="R35" s="2">
        <v>0.1499</v>
      </c>
      <c r="S35" s="2">
        <v>151.2</v>
      </c>
      <c r="T35" s="2">
        <v>36.0</v>
      </c>
      <c r="U35" s="6">
        <v>61.07928085327148</v>
      </c>
      <c r="V35" s="2">
        <f t="shared" si="2"/>
        <v>61.20899955</v>
      </c>
      <c r="W35" s="2">
        <f t="shared" si="3"/>
        <v>9.207824854</v>
      </c>
      <c r="X35" s="2">
        <f t="shared" si="4"/>
        <v>9.15116798</v>
      </c>
      <c r="Y35" s="2">
        <f t="shared" ref="Y35:Z35" si="38">_xlfn.NORM.S.DIST(W35)</f>
        <v>1</v>
      </c>
      <c r="Z35" s="2">
        <f t="shared" si="38"/>
        <v>1</v>
      </c>
      <c r="AA35" s="2">
        <f t="shared" si="6"/>
        <v>60.925</v>
      </c>
    </row>
    <row r="36" ht="14.25" customHeight="1">
      <c r="A36" s="2" t="s">
        <v>127</v>
      </c>
      <c r="B36" s="2" t="s">
        <v>126</v>
      </c>
      <c r="C36" s="2" t="s">
        <v>91</v>
      </c>
      <c r="D36" s="2" t="s">
        <v>29</v>
      </c>
      <c r="E36" s="2">
        <v>90.0</v>
      </c>
      <c r="F36" s="2" t="s">
        <v>30</v>
      </c>
      <c r="G36" s="2">
        <v>57.65</v>
      </c>
      <c r="I36" s="2">
        <v>62.45</v>
      </c>
      <c r="K36" s="2">
        <v>0.0</v>
      </c>
      <c r="L36" s="2">
        <v>0.0</v>
      </c>
      <c r="M36" s="2" t="s">
        <v>66</v>
      </c>
      <c r="N36" s="2">
        <v>1.0</v>
      </c>
      <c r="O36" s="2">
        <v>0.0</v>
      </c>
      <c r="P36" s="2">
        <v>-0.2614</v>
      </c>
      <c r="Q36" s="2">
        <v>0.0</v>
      </c>
      <c r="R36" s="2">
        <v>0.1691</v>
      </c>
      <c r="S36" s="2">
        <v>150.24</v>
      </c>
      <c r="T36" s="2">
        <v>35.0</v>
      </c>
      <c r="U36" s="6">
        <v>60.66899871826172</v>
      </c>
      <c r="V36" s="2">
        <f t="shared" si="2"/>
        <v>60.24874957</v>
      </c>
      <c r="W36" s="2">
        <f t="shared" si="3"/>
        <v>8.188451371</v>
      </c>
      <c r="X36" s="2">
        <f t="shared" si="4"/>
        <v>8.125431522</v>
      </c>
      <c r="Y36" s="2">
        <f t="shared" ref="Y36:Z36" si="39">_xlfn.NORM.S.DIST(W36)</f>
        <v>1</v>
      </c>
      <c r="Z36" s="2">
        <f t="shared" si="39"/>
        <v>1</v>
      </c>
      <c r="AA36" s="2">
        <f t="shared" si="6"/>
        <v>60.05</v>
      </c>
    </row>
    <row r="37" ht="14.25" customHeight="1">
      <c r="A37" s="2" t="s">
        <v>127</v>
      </c>
      <c r="B37" s="2" t="s">
        <v>126</v>
      </c>
      <c r="C37" s="2" t="s">
        <v>91</v>
      </c>
      <c r="D37" s="2" t="s">
        <v>29</v>
      </c>
      <c r="E37" s="2">
        <v>90.0</v>
      </c>
      <c r="F37" s="2" t="s">
        <v>30</v>
      </c>
      <c r="G37" s="2">
        <v>58.85</v>
      </c>
      <c r="I37" s="2">
        <v>63.65</v>
      </c>
      <c r="K37" s="2">
        <v>0.0</v>
      </c>
      <c r="L37" s="2">
        <v>0.0</v>
      </c>
      <c r="M37" s="2" t="s">
        <v>67</v>
      </c>
      <c r="N37" s="2">
        <v>1.0</v>
      </c>
      <c r="O37" s="2">
        <v>0.0</v>
      </c>
      <c r="P37" s="2">
        <v>-0.2614</v>
      </c>
      <c r="Q37" s="2">
        <v>0.0</v>
      </c>
      <c r="R37" s="2">
        <v>0.1797</v>
      </c>
      <c r="S37" s="2">
        <v>151.56</v>
      </c>
      <c r="T37" s="2">
        <v>34.0</v>
      </c>
      <c r="U37" s="6">
        <v>61.15522003173828</v>
      </c>
      <c r="V37" s="2">
        <f t="shared" si="2"/>
        <v>61.5684996</v>
      </c>
      <c r="W37" s="2">
        <f t="shared" si="3"/>
        <v>7.957692453</v>
      </c>
      <c r="X37" s="2">
        <f t="shared" si="4"/>
        <v>7.891685868</v>
      </c>
      <c r="Y37" s="2">
        <f t="shared" ref="Y37:Z37" si="40">_xlfn.NORM.S.DIST(W37)</f>
        <v>1</v>
      </c>
      <c r="Z37" s="2">
        <f t="shared" si="40"/>
        <v>1</v>
      </c>
      <c r="AA37" s="2">
        <f t="shared" si="6"/>
        <v>61.25</v>
      </c>
    </row>
    <row r="38" ht="14.25" customHeight="1">
      <c r="A38" s="2" t="s">
        <v>127</v>
      </c>
      <c r="B38" s="2" t="s">
        <v>126</v>
      </c>
      <c r="C38" s="2" t="s">
        <v>91</v>
      </c>
      <c r="D38" s="2" t="s">
        <v>29</v>
      </c>
      <c r="E38" s="2">
        <v>90.0</v>
      </c>
      <c r="F38" s="2" t="s">
        <v>30</v>
      </c>
      <c r="G38" s="2">
        <v>56.2</v>
      </c>
      <c r="I38" s="2">
        <v>61.05</v>
      </c>
      <c r="K38" s="2">
        <v>0.0</v>
      </c>
      <c r="L38" s="2">
        <v>0.0</v>
      </c>
      <c r="M38" s="2" t="s">
        <v>68</v>
      </c>
      <c r="N38" s="2">
        <v>1.0</v>
      </c>
      <c r="O38" s="2">
        <v>0.0</v>
      </c>
      <c r="P38" s="2">
        <v>-0.2614</v>
      </c>
      <c r="Q38" s="2">
        <v>0.0</v>
      </c>
      <c r="R38" s="2">
        <v>0.2135</v>
      </c>
      <c r="S38" s="2">
        <v>148.79</v>
      </c>
      <c r="T38" s="2">
        <v>31.0</v>
      </c>
      <c r="U38" s="6">
        <v>59.93215179443359</v>
      </c>
      <c r="V38" s="2">
        <f t="shared" si="2"/>
        <v>58.79774967</v>
      </c>
      <c r="W38" s="2">
        <f t="shared" si="3"/>
        <v>6.788171407</v>
      </c>
      <c r="X38" s="2">
        <f t="shared" si="4"/>
        <v>6.713289231</v>
      </c>
      <c r="Y38" s="2">
        <f t="shared" ref="Y38:Z38" si="41">_xlfn.NORM.S.DIST(W38)</f>
        <v>1</v>
      </c>
      <c r="Z38" s="2">
        <f t="shared" si="41"/>
        <v>1</v>
      </c>
      <c r="AA38" s="2">
        <f t="shared" si="6"/>
        <v>58.625</v>
      </c>
    </row>
    <row r="39" ht="14.25" customHeight="1">
      <c r="A39" s="2" t="s">
        <v>127</v>
      </c>
      <c r="B39" s="2" t="s">
        <v>126</v>
      </c>
      <c r="C39" s="2" t="s">
        <v>91</v>
      </c>
      <c r="D39" s="2" t="s">
        <v>29</v>
      </c>
      <c r="E39" s="2">
        <v>90.0</v>
      </c>
      <c r="F39" s="2" t="s">
        <v>30</v>
      </c>
      <c r="G39" s="2">
        <v>57.0</v>
      </c>
      <c r="I39" s="2">
        <v>61.9</v>
      </c>
      <c r="K39" s="2">
        <v>0.0</v>
      </c>
      <c r="L39" s="2">
        <v>0.0</v>
      </c>
      <c r="M39" s="2" t="s">
        <v>69</v>
      </c>
      <c r="N39" s="2">
        <v>1.0</v>
      </c>
      <c r="O39" s="2">
        <v>0.0</v>
      </c>
      <c r="P39" s="2">
        <v>-0.2614</v>
      </c>
      <c r="Q39" s="2">
        <v>0.0</v>
      </c>
      <c r="R39" s="2">
        <v>0.1918</v>
      </c>
      <c r="S39" s="2">
        <v>149.69</v>
      </c>
      <c r="T39" s="2">
        <v>30.0</v>
      </c>
      <c r="U39" s="6">
        <v>60.22481536865234</v>
      </c>
      <c r="V39" s="2">
        <f t="shared" si="2"/>
        <v>59.69749969</v>
      </c>
      <c r="W39" s="2">
        <f t="shared" si="3"/>
        <v>7.756739127</v>
      </c>
      <c r="X39" s="2">
        <f t="shared" si="4"/>
        <v>7.69056184</v>
      </c>
      <c r="Y39" s="2">
        <f t="shared" ref="Y39:Z39" si="42">_xlfn.NORM.S.DIST(W39)</f>
        <v>1</v>
      </c>
      <c r="Z39" s="2">
        <f t="shared" si="42"/>
        <v>1</v>
      </c>
      <c r="AA39" s="2">
        <f t="shared" si="6"/>
        <v>59.45</v>
      </c>
    </row>
    <row r="40" ht="14.25" customHeight="1">
      <c r="A40" s="2" t="s">
        <v>127</v>
      </c>
      <c r="B40" s="2" t="s">
        <v>126</v>
      </c>
      <c r="C40" s="2" t="s">
        <v>91</v>
      </c>
      <c r="D40" s="2" t="s">
        <v>29</v>
      </c>
      <c r="E40" s="2">
        <v>90.0</v>
      </c>
      <c r="F40" s="2" t="s">
        <v>30</v>
      </c>
      <c r="G40" s="2">
        <v>59.35</v>
      </c>
      <c r="I40" s="2">
        <v>64.0</v>
      </c>
      <c r="K40" s="2">
        <v>0.0</v>
      </c>
      <c r="L40" s="2">
        <v>0.0</v>
      </c>
      <c r="M40" s="2" t="s">
        <v>70</v>
      </c>
      <c r="N40" s="2">
        <v>1.0</v>
      </c>
      <c r="O40" s="2">
        <v>0.0</v>
      </c>
      <c r="P40" s="2">
        <v>-0.2614</v>
      </c>
      <c r="Q40" s="2">
        <v>0.0</v>
      </c>
      <c r="R40" s="2">
        <v>0.186</v>
      </c>
      <c r="S40" s="2">
        <v>151.6</v>
      </c>
      <c r="T40" s="2">
        <v>29.0</v>
      </c>
      <c r="U40" s="6">
        <v>60.90673828125</v>
      </c>
      <c r="V40" s="2">
        <f t="shared" si="2"/>
        <v>61.60724971</v>
      </c>
      <c r="W40" s="2">
        <f t="shared" si="3"/>
        <v>8.332919392</v>
      </c>
      <c r="X40" s="2">
        <f t="shared" si="4"/>
        <v>8.269821962</v>
      </c>
      <c r="Y40" s="2">
        <f t="shared" ref="Y40:Z40" si="43">_xlfn.NORM.S.DIST(W40)</f>
        <v>1</v>
      </c>
      <c r="Z40" s="2">
        <f t="shared" si="43"/>
        <v>1</v>
      </c>
      <c r="AA40" s="2">
        <f t="shared" si="6"/>
        <v>61.675</v>
      </c>
    </row>
    <row r="41" ht="14.25" customHeight="1">
      <c r="A41" s="2" t="s">
        <v>127</v>
      </c>
      <c r="B41" s="2" t="s">
        <v>126</v>
      </c>
      <c r="C41" s="2" t="s">
        <v>91</v>
      </c>
      <c r="D41" s="2" t="s">
        <v>29</v>
      </c>
      <c r="E41" s="2">
        <v>90.0</v>
      </c>
      <c r="F41" s="2" t="s">
        <v>30</v>
      </c>
      <c r="G41" s="2">
        <v>61.05</v>
      </c>
      <c r="I41" s="2">
        <v>61.25</v>
      </c>
      <c r="K41" s="2">
        <v>0.0</v>
      </c>
      <c r="L41" s="2">
        <v>0.0</v>
      </c>
      <c r="M41" s="2" t="s">
        <v>71</v>
      </c>
      <c r="N41" s="2">
        <v>1.0</v>
      </c>
      <c r="O41" s="2">
        <v>0.0</v>
      </c>
      <c r="P41" s="2">
        <v>-0.2614</v>
      </c>
      <c r="Q41" s="2">
        <v>0.0</v>
      </c>
      <c r="R41" s="2">
        <v>0.1317</v>
      </c>
      <c r="S41" s="2">
        <v>151.47</v>
      </c>
      <c r="T41" s="2">
        <v>28.0</v>
      </c>
      <c r="U41" s="6">
        <v>60.78373336791992</v>
      </c>
      <c r="V41" s="2">
        <f t="shared" si="2"/>
        <v>61.47699973</v>
      </c>
      <c r="W41" s="2">
        <f t="shared" si="3"/>
        <v>11.90976306</v>
      </c>
      <c r="X41" s="2">
        <f t="shared" si="4"/>
        <v>11.86586306</v>
      </c>
      <c r="Y41" s="2">
        <f t="shared" ref="Y41:Z41" si="44">_xlfn.NORM.S.DIST(W41)</f>
        <v>1</v>
      </c>
      <c r="Z41" s="2">
        <f t="shared" si="44"/>
        <v>1</v>
      </c>
      <c r="AA41" s="2">
        <f t="shared" si="6"/>
        <v>61.15</v>
      </c>
    </row>
    <row r="42" ht="14.25" customHeight="1">
      <c r="A42" s="2" t="s">
        <v>127</v>
      </c>
      <c r="B42" s="2" t="s">
        <v>126</v>
      </c>
      <c r="C42" s="2" t="s">
        <v>91</v>
      </c>
      <c r="D42" s="2" t="s">
        <v>29</v>
      </c>
      <c r="E42" s="2">
        <v>90.0</v>
      </c>
      <c r="F42" s="2" t="s">
        <v>30</v>
      </c>
      <c r="G42" s="2">
        <v>59.15</v>
      </c>
      <c r="I42" s="2">
        <v>64.1</v>
      </c>
      <c r="K42" s="2">
        <v>0.0</v>
      </c>
      <c r="L42" s="2">
        <v>0.0</v>
      </c>
      <c r="M42" s="2" t="s">
        <v>72</v>
      </c>
      <c r="N42" s="2">
        <v>1.0</v>
      </c>
      <c r="O42" s="2">
        <v>0.0</v>
      </c>
      <c r="P42" s="2">
        <v>-0.2537</v>
      </c>
      <c r="Q42" s="2">
        <v>0.0</v>
      </c>
      <c r="R42" s="2">
        <v>0.1966</v>
      </c>
      <c r="S42" s="2">
        <v>151.82</v>
      </c>
      <c r="T42" s="2">
        <v>27.0</v>
      </c>
      <c r="U42" s="6">
        <v>60.85643005371094</v>
      </c>
      <c r="V42" s="2">
        <f t="shared" si="2"/>
        <v>61.82674975</v>
      </c>
      <c r="W42" s="2">
        <f t="shared" si="3"/>
        <v>8.200495732</v>
      </c>
      <c r="X42" s="2">
        <f t="shared" si="4"/>
        <v>8.136143276</v>
      </c>
      <c r="Y42" s="2">
        <f t="shared" ref="Y42:Z42" si="45">_xlfn.NORM.S.DIST(W42)</f>
        <v>1</v>
      </c>
      <c r="Z42" s="2">
        <f t="shared" si="45"/>
        <v>1</v>
      </c>
      <c r="AA42" s="2">
        <f t="shared" si="6"/>
        <v>61.625</v>
      </c>
    </row>
    <row r="43" ht="14.25" customHeight="1">
      <c r="A43" s="2" t="s">
        <v>127</v>
      </c>
      <c r="B43" s="2" t="s">
        <v>126</v>
      </c>
      <c r="C43" s="2" t="s">
        <v>91</v>
      </c>
      <c r="D43" s="2" t="s">
        <v>29</v>
      </c>
      <c r="E43" s="2">
        <v>90.0</v>
      </c>
      <c r="F43" s="2" t="s">
        <v>30</v>
      </c>
      <c r="G43" s="2">
        <v>60.0</v>
      </c>
      <c r="I43" s="2">
        <v>64.9</v>
      </c>
      <c r="K43" s="2">
        <v>0.0</v>
      </c>
      <c r="L43" s="2">
        <v>0.0</v>
      </c>
      <c r="M43" s="2" t="s">
        <v>73</v>
      </c>
      <c r="N43" s="2">
        <v>1.0</v>
      </c>
      <c r="O43" s="2">
        <v>0.0</v>
      </c>
      <c r="P43" s="2">
        <v>-0.2537</v>
      </c>
      <c r="Q43" s="2">
        <v>0.0</v>
      </c>
      <c r="R43" s="2">
        <v>0.1996</v>
      </c>
      <c r="S43" s="2">
        <v>152.52</v>
      </c>
      <c r="T43" s="2">
        <v>24.0</v>
      </c>
      <c r="U43" s="6">
        <v>60.9107780456543</v>
      </c>
      <c r="V43" s="2">
        <f t="shared" si="2"/>
        <v>62.5259998</v>
      </c>
      <c r="W43" s="2">
        <f t="shared" si="3"/>
        <v>8.644290729</v>
      </c>
      <c r="X43" s="2">
        <f t="shared" si="4"/>
        <v>8.582692831</v>
      </c>
      <c r="Y43" s="2">
        <f t="shared" ref="Y43:Z43" si="46">_xlfn.NORM.S.DIST(W43)</f>
        <v>1</v>
      </c>
      <c r="Z43" s="2">
        <f t="shared" si="46"/>
        <v>1</v>
      </c>
      <c r="AA43" s="2">
        <f t="shared" si="6"/>
        <v>62.45</v>
      </c>
    </row>
    <row r="44" ht="14.25" customHeight="1">
      <c r="A44" s="2" t="s">
        <v>127</v>
      </c>
      <c r="B44" s="2" t="s">
        <v>126</v>
      </c>
      <c r="C44" s="2" t="s">
        <v>91</v>
      </c>
      <c r="D44" s="2" t="s">
        <v>29</v>
      </c>
      <c r="E44" s="2">
        <v>90.0</v>
      </c>
      <c r="F44" s="2" t="s">
        <v>30</v>
      </c>
      <c r="G44" s="2">
        <v>61.3</v>
      </c>
      <c r="I44" s="2">
        <v>66.1</v>
      </c>
      <c r="K44" s="2">
        <v>0.0</v>
      </c>
      <c r="L44" s="2">
        <v>0.0</v>
      </c>
      <c r="M44" s="2" t="s">
        <v>74</v>
      </c>
      <c r="N44" s="2">
        <v>1.0</v>
      </c>
      <c r="O44" s="2">
        <v>0.0</v>
      </c>
      <c r="P44" s="2">
        <v>-0.2537</v>
      </c>
      <c r="Q44" s="2">
        <v>0.0</v>
      </c>
      <c r="R44" s="2">
        <v>0.1927</v>
      </c>
      <c r="S44" s="2">
        <v>153.98</v>
      </c>
      <c r="T44" s="2">
        <v>23.0</v>
      </c>
      <c r="U44" s="6">
        <v>61.40350723266602</v>
      </c>
      <c r="V44" s="2">
        <f t="shared" si="2"/>
        <v>63.98574982</v>
      </c>
      <c r="W44" s="2">
        <f t="shared" si="3"/>
        <v>9.305069269</v>
      </c>
      <c r="X44" s="2">
        <f t="shared" si="4"/>
        <v>9.246852867</v>
      </c>
      <c r="Y44" s="2">
        <f t="shared" ref="Y44:Z44" si="47">_xlfn.NORM.S.DIST(W44)</f>
        <v>1</v>
      </c>
      <c r="Z44" s="2">
        <f t="shared" si="47"/>
        <v>1</v>
      </c>
      <c r="AA44" s="2">
        <f t="shared" si="6"/>
        <v>63.7</v>
      </c>
    </row>
    <row r="45" ht="14.25" customHeight="1">
      <c r="A45" s="2" t="s">
        <v>127</v>
      </c>
      <c r="B45" s="2" t="s">
        <v>126</v>
      </c>
      <c r="C45" s="2" t="s">
        <v>91</v>
      </c>
      <c r="D45" s="2" t="s">
        <v>29</v>
      </c>
      <c r="E45" s="2">
        <v>90.0</v>
      </c>
      <c r="F45" s="2" t="s">
        <v>30</v>
      </c>
      <c r="G45" s="2">
        <v>61.8</v>
      </c>
      <c r="I45" s="2">
        <v>66.5</v>
      </c>
      <c r="K45" s="2">
        <v>0.0</v>
      </c>
      <c r="L45" s="2">
        <v>0.0</v>
      </c>
      <c r="M45" s="2" t="s">
        <v>75</v>
      </c>
      <c r="N45" s="2">
        <v>1.0</v>
      </c>
      <c r="O45" s="2">
        <v>0.0</v>
      </c>
      <c r="P45" s="2">
        <v>-0.2537</v>
      </c>
      <c r="Q45" s="2">
        <v>0.0</v>
      </c>
      <c r="R45" s="2">
        <v>0.1946</v>
      </c>
      <c r="S45" s="2">
        <v>154.15</v>
      </c>
      <c r="T45" s="2">
        <v>22.0</v>
      </c>
      <c r="U45" s="6">
        <v>61.39565658569336</v>
      </c>
      <c r="V45" s="2">
        <f t="shared" si="2"/>
        <v>64.15549983</v>
      </c>
      <c r="W45" s="2">
        <f t="shared" si="3"/>
        <v>9.442044371</v>
      </c>
      <c r="X45" s="2">
        <f t="shared" si="4"/>
        <v>9.384546216</v>
      </c>
      <c r="Y45" s="2">
        <f t="shared" ref="Y45:Z45" si="48">_xlfn.NORM.S.DIST(W45)</f>
        <v>1</v>
      </c>
      <c r="Z45" s="2">
        <f t="shared" si="48"/>
        <v>1</v>
      </c>
      <c r="AA45" s="2">
        <f t="shared" si="6"/>
        <v>64.15</v>
      </c>
    </row>
    <row r="46" ht="14.25" customHeight="1">
      <c r="A46" s="2" t="s">
        <v>127</v>
      </c>
      <c r="B46" s="2" t="s">
        <v>126</v>
      </c>
      <c r="C46" s="2" t="s">
        <v>91</v>
      </c>
      <c r="D46" s="2" t="s">
        <v>29</v>
      </c>
      <c r="E46" s="2">
        <v>90.0</v>
      </c>
      <c r="F46" s="2" t="s">
        <v>30</v>
      </c>
      <c r="G46" s="2">
        <v>61.8</v>
      </c>
      <c r="I46" s="2">
        <v>66.8</v>
      </c>
      <c r="K46" s="2">
        <v>0.0</v>
      </c>
      <c r="L46" s="2">
        <v>0.0</v>
      </c>
      <c r="M46" s="2" t="s">
        <v>76</v>
      </c>
      <c r="N46" s="2">
        <v>1.0</v>
      </c>
      <c r="O46" s="2">
        <v>0.0</v>
      </c>
      <c r="P46" s="2">
        <v>-0.2537</v>
      </c>
      <c r="Q46" s="2">
        <v>0.0</v>
      </c>
      <c r="R46" s="2">
        <v>0.1905</v>
      </c>
      <c r="S46" s="2">
        <v>154.43</v>
      </c>
      <c r="T46" s="2">
        <v>21.0</v>
      </c>
      <c r="U46" s="6">
        <v>61.43022155761719</v>
      </c>
      <c r="V46" s="2">
        <f t="shared" si="2"/>
        <v>64.43524985</v>
      </c>
      <c r="W46" s="2">
        <f t="shared" si="3"/>
        <v>9.90178694</v>
      </c>
      <c r="X46" s="2">
        <f t="shared" si="4"/>
        <v>9.846794327</v>
      </c>
      <c r="Y46" s="2">
        <f t="shared" ref="Y46:Z46" si="49">_xlfn.NORM.S.DIST(W46)</f>
        <v>1</v>
      </c>
      <c r="Z46" s="2">
        <f t="shared" si="49"/>
        <v>1</v>
      </c>
      <c r="AA46" s="2">
        <f t="shared" si="6"/>
        <v>64.3</v>
      </c>
    </row>
    <row r="47" ht="14.25" customHeight="1">
      <c r="A47" s="2" t="s">
        <v>127</v>
      </c>
      <c r="B47" s="2" t="s">
        <v>126</v>
      </c>
      <c r="C47" s="2" t="s">
        <v>91</v>
      </c>
      <c r="D47" s="2" t="s">
        <v>29</v>
      </c>
      <c r="E47" s="2">
        <v>90.0</v>
      </c>
      <c r="F47" s="2" t="s">
        <v>30</v>
      </c>
      <c r="G47" s="2">
        <v>62.65</v>
      </c>
      <c r="I47" s="2">
        <v>67.45</v>
      </c>
      <c r="K47" s="2">
        <v>0.0</v>
      </c>
      <c r="L47" s="2">
        <v>0.0</v>
      </c>
      <c r="M47" s="2" t="s">
        <v>77</v>
      </c>
      <c r="N47" s="2">
        <v>1.0</v>
      </c>
      <c r="O47" s="2">
        <v>0.0</v>
      </c>
      <c r="P47" s="2">
        <v>-0.2537</v>
      </c>
      <c r="Q47" s="2">
        <v>0.0</v>
      </c>
      <c r="R47" s="2">
        <v>0.1825</v>
      </c>
      <c r="S47" s="2">
        <v>155.12</v>
      </c>
      <c r="T47" s="2">
        <v>20.0</v>
      </c>
      <c r="U47" s="6">
        <v>61.6246452331543</v>
      </c>
      <c r="V47" s="2">
        <f t="shared" si="2"/>
        <v>65.12499986</v>
      </c>
      <c r="W47" s="2">
        <f t="shared" si="3"/>
        <v>10.6709789</v>
      </c>
      <c r="X47" s="2">
        <f t="shared" si="4"/>
        <v>10.61956535</v>
      </c>
      <c r="Y47" s="2">
        <f t="shared" ref="Y47:Z47" si="50">_xlfn.NORM.S.DIST(W47)</f>
        <v>1</v>
      </c>
      <c r="Z47" s="2">
        <f t="shared" si="50"/>
        <v>1</v>
      </c>
      <c r="AA47" s="2">
        <f t="shared" si="6"/>
        <v>65.05</v>
      </c>
    </row>
    <row r="48" ht="14.25" customHeight="1">
      <c r="A48" s="2" t="s">
        <v>127</v>
      </c>
      <c r="B48" s="2" t="s">
        <v>126</v>
      </c>
      <c r="C48" s="2" t="s">
        <v>91</v>
      </c>
      <c r="D48" s="2" t="s">
        <v>29</v>
      </c>
      <c r="E48" s="2">
        <v>90.0</v>
      </c>
      <c r="F48" s="2" t="s">
        <v>30</v>
      </c>
      <c r="G48" s="2">
        <v>63.0</v>
      </c>
      <c r="I48" s="2">
        <v>67.85</v>
      </c>
      <c r="K48" s="2">
        <v>0.0</v>
      </c>
      <c r="L48" s="2">
        <v>0.0</v>
      </c>
      <c r="M48" s="2" t="s">
        <v>78</v>
      </c>
      <c r="N48" s="2">
        <v>1.0</v>
      </c>
      <c r="O48" s="2">
        <v>0.0</v>
      </c>
      <c r="P48" s="2">
        <v>-0.2537</v>
      </c>
      <c r="Q48" s="2">
        <v>0.0</v>
      </c>
      <c r="R48" s="2">
        <v>0.1819</v>
      </c>
      <c r="S48" s="2">
        <v>155.62</v>
      </c>
      <c r="T48" s="2">
        <v>17.0</v>
      </c>
      <c r="U48" s="6">
        <v>61.60626983642578</v>
      </c>
      <c r="V48" s="2">
        <f t="shared" si="2"/>
        <v>65.6242499</v>
      </c>
      <c r="W48" s="2">
        <f t="shared" si="3"/>
        <v>11.68000281</v>
      </c>
      <c r="X48" s="2">
        <f t="shared" si="4"/>
        <v>11.6327577</v>
      </c>
      <c r="Y48" s="2">
        <f t="shared" ref="Y48:Z48" si="51">_xlfn.NORM.S.DIST(W48)</f>
        <v>1</v>
      </c>
      <c r="Z48" s="2">
        <f t="shared" si="51"/>
        <v>1</v>
      </c>
      <c r="AA48" s="2">
        <f t="shared" si="6"/>
        <v>65.425</v>
      </c>
    </row>
    <row r="49" ht="14.25" customHeight="1">
      <c r="A49" s="2" t="s">
        <v>127</v>
      </c>
      <c r="B49" s="2" t="s">
        <v>126</v>
      </c>
      <c r="C49" s="2" t="s">
        <v>91</v>
      </c>
      <c r="D49" s="2" t="s">
        <v>29</v>
      </c>
      <c r="E49" s="2">
        <v>90.0</v>
      </c>
      <c r="F49" s="2" t="s">
        <v>30</v>
      </c>
      <c r="G49" s="2">
        <v>62.7</v>
      </c>
      <c r="I49" s="2">
        <v>67.35</v>
      </c>
      <c r="K49" s="2">
        <v>0.0</v>
      </c>
      <c r="L49" s="2">
        <v>0.0</v>
      </c>
      <c r="M49" s="2" t="s">
        <v>79</v>
      </c>
      <c r="N49" s="2">
        <v>1.0</v>
      </c>
      <c r="O49" s="2">
        <v>0.0</v>
      </c>
      <c r="P49" s="2">
        <v>-0.2537</v>
      </c>
      <c r="Q49" s="2">
        <v>0.0</v>
      </c>
      <c r="R49" s="2">
        <v>0.1241</v>
      </c>
      <c r="S49" s="2">
        <v>155.25</v>
      </c>
      <c r="T49" s="2">
        <v>16.0</v>
      </c>
      <c r="U49" s="6">
        <v>61.39109420776367</v>
      </c>
      <c r="V49" s="2">
        <f t="shared" si="2"/>
        <v>65.25399991</v>
      </c>
      <c r="W49" s="2">
        <f t="shared" si="3"/>
        <v>17.50140568</v>
      </c>
      <c r="X49" s="2">
        <f t="shared" si="4"/>
        <v>17.47013542</v>
      </c>
      <c r="Y49" s="2">
        <f t="shared" ref="Y49:Z49" si="52">_xlfn.NORM.S.DIST(W49)</f>
        <v>1</v>
      </c>
      <c r="Z49" s="2">
        <f t="shared" si="52"/>
        <v>1</v>
      </c>
      <c r="AA49" s="2">
        <f t="shared" si="6"/>
        <v>65.025</v>
      </c>
    </row>
    <row r="50" ht="14.25" customHeight="1">
      <c r="A50" s="2" t="s">
        <v>127</v>
      </c>
      <c r="B50" s="2" t="s">
        <v>126</v>
      </c>
      <c r="C50" s="2" t="s">
        <v>91</v>
      </c>
      <c r="D50" s="2" t="s">
        <v>29</v>
      </c>
      <c r="E50" s="2">
        <v>90.0</v>
      </c>
      <c r="F50" s="2" t="s">
        <v>30</v>
      </c>
      <c r="G50" s="2">
        <v>62.85</v>
      </c>
      <c r="I50" s="2">
        <v>67.75</v>
      </c>
      <c r="K50" s="2">
        <v>0.0</v>
      </c>
      <c r="L50" s="2">
        <v>0.0</v>
      </c>
      <c r="M50" s="2" t="s">
        <v>80</v>
      </c>
      <c r="N50" s="2">
        <v>0.9993</v>
      </c>
      <c r="O50" s="2">
        <v>0.0</v>
      </c>
      <c r="P50" s="2">
        <v>2.3442</v>
      </c>
      <c r="Q50" s="2">
        <v>0.0</v>
      </c>
      <c r="R50" s="2">
        <v>0.1692</v>
      </c>
      <c r="S50" s="2">
        <v>155.45</v>
      </c>
      <c r="T50" s="2">
        <v>15.0</v>
      </c>
      <c r="U50" s="6">
        <v>61.41139602661133</v>
      </c>
      <c r="V50" s="2">
        <f t="shared" si="2"/>
        <v>65.45374992</v>
      </c>
      <c r="W50" s="2">
        <f t="shared" si="3"/>
        <v>13.32765887</v>
      </c>
      <c r="X50" s="2">
        <f t="shared" si="4"/>
        <v>13.2863783</v>
      </c>
      <c r="Y50" s="2">
        <f t="shared" ref="Y50:Z50" si="53">_xlfn.NORM.S.DIST(W50)</f>
        <v>1</v>
      </c>
      <c r="Z50" s="2">
        <f t="shared" si="53"/>
        <v>1</v>
      </c>
      <c r="AA50" s="2">
        <f t="shared" si="6"/>
        <v>65.3</v>
      </c>
    </row>
    <row r="51" ht="14.25" customHeight="1">
      <c r="A51" s="2" t="s">
        <v>127</v>
      </c>
      <c r="B51" s="2" t="s">
        <v>126</v>
      </c>
      <c r="C51" s="2" t="s">
        <v>91</v>
      </c>
      <c r="D51" s="2" t="s">
        <v>29</v>
      </c>
      <c r="E51" s="2">
        <v>90.0</v>
      </c>
      <c r="F51" s="2" t="s">
        <v>30</v>
      </c>
      <c r="G51" s="2">
        <v>63.75</v>
      </c>
      <c r="I51" s="2">
        <v>68.35</v>
      </c>
      <c r="K51" s="2">
        <v>0.0</v>
      </c>
      <c r="L51" s="2">
        <v>0.0</v>
      </c>
      <c r="M51" s="2" t="s">
        <v>81</v>
      </c>
      <c r="N51" s="2">
        <v>0.9994</v>
      </c>
      <c r="O51" s="2">
        <v>0.0</v>
      </c>
      <c r="P51" s="2">
        <v>2.3589</v>
      </c>
      <c r="Q51" s="2">
        <v>0.0</v>
      </c>
      <c r="R51" s="2">
        <v>0.124</v>
      </c>
      <c r="S51" s="2">
        <v>156.32</v>
      </c>
      <c r="T51" s="2">
        <v>14.0</v>
      </c>
      <c r="U51" s="6">
        <v>61.69086837768555</v>
      </c>
      <c r="V51" s="2">
        <f t="shared" si="2"/>
        <v>66.32349993</v>
      </c>
      <c r="W51" s="2">
        <f t="shared" si="3"/>
        <v>18.96011976</v>
      </c>
      <c r="X51" s="2">
        <f t="shared" si="4"/>
        <v>18.93089268</v>
      </c>
      <c r="Y51" s="2">
        <f t="shared" ref="Y51:Z51" si="54">_xlfn.NORM.S.DIST(W51)</f>
        <v>1</v>
      </c>
      <c r="Z51" s="2">
        <f t="shared" si="54"/>
        <v>1</v>
      </c>
      <c r="AA51" s="2">
        <f t="shared" si="6"/>
        <v>66.05</v>
      </c>
    </row>
    <row r="52" ht="14.25" customHeight="1">
      <c r="A52" s="2" t="s">
        <v>127</v>
      </c>
      <c r="B52" s="2" t="s">
        <v>126</v>
      </c>
      <c r="C52" s="2" t="s">
        <v>91</v>
      </c>
      <c r="D52" s="2" t="s">
        <v>29</v>
      </c>
      <c r="E52" s="2">
        <v>90.0</v>
      </c>
      <c r="F52" s="2" t="s">
        <v>30</v>
      </c>
      <c r="G52" s="2">
        <v>63.55</v>
      </c>
      <c r="I52" s="2">
        <v>68.35</v>
      </c>
      <c r="K52" s="2">
        <v>0.0</v>
      </c>
      <c r="L52" s="2">
        <v>0.0</v>
      </c>
      <c r="M52" s="2" t="s">
        <v>82</v>
      </c>
      <c r="N52" s="2">
        <v>0.9989</v>
      </c>
      <c r="O52" s="2">
        <v>0.0</v>
      </c>
      <c r="P52" s="2">
        <v>4.9604</v>
      </c>
      <c r="Q52" s="2">
        <v>0.0</v>
      </c>
      <c r="R52" s="2">
        <v>0.1285</v>
      </c>
      <c r="S52" s="2">
        <v>156.07</v>
      </c>
      <c r="T52" s="2">
        <v>13.0</v>
      </c>
      <c r="U52" s="6">
        <v>61.54378890991211</v>
      </c>
      <c r="V52" s="2">
        <f t="shared" si="2"/>
        <v>66.07324994</v>
      </c>
      <c r="W52" s="2">
        <f t="shared" si="3"/>
        <v>18.9365548</v>
      </c>
      <c r="X52" s="2">
        <f t="shared" si="4"/>
        <v>18.9073688</v>
      </c>
      <c r="Y52" s="2">
        <f t="shared" ref="Y52:Z52" si="55">_xlfn.NORM.S.DIST(W52)</f>
        <v>1</v>
      </c>
      <c r="Z52" s="2">
        <f t="shared" si="55"/>
        <v>1</v>
      </c>
      <c r="AA52" s="2">
        <f t="shared" si="6"/>
        <v>65.95</v>
      </c>
    </row>
    <row r="53" ht="14.25" customHeight="1">
      <c r="A53" s="2" t="s">
        <v>127</v>
      </c>
      <c r="B53" s="2" t="s">
        <v>126</v>
      </c>
      <c r="C53" s="2" t="s">
        <v>91</v>
      </c>
      <c r="D53" s="2" t="s">
        <v>29</v>
      </c>
      <c r="E53" s="2">
        <v>90.0</v>
      </c>
      <c r="F53" s="2" t="s">
        <v>30</v>
      </c>
      <c r="G53" s="2">
        <v>65.3</v>
      </c>
      <c r="I53" s="2">
        <v>65.5</v>
      </c>
      <c r="K53" s="2">
        <v>0.0</v>
      </c>
      <c r="L53" s="2">
        <v>0.0</v>
      </c>
      <c r="M53" s="2" t="s">
        <v>83</v>
      </c>
      <c r="N53" s="2">
        <v>0.9848</v>
      </c>
      <c r="O53" s="2">
        <v>9.0E-4</v>
      </c>
      <c r="P53" s="2">
        <v>-27.9201</v>
      </c>
      <c r="Q53" s="2">
        <v>0.9273</v>
      </c>
      <c r="R53" s="2">
        <v>1.6672</v>
      </c>
      <c r="S53" s="2">
        <v>155.21</v>
      </c>
      <c r="T53" s="2">
        <v>10.0</v>
      </c>
      <c r="U53" s="6">
        <v>61.22074508666992</v>
      </c>
      <c r="V53" s="2">
        <f t="shared" si="2"/>
        <v>65.50354182</v>
      </c>
      <c r="W53" s="2">
        <f t="shared" si="3"/>
        <v>2.658035572</v>
      </c>
      <c r="X53" s="2">
        <f t="shared" si="4"/>
        <v>2.325921382</v>
      </c>
      <c r="Y53" s="2">
        <f t="shared" ref="Y53:Z53" si="56">_xlfn.NORM.S.DIST(W53)</f>
        <v>0.9960701202</v>
      </c>
      <c r="Z53" s="2">
        <f t="shared" si="56"/>
        <v>0.9899886274</v>
      </c>
      <c r="AA53" s="2">
        <f t="shared" si="6"/>
        <v>65.4</v>
      </c>
    </row>
    <row r="54" ht="14.25" customHeight="1">
      <c r="A54" s="2" t="s">
        <v>127</v>
      </c>
      <c r="B54" s="2" t="s">
        <v>126</v>
      </c>
      <c r="C54" s="2" t="s">
        <v>91</v>
      </c>
      <c r="D54" s="2" t="s">
        <v>29</v>
      </c>
      <c r="E54" s="2">
        <v>90.0</v>
      </c>
      <c r="F54" s="2" t="s">
        <v>30</v>
      </c>
      <c r="G54" s="2">
        <v>62.35</v>
      </c>
      <c r="I54" s="2">
        <v>67.0</v>
      </c>
      <c r="K54" s="2">
        <v>0.0</v>
      </c>
      <c r="L54" s="2">
        <v>0.0</v>
      </c>
      <c r="M54" s="2" t="s">
        <v>84</v>
      </c>
      <c r="N54" s="2">
        <v>0.9992</v>
      </c>
      <c r="O54" s="2">
        <v>0.0</v>
      </c>
      <c r="P54" s="2">
        <v>4.9208</v>
      </c>
      <c r="Q54" s="2">
        <v>0.0</v>
      </c>
      <c r="R54" s="2">
        <v>0.1998</v>
      </c>
      <c r="S54" s="2">
        <v>154.83</v>
      </c>
      <c r="T54" s="2">
        <v>9.0</v>
      </c>
      <c r="U54" s="6">
        <v>60.92572784423828</v>
      </c>
      <c r="V54" s="2">
        <f t="shared" si="2"/>
        <v>64.83224997</v>
      </c>
      <c r="W54" s="2">
        <f t="shared" si="3"/>
        <v>14.50033318</v>
      </c>
      <c r="X54" s="2">
        <f t="shared" si="4"/>
        <v>14.46257453</v>
      </c>
      <c r="Y54" s="2">
        <f t="shared" ref="Y54:Z54" si="57">_xlfn.NORM.S.DIST(W54)</f>
        <v>1</v>
      </c>
      <c r="Z54" s="2">
        <f t="shared" si="57"/>
        <v>1</v>
      </c>
      <c r="AA54" s="2">
        <f t="shared" si="6"/>
        <v>64.675</v>
      </c>
    </row>
    <row r="55" ht="14.25" customHeight="1">
      <c r="A55" s="2" t="s">
        <v>127</v>
      </c>
      <c r="B55" s="2" t="s">
        <v>126</v>
      </c>
      <c r="C55" s="2" t="s">
        <v>91</v>
      </c>
      <c r="D55" s="2" t="s">
        <v>29</v>
      </c>
      <c r="E55" s="2">
        <v>90.0</v>
      </c>
      <c r="F55" s="2" t="s">
        <v>30</v>
      </c>
      <c r="G55" s="2">
        <v>63.35</v>
      </c>
      <c r="I55" s="2">
        <v>68.2</v>
      </c>
      <c r="K55" s="2">
        <v>0.0</v>
      </c>
      <c r="L55" s="2">
        <v>0.0</v>
      </c>
      <c r="M55" s="2" t="s">
        <v>85</v>
      </c>
      <c r="N55" s="2">
        <v>0.9997</v>
      </c>
      <c r="O55" s="2">
        <v>0.0</v>
      </c>
      <c r="P55" s="2">
        <v>2.3521</v>
      </c>
      <c r="Q55" s="2">
        <v>0.0</v>
      </c>
      <c r="R55" s="2">
        <v>0.0882</v>
      </c>
      <c r="S55" s="2">
        <v>155.87</v>
      </c>
      <c r="T55" s="2">
        <v>8.0</v>
      </c>
      <c r="U55" s="6">
        <v>61.30293655395508</v>
      </c>
      <c r="V55" s="2">
        <f t="shared" si="2"/>
        <v>65.87199998</v>
      </c>
      <c r="W55" s="2">
        <f t="shared" si="3"/>
        <v>35.01944116</v>
      </c>
      <c r="X55" s="2">
        <f t="shared" si="4"/>
        <v>35.0037262</v>
      </c>
      <c r="Y55" s="2">
        <f t="shared" ref="Y55:Z55" si="58">_xlfn.NORM.S.DIST(W55)</f>
        <v>1</v>
      </c>
      <c r="Z55" s="2">
        <f t="shared" si="58"/>
        <v>1</v>
      </c>
      <c r="AA55" s="2">
        <f t="shared" si="6"/>
        <v>65.775</v>
      </c>
    </row>
    <row r="56" ht="14.25" customHeight="1">
      <c r="A56" s="2" t="s">
        <v>127</v>
      </c>
      <c r="B56" s="2" t="s">
        <v>126</v>
      </c>
      <c r="C56" s="2" t="s">
        <v>91</v>
      </c>
      <c r="D56" s="2" t="s">
        <v>29</v>
      </c>
      <c r="E56" s="2">
        <v>90.0</v>
      </c>
      <c r="F56" s="2" t="s">
        <v>30</v>
      </c>
      <c r="G56" s="2">
        <v>62.4</v>
      </c>
      <c r="I56" s="2">
        <v>67.05</v>
      </c>
      <c r="K56" s="2">
        <v>0.0</v>
      </c>
      <c r="L56" s="2">
        <v>0.0</v>
      </c>
      <c r="M56" s="2" t="s">
        <v>86</v>
      </c>
      <c r="N56" s="2">
        <v>1.0</v>
      </c>
      <c r="O56" s="2">
        <v>0.0</v>
      </c>
      <c r="P56" s="2">
        <v>-0.2537</v>
      </c>
      <c r="Q56" s="2">
        <v>0.0</v>
      </c>
      <c r="R56" s="2">
        <v>0.1797</v>
      </c>
      <c r="S56" s="2">
        <v>154.58</v>
      </c>
      <c r="T56" s="2">
        <v>7.0</v>
      </c>
      <c r="U56" s="6">
        <v>60.78569412231445</v>
      </c>
      <c r="V56" s="2">
        <f t="shared" si="2"/>
        <v>64.58174998</v>
      </c>
      <c r="W56" s="2">
        <f t="shared" si="3"/>
        <v>18.19584566</v>
      </c>
      <c r="X56" s="2">
        <f t="shared" si="4"/>
        <v>18.16589566</v>
      </c>
      <c r="Y56" s="2">
        <f t="shared" ref="Y56:Z56" si="59">_xlfn.NORM.S.DIST(W56)</f>
        <v>1</v>
      </c>
      <c r="Z56" s="2">
        <f t="shared" si="59"/>
        <v>1</v>
      </c>
      <c r="AA56" s="2">
        <f t="shared" si="6"/>
        <v>64.725</v>
      </c>
    </row>
    <row r="57" ht="14.25" customHeight="1">
      <c r="A57" s="2" t="s">
        <v>127</v>
      </c>
      <c r="B57" s="2" t="s">
        <v>126</v>
      </c>
      <c r="C57" s="2" t="s">
        <v>91</v>
      </c>
      <c r="D57" s="2" t="s">
        <v>29</v>
      </c>
      <c r="E57" s="2">
        <v>90.0</v>
      </c>
      <c r="F57" s="2" t="s">
        <v>30</v>
      </c>
      <c r="G57" s="2">
        <v>63.25</v>
      </c>
      <c r="I57" s="2">
        <v>68.05</v>
      </c>
      <c r="K57" s="2">
        <v>0.0</v>
      </c>
      <c r="L57" s="2">
        <v>0.0</v>
      </c>
      <c r="M57" s="2" t="s">
        <v>87</v>
      </c>
      <c r="N57" s="2">
        <v>1.0</v>
      </c>
      <c r="O57" s="2">
        <v>0.0</v>
      </c>
      <c r="P57" s="2">
        <v>-0.2537</v>
      </c>
      <c r="Q57" s="2">
        <v>0.0</v>
      </c>
      <c r="R57" s="2">
        <v>0.1954</v>
      </c>
      <c r="S57" s="2">
        <v>155.69</v>
      </c>
      <c r="T57" s="2">
        <v>6.0</v>
      </c>
      <c r="U57" s="6">
        <v>61.20911026000977</v>
      </c>
      <c r="V57" s="2">
        <f t="shared" si="2"/>
        <v>65.69149999</v>
      </c>
      <c r="W57" s="2">
        <f t="shared" si="3"/>
        <v>18.33658848</v>
      </c>
      <c r="X57" s="2">
        <f t="shared" si="4"/>
        <v>18.30643761</v>
      </c>
      <c r="Y57" s="2">
        <f t="shared" ref="Y57:Z57" si="60">_xlfn.NORM.S.DIST(W57)</f>
        <v>1</v>
      </c>
      <c r="Z57" s="2">
        <f t="shared" si="60"/>
        <v>1</v>
      </c>
      <c r="AA57" s="2">
        <f t="shared" si="6"/>
        <v>65.65</v>
      </c>
    </row>
    <row r="58" ht="14.25" customHeight="1">
      <c r="A58" s="2" t="s">
        <v>127</v>
      </c>
      <c r="B58" s="2" t="s">
        <v>126</v>
      </c>
      <c r="C58" s="2" t="s">
        <v>91</v>
      </c>
      <c r="D58" s="2" t="s">
        <v>29</v>
      </c>
      <c r="E58" s="2">
        <v>90.0</v>
      </c>
      <c r="F58" s="2" t="s">
        <v>30</v>
      </c>
      <c r="G58" s="2">
        <v>62.7</v>
      </c>
      <c r="I58" s="2">
        <v>67.35</v>
      </c>
      <c r="K58" s="2">
        <v>0.0</v>
      </c>
      <c r="L58" s="2">
        <v>0.0</v>
      </c>
      <c r="M58" s="2" t="s">
        <v>88</v>
      </c>
      <c r="N58" s="2">
        <v>1.0</v>
      </c>
      <c r="O58" s="2">
        <v>0.0</v>
      </c>
      <c r="P58" s="2">
        <v>-0.2537</v>
      </c>
      <c r="Q58" s="2">
        <v>0.0</v>
      </c>
      <c r="R58" s="2">
        <v>0.2556</v>
      </c>
      <c r="S58" s="2">
        <v>155.17</v>
      </c>
      <c r="T58" s="2">
        <v>3.0</v>
      </c>
      <c r="U58" s="6">
        <v>60.98587417602539</v>
      </c>
      <c r="V58" s="2">
        <f t="shared" si="2"/>
        <v>65.17075</v>
      </c>
      <c r="W58" s="2">
        <f t="shared" si="3"/>
        <v>19.82148161</v>
      </c>
      <c r="X58" s="2">
        <f t="shared" si="4"/>
        <v>19.79359336</v>
      </c>
      <c r="Y58" s="2">
        <f t="shared" ref="Y58:Z58" si="61">_xlfn.NORM.S.DIST(W58)</f>
        <v>1</v>
      </c>
      <c r="Z58" s="2">
        <f t="shared" si="61"/>
        <v>1</v>
      </c>
      <c r="AA58" s="2">
        <f t="shared" si="6"/>
        <v>65.025</v>
      </c>
    </row>
    <row r="59" ht="14.25" customHeight="1">
      <c r="A59" s="2" t="s">
        <v>127</v>
      </c>
      <c r="B59" s="2" t="s">
        <v>126</v>
      </c>
      <c r="C59" s="2" t="s">
        <v>91</v>
      </c>
      <c r="D59" s="2" t="s">
        <v>29</v>
      </c>
      <c r="E59" s="2">
        <v>90.0</v>
      </c>
      <c r="F59" s="2" t="s">
        <v>30</v>
      </c>
      <c r="G59" s="2">
        <v>63.85</v>
      </c>
      <c r="I59" s="2">
        <v>68.85</v>
      </c>
      <c r="K59" s="2">
        <v>0.0</v>
      </c>
      <c r="L59" s="2">
        <v>0.0</v>
      </c>
      <c r="M59" s="2" t="s">
        <v>89</v>
      </c>
      <c r="N59" s="2">
        <v>1.0</v>
      </c>
      <c r="O59" s="2">
        <v>0.0</v>
      </c>
      <c r="P59" s="2">
        <v>-0.2537</v>
      </c>
      <c r="Q59" s="2">
        <v>0.0</v>
      </c>
      <c r="R59" s="2">
        <v>0.3118</v>
      </c>
      <c r="S59" s="2">
        <v>156.38</v>
      </c>
      <c r="T59" s="2">
        <v>2.0</v>
      </c>
      <c r="U59" s="6">
        <v>61.46264266967773</v>
      </c>
      <c r="V59" s="2">
        <f t="shared" si="2"/>
        <v>66.3805</v>
      </c>
      <c r="W59" s="2">
        <f t="shared" si="3"/>
        <v>20.32252258</v>
      </c>
      <c r="X59" s="2">
        <f t="shared" si="4"/>
        <v>20.29474522</v>
      </c>
      <c r="Y59" s="2">
        <f t="shared" ref="Y59:Z59" si="62">_xlfn.NORM.S.DIST(W59)</f>
        <v>1</v>
      </c>
      <c r="Z59" s="2">
        <f t="shared" si="62"/>
        <v>1</v>
      </c>
      <c r="AA59" s="2">
        <f t="shared" si="6"/>
        <v>66.35</v>
      </c>
    </row>
    <row r="60" ht="14.25" customHeight="1">
      <c r="A60" s="2" t="s">
        <v>127</v>
      </c>
      <c r="B60" s="2" t="s">
        <v>126</v>
      </c>
      <c r="C60" s="2" t="s">
        <v>91</v>
      </c>
      <c r="D60" s="2" t="s">
        <v>29</v>
      </c>
      <c r="E60" s="2">
        <v>90.0</v>
      </c>
      <c r="F60" s="2" t="s">
        <v>30</v>
      </c>
      <c r="G60" s="2">
        <v>63.9</v>
      </c>
      <c r="I60" s="2">
        <v>68.85</v>
      </c>
      <c r="K60" s="2">
        <v>0.0</v>
      </c>
      <c r="L60" s="2">
        <v>0.0</v>
      </c>
      <c r="M60" s="2" t="s">
        <v>90</v>
      </c>
      <c r="N60" s="2">
        <v>1.0</v>
      </c>
      <c r="O60" s="2">
        <v>0.0</v>
      </c>
      <c r="P60" s="2">
        <v>-0.2537</v>
      </c>
      <c r="Q60" s="2">
        <v>0.0</v>
      </c>
      <c r="R60" s="2">
        <v>0.699</v>
      </c>
      <c r="S60" s="2">
        <v>156.29</v>
      </c>
      <c r="T60" s="2">
        <v>1.0</v>
      </c>
      <c r="U60" s="6">
        <v>61.45786666870117</v>
      </c>
      <c r="V60" s="2">
        <f t="shared" si="2"/>
        <v>66.29025</v>
      </c>
      <c r="W60" s="2">
        <f t="shared" si="3"/>
        <v>13.89086232</v>
      </c>
      <c r="X60" s="2">
        <f t="shared" si="4"/>
        <v>13.84682946</v>
      </c>
      <c r="Y60" s="2">
        <f t="shared" ref="Y60:Z60" si="63">_xlfn.NORM.S.DIST(W60)</f>
        <v>1</v>
      </c>
      <c r="Z60" s="2">
        <f t="shared" si="63"/>
        <v>1</v>
      </c>
      <c r="AA60" s="2">
        <f t="shared" si="6"/>
        <v>66.375</v>
      </c>
    </row>
    <row r="61" ht="14.25" customHeight="1">
      <c r="U61" s="5"/>
    </row>
    <row r="62" ht="14.25" customHeight="1">
      <c r="U62" s="5"/>
    </row>
    <row r="63" ht="14.25" customHeight="1">
      <c r="U63" s="5"/>
    </row>
    <row r="64" ht="14.25" customHeight="1">
      <c r="U64" s="5"/>
    </row>
    <row r="65" ht="14.25" customHeight="1">
      <c r="U65" s="5"/>
    </row>
    <row r="66" ht="14.25" customHeight="1">
      <c r="U66" s="5"/>
    </row>
    <row r="67" ht="14.25" customHeight="1">
      <c r="U67" s="5"/>
    </row>
    <row r="68" ht="14.25" customHeight="1">
      <c r="U68" s="5"/>
    </row>
    <row r="69" ht="14.25" customHeight="1">
      <c r="U69" s="5"/>
    </row>
    <row r="70" ht="14.25" customHeight="1">
      <c r="U70" s="5"/>
    </row>
    <row r="71" ht="14.25" customHeight="1">
      <c r="U71" s="5"/>
    </row>
    <row r="72" ht="14.25" customHeight="1">
      <c r="U72" s="5"/>
    </row>
    <row r="73" ht="14.25" customHeight="1">
      <c r="U73" s="5"/>
    </row>
    <row r="74" ht="14.25" customHeight="1">
      <c r="U74" s="5"/>
    </row>
    <row r="75" ht="14.25" customHeight="1">
      <c r="U75" s="5"/>
    </row>
    <row r="76" ht="14.25" customHeight="1">
      <c r="U76" s="5"/>
    </row>
    <row r="77" ht="14.25" customHeight="1">
      <c r="U77" s="5"/>
    </row>
    <row r="78" ht="14.25" customHeight="1">
      <c r="U78" s="5"/>
    </row>
    <row r="79" ht="14.25" customHeight="1">
      <c r="U79" s="5"/>
    </row>
    <row r="80" ht="14.25" customHeight="1">
      <c r="U80" s="5"/>
    </row>
    <row r="81" ht="14.25" customHeight="1">
      <c r="U81" s="5"/>
    </row>
    <row r="82" ht="14.25" customHeight="1">
      <c r="U82" s="5"/>
    </row>
    <row r="83" ht="14.25" customHeight="1">
      <c r="U83" s="5"/>
    </row>
    <row r="84" ht="14.25" customHeight="1">
      <c r="U84" s="5"/>
    </row>
    <row r="85" ht="14.25" customHeight="1">
      <c r="U85" s="5"/>
    </row>
    <row r="86" ht="14.25" customHeight="1">
      <c r="U86" s="5"/>
    </row>
    <row r="87" ht="14.25" customHeight="1">
      <c r="U87" s="5"/>
    </row>
    <row r="88" ht="14.25" customHeight="1">
      <c r="U88" s="5"/>
    </row>
    <row r="89" ht="14.25" customHeight="1">
      <c r="U89" s="5"/>
    </row>
    <row r="90" ht="14.25" customHeight="1">
      <c r="U90" s="5"/>
    </row>
    <row r="91" ht="14.25" customHeight="1">
      <c r="U91" s="5"/>
    </row>
    <row r="92" ht="14.25" customHeight="1">
      <c r="U92" s="5"/>
    </row>
    <row r="93" ht="14.25" customHeight="1">
      <c r="U93" s="5"/>
    </row>
    <row r="94" ht="14.25" customHeight="1">
      <c r="U94" s="5"/>
    </row>
    <row r="95" ht="14.25" customHeight="1">
      <c r="U95" s="5"/>
    </row>
    <row r="96" ht="14.25" customHeight="1">
      <c r="U96" s="5"/>
    </row>
    <row r="97" ht="14.25" customHeight="1">
      <c r="U97" s="5"/>
    </row>
    <row r="98" ht="14.25" customHeight="1">
      <c r="U98" s="5"/>
    </row>
    <row r="99" ht="14.25" customHeight="1">
      <c r="U99" s="5"/>
    </row>
    <row r="100" ht="14.25" customHeight="1">
      <c r="U100" s="5"/>
    </row>
    <row r="101" ht="14.25" customHeight="1">
      <c r="U101" s="5"/>
    </row>
    <row r="102" ht="14.25" customHeight="1">
      <c r="U102" s="5"/>
    </row>
    <row r="103" ht="14.25" customHeight="1">
      <c r="U103" s="5"/>
    </row>
    <row r="104" ht="14.25" customHeight="1">
      <c r="U104" s="5"/>
    </row>
    <row r="105" ht="14.25" customHeight="1">
      <c r="U105" s="5"/>
    </row>
    <row r="106" ht="14.25" customHeight="1">
      <c r="U106" s="5"/>
    </row>
    <row r="107" ht="14.25" customHeight="1">
      <c r="U107" s="5"/>
    </row>
    <row r="108" ht="14.25" customHeight="1">
      <c r="U108" s="5"/>
    </row>
    <row r="109" ht="14.25" customHeight="1">
      <c r="U109" s="5"/>
    </row>
    <row r="110" ht="14.25" customHeight="1">
      <c r="U110" s="5"/>
    </row>
    <row r="111" ht="14.25" customHeight="1">
      <c r="U111" s="5"/>
    </row>
    <row r="112" ht="14.25" customHeight="1">
      <c r="U112" s="5"/>
    </row>
    <row r="113" ht="14.25" customHeight="1">
      <c r="U113" s="5"/>
    </row>
    <row r="114" ht="14.25" customHeight="1">
      <c r="U114" s="5"/>
    </row>
    <row r="115" ht="14.25" customHeight="1">
      <c r="U115" s="5"/>
    </row>
    <row r="116" ht="14.25" customHeight="1">
      <c r="U116" s="5"/>
    </row>
    <row r="117" ht="14.25" customHeight="1">
      <c r="U117" s="5"/>
    </row>
    <row r="118" ht="14.25" customHeight="1">
      <c r="U118" s="5"/>
    </row>
    <row r="119" ht="14.25" customHeight="1">
      <c r="U119" s="5"/>
    </row>
    <row r="120" ht="14.25" customHeight="1">
      <c r="U120" s="5"/>
    </row>
    <row r="121" ht="14.25" customHeight="1">
      <c r="U121" s="5"/>
    </row>
    <row r="122" ht="14.25" customHeight="1">
      <c r="U122" s="5"/>
    </row>
    <row r="123" ht="14.25" customHeight="1">
      <c r="U123" s="5"/>
    </row>
    <row r="124" ht="14.25" customHeight="1">
      <c r="U124" s="5"/>
    </row>
    <row r="125" ht="14.25" customHeight="1">
      <c r="U125" s="5"/>
    </row>
    <row r="126" ht="14.25" customHeight="1">
      <c r="U126" s="5"/>
    </row>
    <row r="127" ht="14.25" customHeight="1">
      <c r="U127" s="5"/>
    </row>
    <row r="128" ht="14.25" customHeight="1">
      <c r="U128" s="5"/>
    </row>
    <row r="129" ht="14.25" customHeight="1">
      <c r="U129" s="5"/>
    </row>
    <row r="130" ht="14.25" customHeight="1">
      <c r="U130" s="5"/>
    </row>
    <row r="131" ht="14.25" customHeight="1">
      <c r="U131" s="5"/>
    </row>
    <row r="132" ht="14.25" customHeight="1">
      <c r="U132" s="5"/>
    </row>
    <row r="133" ht="14.25" customHeight="1">
      <c r="U133" s="5"/>
    </row>
    <row r="134" ht="14.25" customHeight="1">
      <c r="U134" s="5"/>
    </row>
    <row r="135" ht="14.25" customHeight="1">
      <c r="U135" s="5"/>
    </row>
    <row r="136" ht="14.25" customHeight="1">
      <c r="U136" s="5"/>
    </row>
    <row r="137" ht="14.25" customHeight="1">
      <c r="U137" s="5"/>
    </row>
    <row r="138" ht="14.25" customHeight="1">
      <c r="U138" s="5"/>
    </row>
    <row r="139" ht="14.25" customHeight="1">
      <c r="U139" s="5"/>
    </row>
    <row r="140" ht="14.25" customHeight="1">
      <c r="U140" s="5"/>
    </row>
    <row r="141" ht="14.25" customHeight="1">
      <c r="U141" s="5"/>
    </row>
    <row r="142" ht="14.25" customHeight="1">
      <c r="U142" s="5"/>
    </row>
    <row r="143" ht="14.25" customHeight="1">
      <c r="U143" s="5"/>
    </row>
    <row r="144" ht="14.25" customHeight="1">
      <c r="U144" s="5"/>
    </row>
    <row r="145" ht="14.25" customHeight="1">
      <c r="U145" s="5"/>
    </row>
    <row r="146" ht="14.25" customHeight="1">
      <c r="U146" s="5"/>
    </row>
    <row r="147" ht="14.25" customHeight="1">
      <c r="U147" s="5"/>
    </row>
    <row r="148" ht="14.25" customHeight="1">
      <c r="U148" s="5"/>
    </row>
    <row r="149" ht="14.25" customHeight="1">
      <c r="U149" s="5"/>
    </row>
    <row r="150" ht="14.25" customHeight="1">
      <c r="U150" s="5"/>
    </row>
    <row r="151" ht="14.25" customHeight="1">
      <c r="U151" s="5"/>
    </row>
    <row r="152" ht="14.25" customHeight="1">
      <c r="U152" s="5"/>
    </row>
    <row r="153" ht="14.25" customHeight="1">
      <c r="U153" s="5"/>
    </row>
    <row r="154" ht="14.25" customHeight="1">
      <c r="U154" s="5"/>
    </row>
    <row r="155" ht="14.25" customHeight="1">
      <c r="U155" s="5"/>
    </row>
    <row r="156" ht="14.25" customHeight="1">
      <c r="U156" s="5"/>
    </row>
    <row r="157" ht="14.25" customHeight="1">
      <c r="U157" s="5"/>
    </row>
    <row r="158" ht="14.25" customHeight="1">
      <c r="U158" s="5"/>
    </row>
    <row r="159" ht="14.25" customHeight="1">
      <c r="U159" s="5"/>
    </row>
    <row r="160" ht="14.25" customHeight="1">
      <c r="U160" s="5"/>
    </row>
    <row r="161" ht="14.25" customHeight="1">
      <c r="U161" s="5"/>
    </row>
    <row r="162" ht="14.25" customHeight="1">
      <c r="U162" s="5"/>
    </row>
    <row r="163" ht="14.25" customHeight="1">
      <c r="U163" s="5"/>
    </row>
    <row r="164" ht="14.25" customHeight="1">
      <c r="U164" s="5"/>
    </row>
    <row r="165" ht="14.25" customHeight="1">
      <c r="U165" s="5"/>
    </row>
    <row r="166" ht="14.25" customHeight="1">
      <c r="U166" s="5"/>
    </row>
    <row r="167" ht="14.25" customHeight="1">
      <c r="U167" s="5"/>
    </row>
    <row r="168" ht="14.25" customHeight="1">
      <c r="U168" s="5"/>
    </row>
    <row r="169" ht="14.25" customHeight="1">
      <c r="U169" s="5"/>
    </row>
    <row r="170" ht="14.25" customHeight="1">
      <c r="U170" s="5"/>
    </row>
    <row r="171" ht="14.25" customHeight="1">
      <c r="U171" s="5"/>
    </row>
    <row r="172" ht="14.25" customHeight="1">
      <c r="U172" s="5"/>
    </row>
    <row r="173" ht="14.25" customHeight="1">
      <c r="U173" s="5"/>
    </row>
    <row r="174" ht="14.25" customHeight="1">
      <c r="U174" s="5"/>
    </row>
    <row r="175" ht="14.25" customHeight="1">
      <c r="U175" s="5"/>
    </row>
    <row r="176" ht="14.25" customHeight="1">
      <c r="U176" s="5"/>
    </row>
    <row r="177" ht="14.25" customHeight="1">
      <c r="U177" s="5"/>
    </row>
    <row r="178" ht="14.25" customHeight="1">
      <c r="U178" s="5"/>
    </row>
    <row r="179" ht="14.25" customHeight="1">
      <c r="U179" s="5"/>
    </row>
    <row r="180" ht="14.25" customHeight="1">
      <c r="U180" s="5"/>
    </row>
    <row r="181" ht="14.25" customHeight="1">
      <c r="U181" s="5"/>
    </row>
    <row r="182" ht="14.25" customHeight="1">
      <c r="U182" s="5"/>
    </row>
    <row r="183" ht="14.25" customHeight="1">
      <c r="U183" s="5"/>
    </row>
    <row r="184" ht="14.25" customHeight="1">
      <c r="U184" s="5"/>
    </row>
    <row r="185" ht="14.25" customHeight="1">
      <c r="U185" s="5"/>
    </row>
    <row r="186" ht="14.25" customHeight="1">
      <c r="U186" s="5"/>
    </row>
    <row r="187" ht="14.25" customHeight="1">
      <c r="U187" s="5"/>
    </row>
    <row r="188" ht="14.25" customHeight="1">
      <c r="U188" s="5"/>
    </row>
    <row r="189" ht="14.25" customHeight="1">
      <c r="U189" s="5"/>
    </row>
    <row r="190" ht="14.25" customHeight="1">
      <c r="U190" s="5"/>
    </row>
    <row r="191" ht="14.25" customHeight="1">
      <c r="U191" s="5"/>
    </row>
    <row r="192" ht="14.25" customHeight="1">
      <c r="U192" s="5"/>
    </row>
    <row r="193" ht="14.25" customHeight="1">
      <c r="U193" s="5"/>
    </row>
    <row r="194" ht="14.25" customHeight="1">
      <c r="U194" s="5"/>
    </row>
    <row r="195" ht="14.25" customHeight="1">
      <c r="U195" s="5"/>
    </row>
    <row r="196" ht="14.25" customHeight="1">
      <c r="U196" s="5"/>
    </row>
    <row r="197" ht="14.25" customHeight="1">
      <c r="U197" s="5"/>
    </row>
    <row r="198" ht="14.25" customHeight="1">
      <c r="U198" s="5"/>
    </row>
    <row r="199" ht="14.25" customHeight="1">
      <c r="U199" s="5"/>
    </row>
    <row r="200" ht="14.25" customHeight="1">
      <c r="U200" s="5"/>
    </row>
    <row r="201" ht="14.25" customHeight="1">
      <c r="U201" s="5"/>
    </row>
    <row r="202" ht="14.25" customHeight="1">
      <c r="U202" s="5"/>
    </row>
    <row r="203" ht="14.25" customHeight="1">
      <c r="U203" s="5"/>
    </row>
    <row r="204" ht="14.25" customHeight="1">
      <c r="U204" s="5"/>
    </row>
    <row r="205" ht="14.25" customHeight="1">
      <c r="U205" s="5"/>
    </row>
    <row r="206" ht="14.25" customHeight="1">
      <c r="U206" s="5"/>
    </row>
    <row r="207" ht="14.25" customHeight="1">
      <c r="U207" s="5"/>
    </row>
    <row r="208" ht="14.25" customHeight="1">
      <c r="U208" s="5"/>
    </row>
    <row r="209" ht="14.25" customHeight="1">
      <c r="U209" s="5"/>
    </row>
    <row r="210" ht="14.25" customHeight="1">
      <c r="U210" s="5"/>
    </row>
    <row r="211" ht="14.25" customHeight="1">
      <c r="U211" s="5"/>
    </row>
    <row r="212" ht="14.25" customHeight="1">
      <c r="U212" s="5"/>
    </row>
    <row r="213" ht="14.25" customHeight="1">
      <c r="U213" s="5"/>
    </row>
    <row r="214" ht="14.25" customHeight="1">
      <c r="U214" s="5"/>
    </row>
    <row r="215" ht="14.25" customHeight="1">
      <c r="U215" s="5"/>
    </row>
    <row r="216" ht="14.25" customHeight="1">
      <c r="U216" s="5"/>
    </row>
    <row r="217" ht="14.25" customHeight="1">
      <c r="U217" s="5"/>
    </row>
    <row r="218" ht="14.25" customHeight="1">
      <c r="U218" s="5"/>
    </row>
    <row r="219" ht="14.25" customHeight="1">
      <c r="U219" s="5"/>
    </row>
    <row r="220" ht="14.25" customHeight="1">
      <c r="U220" s="5"/>
    </row>
    <row r="221" ht="14.25" customHeight="1">
      <c r="U221" s="5"/>
    </row>
    <row r="222" ht="14.25" customHeight="1">
      <c r="U222" s="5"/>
    </row>
    <row r="223" ht="14.25" customHeight="1">
      <c r="U223" s="5"/>
    </row>
    <row r="224" ht="14.25" customHeight="1">
      <c r="U224" s="5"/>
    </row>
    <row r="225" ht="14.25" customHeight="1">
      <c r="U225" s="5"/>
    </row>
    <row r="226" ht="14.25" customHeight="1">
      <c r="U226" s="5"/>
    </row>
    <row r="227" ht="14.25" customHeight="1">
      <c r="U227" s="5"/>
    </row>
    <row r="228" ht="14.25" customHeight="1">
      <c r="U228" s="5"/>
    </row>
    <row r="229" ht="14.25" customHeight="1">
      <c r="U229" s="5"/>
    </row>
    <row r="230" ht="14.25" customHeight="1">
      <c r="U230" s="5"/>
    </row>
    <row r="231" ht="14.25" customHeight="1">
      <c r="U231" s="5"/>
    </row>
    <row r="232" ht="14.25" customHeight="1">
      <c r="U232" s="5"/>
    </row>
    <row r="233" ht="14.25" customHeight="1">
      <c r="U233" s="5"/>
    </row>
    <row r="234" ht="14.25" customHeight="1">
      <c r="U234" s="5"/>
    </row>
    <row r="235" ht="14.25" customHeight="1">
      <c r="U235" s="5"/>
    </row>
    <row r="236" ht="14.25" customHeight="1">
      <c r="U236" s="5"/>
    </row>
    <row r="237" ht="14.25" customHeight="1">
      <c r="U237" s="5"/>
    </row>
    <row r="238" ht="14.25" customHeight="1">
      <c r="U238" s="5"/>
    </row>
    <row r="239" ht="14.25" customHeight="1">
      <c r="U239" s="5"/>
    </row>
    <row r="240" ht="14.25" customHeight="1">
      <c r="U240" s="5"/>
    </row>
    <row r="241" ht="14.25" customHeight="1">
      <c r="U241" s="5"/>
    </row>
    <row r="242" ht="14.25" customHeight="1">
      <c r="U242" s="5"/>
    </row>
    <row r="243" ht="14.25" customHeight="1">
      <c r="U243" s="5"/>
    </row>
    <row r="244" ht="14.25" customHeight="1">
      <c r="U244" s="5"/>
    </row>
    <row r="245" ht="14.25" customHeight="1">
      <c r="U245" s="5"/>
    </row>
    <row r="246" ht="14.25" customHeight="1">
      <c r="U246" s="5"/>
    </row>
    <row r="247" ht="14.25" customHeight="1">
      <c r="U247" s="5"/>
    </row>
    <row r="248" ht="14.25" customHeight="1">
      <c r="U248" s="5"/>
    </row>
    <row r="249" ht="14.25" customHeight="1">
      <c r="U249" s="5"/>
    </row>
    <row r="250" ht="14.25" customHeight="1">
      <c r="U250" s="5"/>
    </row>
    <row r="251" ht="14.25" customHeight="1">
      <c r="U251" s="5"/>
    </row>
    <row r="252" ht="14.25" customHeight="1">
      <c r="U252" s="5"/>
    </row>
    <row r="253" ht="14.25" customHeight="1">
      <c r="U253" s="5"/>
    </row>
    <row r="254" ht="14.25" customHeight="1">
      <c r="U254" s="5"/>
    </row>
    <row r="255" ht="14.25" customHeight="1">
      <c r="U255" s="5"/>
    </row>
    <row r="256" ht="14.25" customHeight="1">
      <c r="U256" s="5"/>
    </row>
    <row r="257" ht="14.25" customHeight="1">
      <c r="U257" s="5"/>
    </row>
    <row r="258" ht="14.25" customHeight="1">
      <c r="U258" s="5"/>
    </row>
    <row r="259" ht="14.25" customHeight="1">
      <c r="U259" s="5"/>
    </row>
    <row r="260" ht="14.25" customHeight="1">
      <c r="U260" s="5"/>
    </row>
    <row r="261" ht="14.25" customHeight="1">
      <c r="U261" s="5"/>
    </row>
    <row r="262" ht="14.25" customHeight="1">
      <c r="U262" s="5"/>
    </row>
    <row r="263" ht="14.25" customHeight="1">
      <c r="U263" s="5"/>
    </row>
    <row r="264" ht="14.25" customHeight="1">
      <c r="U264" s="5"/>
    </row>
    <row r="265" ht="14.25" customHeight="1">
      <c r="U265" s="5"/>
    </row>
    <row r="266" ht="14.25" customHeight="1">
      <c r="U266" s="5"/>
    </row>
    <row r="267" ht="14.25" customHeight="1">
      <c r="U267" s="5"/>
    </row>
    <row r="268" ht="14.25" customHeight="1">
      <c r="U268" s="5"/>
    </row>
    <row r="269" ht="14.25" customHeight="1">
      <c r="U269" s="5"/>
    </row>
    <row r="270" ht="14.25" customHeight="1">
      <c r="U270" s="5"/>
    </row>
    <row r="271" ht="14.25" customHeight="1">
      <c r="U271" s="5"/>
    </row>
    <row r="272" ht="14.25" customHeight="1">
      <c r="U272" s="5"/>
    </row>
    <row r="273" ht="14.25" customHeight="1">
      <c r="U273" s="5"/>
    </row>
    <row r="274" ht="14.25" customHeight="1">
      <c r="U274" s="5"/>
    </row>
    <row r="275" ht="14.25" customHeight="1">
      <c r="U275" s="5"/>
    </row>
    <row r="276" ht="14.25" customHeight="1">
      <c r="U276" s="5"/>
    </row>
    <row r="277" ht="14.25" customHeight="1">
      <c r="U277" s="5"/>
    </row>
    <row r="278" ht="14.25" customHeight="1">
      <c r="U278" s="5"/>
    </row>
    <row r="279" ht="14.25" customHeight="1">
      <c r="U279" s="5"/>
    </row>
    <row r="280" ht="14.25" customHeight="1">
      <c r="U280" s="5"/>
    </row>
    <row r="281" ht="14.25" customHeight="1">
      <c r="U281" s="5"/>
    </row>
    <row r="282" ht="14.25" customHeight="1">
      <c r="U282" s="5"/>
    </row>
    <row r="283" ht="14.25" customHeight="1">
      <c r="U283" s="5"/>
    </row>
    <row r="284" ht="14.25" customHeight="1">
      <c r="U284" s="5"/>
    </row>
    <row r="285" ht="14.25" customHeight="1">
      <c r="U285" s="5"/>
    </row>
    <row r="286" ht="14.25" customHeight="1">
      <c r="U286" s="5"/>
    </row>
    <row r="287" ht="14.25" customHeight="1">
      <c r="U287" s="5"/>
    </row>
    <row r="288" ht="14.25" customHeight="1">
      <c r="U288" s="5"/>
    </row>
    <row r="289" ht="14.25" customHeight="1">
      <c r="U289" s="5"/>
    </row>
    <row r="290" ht="14.25" customHeight="1">
      <c r="U290" s="5"/>
    </row>
    <row r="291" ht="14.25" customHeight="1">
      <c r="U291" s="5"/>
    </row>
    <row r="292" ht="14.25" customHeight="1">
      <c r="U292" s="5"/>
    </row>
    <row r="293" ht="14.25" customHeight="1">
      <c r="U293" s="5"/>
    </row>
    <row r="294" ht="14.25" customHeight="1">
      <c r="U294" s="5"/>
    </row>
    <row r="295" ht="14.25" customHeight="1">
      <c r="U295" s="5"/>
    </row>
    <row r="296" ht="14.25" customHeight="1">
      <c r="U296" s="5"/>
    </row>
    <row r="297" ht="14.25" customHeight="1">
      <c r="U297" s="5"/>
    </row>
    <row r="298" ht="14.25" customHeight="1">
      <c r="U298" s="5"/>
    </row>
    <row r="299" ht="14.25" customHeight="1">
      <c r="U299" s="5"/>
    </row>
    <row r="300" ht="14.25" customHeight="1">
      <c r="U300" s="5"/>
    </row>
    <row r="301" ht="14.25" customHeight="1">
      <c r="U301" s="5"/>
    </row>
    <row r="302" ht="14.25" customHeight="1">
      <c r="U302" s="5"/>
    </row>
    <row r="303" ht="14.25" customHeight="1">
      <c r="U303" s="5"/>
    </row>
    <row r="304" ht="14.25" customHeight="1">
      <c r="U304" s="5"/>
    </row>
    <row r="305" ht="14.25" customHeight="1">
      <c r="U305" s="5"/>
    </row>
    <row r="306" ht="14.25" customHeight="1">
      <c r="U306" s="5"/>
    </row>
    <row r="307" ht="14.25" customHeight="1">
      <c r="U307" s="5"/>
    </row>
    <row r="308" ht="14.25" customHeight="1">
      <c r="U308" s="5"/>
    </row>
    <row r="309" ht="14.25" customHeight="1">
      <c r="U309" s="5"/>
    </row>
    <row r="310" ht="14.25" customHeight="1">
      <c r="U310" s="5"/>
    </row>
    <row r="311" ht="14.25" customHeight="1">
      <c r="U311" s="5"/>
    </row>
    <row r="312" ht="14.25" customHeight="1">
      <c r="U312" s="5"/>
    </row>
    <row r="313" ht="14.25" customHeight="1">
      <c r="U313" s="5"/>
    </row>
    <row r="314" ht="14.25" customHeight="1">
      <c r="U314" s="5"/>
    </row>
    <row r="315" ht="14.25" customHeight="1">
      <c r="U315" s="5"/>
    </row>
    <row r="316" ht="14.25" customHeight="1">
      <c r="U316" s="5"/>
    </row>
    <row r="317" ht="14.25" customHeight="1">
      <c r="U317" s="5"/>
    </row>
    <row r="318" ht="14.25" customHeight="1">
      <c r="U318" s="5"/>
    </row>
    <row r="319" ht="14.25" customHeight="1">
      <c r="U319" s="5"/>
    </row>
    <row r="320" ht="14.25" customHeight="1">
      <c r="U320" s="5"/>
    </row>
    <row r="321" ht="14.25" customHeight="1">
      <c r="U321" s="5"/>
    </row>
    <row r="322" ht="14.25" customHeight="1">
      <c r="U322" s="5"/>
    </row>
    <row r="323" ht="14.25" customHeight="1">
      <c r="U323" s="5"/>
    </row>
    <row r="324" ht="14.25" customHeight="1">
      <c r="U324" s="5"/>
    </row>
    <row r="325" ht="14.25" customHeight="1">
      <c r="U325" s="5"/>
    </row>
    <row r="326" ht="14.25" customHeight="1">
      <c r="U326" s="5"/>
    </row>
    <row r="327" ht="14.25" customHeight="1">
      <c r="U327" s="5"/>
    </row>
    <row r="328" ht="14.25" customHeight="1">
      <c r="U328" s="5"/>
    </row>
    <row r="329" ht="14.25" customHeight="1">
      <c r="U329" s="5"/>
    </row>
    <row r="330" ht="14.25" customHeight="1">
      <c r="U330" s="5"/>
    </row>
    <row r="331" ht="14.25" customHeight="1">
      <c r="U331" s="5"/>
    </row>
    <row r="332" ht="14.25" customHeight="1">
      <c r="U332" s="5"/>
    </row>
    <row r="333" ht="14.25" customHeight="1">
      <c r="U333" s="5"/>
    </row>
    <row r="334" ht="14.25" customHeight="1">
      <c r="U334" s="5"/>
    </row>
    <row r="335" ht="14.25" customHeight="1">
      <c r="U335" s="5"/>
    </row>
    <row r="336" ht="14.25" customHeight="1">
      <c r="U336" s="5"/>
    </row>
    <row r="337" ht="14.25" customHeight="1">
      <c r="U337" s="5"/>
    </row>
    <row r="338" ht="14.25" customHeight="1">
      <c r="U338" s="5"/>
    </row>
    <row r="339" ht="14.25" customHeight="1">
      <c r="U339" s="5"/>
    </row>
    <row r="340" ht="14.25" customHeight="1">
      <c r="U340" s="5"/>
    </row>
    <row r="341" ht="14.25" customHeight="1">
      <c r="U341" s="5"/>
    </row>
    <row r="342" ht="14.25" customHeight="1">
      <c r="U342" s="5"/>
    </row>
    <row r="343" ht="14.25" customHeight="1">
      <c r="U343" s="5"/>
    </row>
    <row r="344" ht="14.25" customHeight="1">
      <c r="U344" s="5"/>
    </row>
    <row r="345" ht="14.25" customHeight="1">
      <c r="U345" s="5"/>
    </row>
    <row r="346" ht="14.25" customHeight="1">
      <c r="U346" s="5"/>
    </row>
    <row r="347" ht="14.25" customHeight="1">
      <c r="U347" s="5"/>
    </row>
    <row r="348" ht="14.25" customHeight="1">
      <c r="U348" s="5"/>
    </row>
    <row r="349" ht="14.25" customHeight="1">
      <c r="U349" s="5"/>
    </row>
    <row r="350" ht="14.25" customHeight="1">
      <c r="U350" s="5"/>
    </row>
    <row r="351" ht="14.25" customHeight="1">
      <c r="U351" s="5"/>
    </row>
    <row r="352" ht="14.25" customHeight="1">
      <c r="U352" s="5"/>
    </row>
    <row r="353" ht="14.25" customHeight="1">
      <c r="U353" s="5"/>
    </row>
    <row r="354" ht="14.25" customHeight="1">
      <c r="U354" s="5"/>
    </row>
    <row r="355" ht="14.25" customHeight="1">
      <c r="U355" s="5"/>
    </row>
    <row r="356" ht="14.25" customHeight="1">
      <c r="U356" s="5"/>
    </row>
    <row r="357" ht="14.25" customHeight="1">
      <c r="U357" s="5"/>
    </row>
    <row r="358" ht="14.25" customHeight="1">
      <c r="U358" s="5"/>
    </row>
    <row r="359" ht="14.25" customHeight="1">
      <c r="U359" s="5"/>
    </row>
    <row r="360" ht="14.25" customHeight="1">
      <c r="U360" s="5"/>
    </row>
    <row r="361" ht="14.25" customHeight="1">
      <c r="U361" s="5"/>
    </row>
    <row r="362" ht="14.25" customHeight="1">
      <c r="U362" s="5"/>
    </row>
    <row r="363" ht="14.25" customHeight="1">
      <c r="U363" s="5"/>
    </row>
    <row r="364" ht="14.25" customHeight="1">
      <c r="U364" s="5"/>
    </row>
    <row r="365" ht="14.25" customHeight="1">
      <c r="U365" s="5"/>
    </row>
    <row r="366" ht="14.25" customHeight="1">
      <c r="U366" s="5"/>
    </row>
    <row r="367" ht="14.25" customHeight="1">
      <c r="U367" s="5"/>
    </row>
    <row r="368" ht="14.25" customHeight="1">
      <c r="U368" s="5"/>
    </row>
    <row r="369" ht="14.25" customHeight="1">
      <c r="U369" s="5"/>
    </row>
    <row r="370" ht="14.25" customHeight="1">
      <c r="U370" s="5"/>
    </row>
    <row r="371" ht="14.25" customHeight="1">
      <c r="U371" s="5"/>
    </row>
    <row r="372" ht="14.25" customHeight="1">
      <c r="U372" s="5"/>
    </row>
    <row r="373" ht="14.25" customHeight="1">
      <c r="U373" s="5"/>
    </row>
    <row r="374" ht="14.25" customHeight="1">
      <c r="U374" s="5"/>
    </row>
    <row r="375" ht="14.25" customHeight="1">
      <c r="U375" s="5"/>
    </row>
    <row r="376" ht="14.25" customHeight="1">
      <c r="U376" s="5"/>
    </row>
    <row r="377" ht="14.25" customHeight="1">
      <c r="U377" s="5"/>
    </row>
    <row r="378" ht="14.25" customHeight="1">
      <c r="U378" s="5"/>
    </row>
    <row r="379" ht="14.25" customHeight="1">
      <c r="U379" s="5"/>
    </row>
    <row r="380" ht="14.25" customHeight="1">
      <c r="U380" s="5"/>
    </row>
    <row r="381" ht="14.25" customHeight="1">
      <c r="U381" s="5"/>
    </row>
    <row r="382" ht="14.25" customHeight="1">
      <c r="U382" s="5"/>
    </row>
    <row r="383" ht="14.25" customHeight="1">
      <c r="U383" s="5"/>
    </row>
    <row r="384" ht="14.25" customHeight="1">
      <c r="U384" s="5"/>
    </row>
    <row r="385" ht="14.25" customHeight="1">
      <c r="U385" s="5"/>
    </row>
    <row r="386" ht="14.25" customHeight="1">
      <c r="U386" s="5"/>
    </row>
    <row r="387" ht="14.25" customHeight="1">
      <c r="U387" s="5"/>
    </row>
    <row r="388" ht="14.25" customHeight="1">
      <c r="U388" s="5"/>
    </row>
    <row r="389" ht="14.25" customHeight="1">
      <c r="U389" s="5"/>
    </row>
    <row r="390" ht="14.25" customHeight="1">
      <c r="U390" s="5"/>
    </row>
    <row r="391" ht="14.25" customHeight="1">
      <c r="U391" s="5"/>
    </row>
    <row r="392" ht="14.25" customHeight="1">
      <c r="U392" s="5"/>
    </row>
    <row r="393" ht="14.25" customHeight="1">
      <c r="U393" s="5"/>
    </row>
    <row r="394" ht="14.25" customHeight="1">
      <c r="U394" s="5"/>
    </row>
    <row r="395" ht="14.25" customHeight="1">
      <c r="U395" s="5"/>
    </row>
    <row r="396" ht="14.25" customHeight="1">
      <c r="U396" s="5"/>
    </row>
    <row r="397" ht="14.25" customHeight="1">
      <c r="U397" s="5"/>
    </row>
    <row r="398" ht="14.25" customHeight="1">
      <c r="U398" s="5"/>
    </row>
    <row r="399" ht="14.25" customHeight="1">
      <c r="U399" s="5"/>
    </row>
    <row r="400" ht="14.25" customHeight="1">
      <c r="U400" s="5"/>
    </row>
    <row r="401" ht="14.25" customHeight="1">
      <c r="U401" s="5"/>
    </row>
    <row r="402" ht="14.25" customHeight="1">
      <c r="U402" s="5"/>
    </row>
    <row r="403" ht="14.25" customHeight="1">
      <c r="U403" s="5"/>
    </row>
    <row r="404" ht="14.25" customHeight="1">
      <c r="U404" s="5"/>
    </row>
    <row r="405" ht="14.25" customHeight="1">
      <c r="U405" s="5"/>
    </row>
    <row r="406" ht="14.25" customHeight="1">
      <c r="U406" s="5"/>
    </row>
    <row r="407" ht="14.25" customHeight="1">
      <c r="U407" s="5"/>
    </row>
    <row r="408" ht="14.25" customHeight="1">
      <c r="U408" s="5"/>
    </row>
    <row r="409" ht="14.25" customHeight="1">
      <c r="U409" s="5"/>
    </row>
    <row r="410" ht="14.25" customHeight="1">
      <c r="U410" s="5"/>
    </row>
    <row r="411" ht="14.25" customHeight="1">
      <c r="U411" s="5"/>
    </row>
    <row r="412" ht="14.25" customHeight="1">
      <c r="U412" s="5"/>
    </row>
    <row r="413" ht="14.25" customHeight="1">
      <c r="U413" s="5"/>
    </row>
    <row r="414" ht="14.25" customHeight="1">
      <c r="U414" s="5"/>
    </row>
    <row r="415" ht="14.25" customHeight="1">
      <c r="U415" s="5"/>
    </row>
    <row r="416" ht="14.25" customHeight="1">
      <c r="U416" s="5"/>
    </row>
    <row r="417" ht="14.25" customHeight="1">
      <c r="U417" s="5"/>
    </row>
    <row r="418" ht="14.25" customHeight="1">
      <c r="U418" s="5"/>
    </row>
    <row r="419" ht="14.25" customHeight="1">
      <c r="U419" s="5"/>
    </row>
    <row r="420" ht="14.25" customHeight="1">
      <c r="U420" s="5"/>
    </row>
    <row r="421" ht="14.25" customHeight="1">
      <c r="U421" s="5"/>
    </row>
    <row r="422" ht="14.25" customHeight="1">
      <c r="U422" s="5"/>
    </row>
    <row r="423" ht="14.25" customHeight="1">
      <c r="U423" s="5"/>
    </row>
    <row r="424" ht="14.25" customHeight="1">
      <c r="U424" s="5"/>
    </row>
    <row r="425" ht="14.25" customHeight="1">
      <c r="U425" s="5"/>
    </row>
    <row r="426" ht="14.25" customHeight="1">
      <c r="U426" s="5"/>
    </row>
    <row r="427" ht="14.25" customHeight="1">
      <c r="U427" s="5"/>
    </row>
    <row r="428" ht="14.25" customHeight="1">
      <c r="U428" s="5"/>
    </row>
    <row r="429" ht="14.25" customHeight="1">
      <c r="U429" s="5"/>
    </row>
    <row r="430" ht="14.25" customHeight="1">
      <c r="U430" s="5"/>
    </row>
    <row r="431" ht="14.25" customHeight="1">
      <c r="U431" s="5"/>
    </row>
    <row r="432" ht="14.25" customHeight="1">
      <c r="U432" s="5"/>
    </row>
    <row r="433" ht="14.25" customHeight="1">
      <c r="U433" s="5"/>
    </row>
    <row r="434" ht="14.25" customHeight="1">
      <c r="U434" s="5"/>
    </row>
    <row r="435" ht="14.25" customHeight="1">
      <c r="U435" s="5"/>
    </row>
    <row r="436" ht="14.25" customHeight="1">
      <c r="U436" s="5"/>
    </row>
    <row r="437" ht="14.25" customHeight="1">
      <c r="U437" s="5"/>
    </row>
    <row r="438" ht="14.25" customHeight="1">
      <c r="U438" s="5"/>
    </row>
    <row r="439" ht="14.25" customHeight="1">
      <c r="U439" s="5"/>
    </row>
    <row r="440" ht="14.25" customHeight="1">
      <c r="U440" s="5"/>
    </row>
    <row r="441" ht="14.25" customHeight="1">
      <c r="U441" s="5"/>
    </row>
    <row r="442" ht="14.25" customHeight="1">
      <c r="U442" s="5"/>
    </row>
    <row r="443" ht="14.25" customHeight="1">
      <c r="U443" s="5"/>
    </row>
    <row r="444" ht="14.25" customHeight="1">
      <c r="U444" s="5"/>
    </row>
    <row r="445" ht="14.25" customHeight="1">
      <c r="U445" s="5"/>
    </row>
    <row r="446" ht="14.25" customHeight="1">
      <c r="U446" s="5"/>
    </row>
    <row r="447" ht="14.25" customHeight="1">
      <c r="U447" s="5"/>
    </row>
    <row r="448" ht="14.25" customHeight="1">
      <c r="U448" s="5"/>
    </row>
    <row r="449" ht="14.25" customHeight="1">
      <c r="U449" s="5"/>
    </row>
    <row r="450" ht="14.25" customHeight="1">
      <c r="U450" s="5"/>
    </row>
    <row r="451" ht="14.25" customHeight="1">
      <c r="U451" s="5"/>
    </row>
    <row r="452" ht="14.25" customHeight="1">
      <c r="U452" s="5"/>
    </row>
    <row r="453" ht="14.25" customHeight="1">
      <c r="U453" s="5"/>
    </row>
    <row r="454" ht="14.25" customHeight="1">
      <c r="U454" s="5"/>
    </row>
    <row r="455" ht="14.25" customHeight="1">
      <c r="U455" s="5"/>
    </row>
    <row r="456" ht="14.25" customHeight="1">
      <c r="U456" s="5"/>
    </row>
    <row r="457" ht="14.25" customHeight="1">
      <c r="U457" s="5"/>
    </row>
    <row r="458" ht="14.25" customHeight="1">
      <c r="U458" s="5"/>
    </row>
    <row r="459" ht="14.25" customHeight="1">
      <c r="U459" s="5"/>
    </row>
    <row r="460" ht="14.25" customHeight="1">
      <c r="U460" s="5"/>
    </row>
    <row r="461" ht="14.25" customHeight="1">
      <c r="U461" s="5"/>
    </row>
    <row r="462" ht="14.25" customHeight="1">
      <c r="U462" s="5"/>
    </row>
    <row r="463" ht="14.25" customHeight="1">
      <c r="U463" s="5"/>
    </row>
    <row r="464" ht="14.25" customHeight="1">
      <c r="U464" s="5"/>
    </row>
    <row r="465" ht="14.25" customHeight="1">
      <c r="U465" s="5"/>
    </row>
    <row r="466" ht="14.25" customHeight="1">
      <c r="U466" s="5"/>
    </row>
    <row r="467" ht="14.25" customHeight="1">
      <c r="U467" s="5"/>
    </row>
    <row r="468" ht="14.25" customHeight="1">
      <c r="U468" s="5"/>
    </row>
    <row r="469" ht="14.25" customHeight="1">
      <c r="U469" s="5"/>
    </row>
    <row r="470" ht="14.25" customHeight="1">
      <c r="U470" s="5"/>
    </row>
    <row r="471" ht="14.25" customHeight="1">
      <c r="U471" s="5"/>
    </row>
    <row r="472" ht="14.25" customHeight="1">
      <c r="U472" s="5"/>
    </row>
    <row r="473" ht="14.25" customHeight="1">
      <c r="U473" s="5"/>
    </row>
    <row r="474" ht="14.25" customHeight="1">
      <c r="U474" s="5"/>
    </row>
    <row r="475" ht="14.25" customHeight="1">
      <c r="U475" s="5"/>
    </row>
    <row r="476" ht="14.25" customHeight="1">
      <c r="U476" s="5"/>
    </row>
    <row r="477" ht="14.25" customHeight="1">
      <c r="U477" s="5"/>
    </row>
    <row r="478" ht="14.25" customHeight="1">
      <c r="U478" s="5"/>
    </row>
    <row r="479" ht="14.25" customHeight="1">
      <c r="U479" s="5"/>
    </row>
    <row r="480" ht="14.25" customHeight="1">
      <c r="U480" s="5"/>
    </row>
    <row r="481" ht="14.25" customHeight="1">
      <c r="U481" s="5"/>
    </row>
    <row r="482" ht="14.25" customHeight="1">
      <c r="U482" s="5"/>
    </row>
    <row r="483" ht="14.25" customHeight="1">
      <c r="U483" s="5"/>
    </row>
    <row r="484" ht="14.25" customHeight="1">
      <c r="U484" s="5"/>
    </row>
    <row r="485" ht="14.25" customHeight="1">
      <c r="U485" s="5"/>
    </row>
    <row r="486" ht="14.25" customHeight="1">
      <c r="U486" s="5"/>
    </row>
    <row r="487" ht="14.25" customHeight="1">
      <c r="U487" s="5"/>
    </row>
    <row r="488" ht="14.25" customHeight="1">
      <c r="U488" s="5"/>
    </row>
    <row r="489" ht="14.25" customHeight="1">
      <c r="U489" s="5"/>
    </row>
    <row r="490" ht="14.25" customHeight="1">
      <c r="U490" s="5"/>
    </row>
    <row r="491" ht="14.25" customHeight="1">
      <c r="U491" s="5"/>
    </row>
    <row r="492" ht="14.25" customHeight="1">
      <c r="U492" s="5"/>
    </row>
    <row r="493" ht="14.25" customHeight="1">
      <c r="U493" s="5"/>
    </row>
    <row r="494" ht="14.25" customHeight="1">
      <c r="U494" s="5"/>
    </row>
    <row r="495" ht="14.25" customHeight="1">
      <c r="U495" s="5"/>
    </row>
    <row r="496" ht="14.25" customHeight="1">
      <c r="U496" s="5"/>
    </row>
    <row r="497" ht="14.25" customHeight="1">
      <c r="U497" s="5"/>
    </row>
    <row r="498" ht="14.25" customHeight="1">
      <c r="U498" s="5"/>
    </row>
    <row r="499" ht="14.25" customHeight="1">
      <c r="U499" s="5"/>
    </row>
    <row r="500" ht="14.25" customHeight="1">
      <c r="U500" s="5"/>
    </row>
    <row r="501" ht="14.25" customHeight="1">
      <c r="U501" s="5"/>
    </row>
    <row r="502" ht="14.25" customHeight="1">
      <c r="U502" s="5"/>
    </row>
    <row r="503" ht="14.25" customHeight="1">
      <c r="U503" s="5"/>
    </row>
    <row r="504" ht="14.25" customHeight="1">
      <c r="U504" s="5"/>
    </row>
    <row r="505" ht="14.25" customHeight="1">
      <c r="U505" s="5"/>
    </row>
    <row r="506" ht="14.25" customHeight="1">
      <c r="U506" s="5"/>
    </row>
    <row r="507" ht="14.25" customHeight="1">
      <c r="U507" s="5"/>
    </row>
    <row r="508" ht="14.25" customHeight="1">
      <c r="U508" s="5"/>
    </row>
    <row r="509" ht="14.25" customHeight="1">
      <c r="U509" s="5"/>
    </row>
    <row r="510" ht="14.25" customHeight="1">
      <c r="U510" s="5"/>
    </row>
    <row r="511" ht="14.25" customHeight="1">
      <c r="U511" s="5"/>
    </row>
    <row r="512" ht="14.25" customHeight="1">
      <c r="U512" s="5"/>
    </row>
    <row r="513" ht="14.25" customHeight="1">
      <c r="U513" s="5"/>
    </row>
    <row r="514" ht="14.25" customHeight="1">
      <c r="U514" s="5"/>
    </row>
    <row r="515" ht="14.25" customHeight="1">
      <c r="U515" s="5"/>
    </row>
    <row r="516" ht="14.25" customHeight="1">
      <c r="U516" s="5"/>
    </row>
    <row r="517" ht="14.25" customHeight="1">
      <c r="U517" s="5"/>
    </row>
    <row r="518" ht="14.25" customHeight="1">
      <c r="U518" s="5"/>
    </row>
    <row r="519" ht="14.25" customHeight="1">
      <c r="U519" s="5"/>
    </row>
    <row r="520" ht="14.25" customHeight="1">
      <c r="U520" s="5"/>
    </row>
    <row r="521" ht="14.25" customHeight="1">
      <c r="U521" s="5"/>
    </row>
    <row r="522" ht="14.25" customHeight="1">
      <c r="U522" s="5"/>
    </row>
    <row r="523" ht="14.25" customHeight="1">
      <c r="U523" s="5"/>
    </row>
    <row r="524" ht="14.25" customHeight="1">
      <c r="U524" s="5"/>
    </row>
    <row r="525" ht="14.25" customHeight="1">
      <c r="U525" s="5"/>
    </row>
    <row r="526" ht="14.25" customHeight="1">
      <c r="U526" s="5"/>
    </row>
    <row r="527" ht="14.25" customHeight="1">
      <c r="U527" s="5"/>
    </row>
    <row r="528" ht="14.25" customHeight="1">
      <c r="U528" s="5"/>
    </row>
    <row r="529" ht="14.25" customHeight="1">
      <c r="U529" s="5"/>
    </row>
    <row r="530" ht="14.25" customHeight="1">
      <c r="U530" s="5"/>
    </row>
    <row r="531" ht="14.25" customHeight="1">
      <c r="U531" s="5"/>
    </row>
    <row r="532" ht="14.25" customHeight="1">
      <c r="U532" s="5"/>
    </row>
    <row r="533" ht="14.25" customHeight="1">
      <c r="U533" s="5"/>
    </row>
    <row r="534" ht="14.25" customHeight="1">
      <c r="U534" s="5"/>
    </row>
    <row r="535" ht="14.25" customHeight="1">
      <c r="U535" s="5"/>
    </row>
    <row r="536" ht="14.25" customHeight="1">
      <c r="U536" s="5"/>
    </row>
    <row r="537" ht="14.25" customHeight="1">
      <c r="U537" s="5"/>
    </row>
    <row r="538" ht="14.25" customHeight="1">
      <c r="U538" s="5"/>
    </row>
    <row r="539" ht="14.25" customHeight="1">
      <c r="U539" s="5"/>
    </row>
    <row r="540" ht="14.25" customHeight="1">
      <c r="U540" s="5"/>
    </row>
    <row r="541" ht="14.25" customHeight="1">
      <c r="U541" s="5"/>
    </row>
    <row r="542" ht="14.25" customHeight="1">
      <c r="U542" s="5"/>
    </row>
    <row r="543" ht="14.25" customHeight="1">
      <c r="U543" s="5"/>
    </row>
    <row r="544" ht="14.25" customHeight="1">
      <c r="U544" s="5"/>
    </row>
    <row r="545" ht="14.25" customHeight="1">
      <c r="U545" s="5"/>
    </row>
    <row r="546" ht="14.25" customHeight="1">
      <c r="U546" s="5"/>
    </row>
    <row r="547" ht="14.25" customHeight="1">
      <c r="U547" s="5"/>
    </row>
    <row r="548" ht="14.25" customHeight="1">
      <c r="U548" s="5"/>
    </row>
    <row r="549" ht="14.25" customHeight="1">
      <c r="U549" s="5"/>
    </row>
    <row r="550" ht="14.25" customHeight="1">
      <c r="U550" s="5"/>
    </row>
    <row r="551" ht="14.25" customHeight="1">
      <c r="U551" s="5"/>
    </row>
    <row r="552" ht="14.25" customHeight="1">
      <c r="U552" s="5"/>
    </row>
    <row r="553" ht="14.25" customHeight="1">
      <c r="U553" s="5"/>
    </row>
    <row r="554" ht="14.25" customHeight="1">
      <c r="U554" s="5"/>
    </row>
    <row r="555" ht="14.25" customHeight="1">
      <c r="U555" s="5"/>
    </row>
    <row r="556" ht="14.25" customHeight="1">
      <c r="U556" s="5"/>
    </row>
    <row r="557" ht="14.25" customHeight="1">
      <c r="U557" s="5"/>
    </row>
    <row r="558" ht="14.25" customHeight="1">
      <c r="U558" s="5"/>
    </row>
    <row r="559" ht="14.25" customHeight="1">
      <c r="U559" s="5"/>
    </row>
    <row r="560" ht="14.25" customHeight="1">
      <c r="U560" s="5"/>
    </row>
    <row r="561" ht="14.25" customHeight="1">
      <c r="U561" s="5"/>
    </row>
    <row r="562" ht="14.25" customHeight="1">
      <c r="U562" s="5"/>
    </row>
    <row r="563" ht="14.25" customHeight="1">
      <c r="U563" s="5"/>
    </row>
    <row r="564" ht="14.25" customHeight="1">
      <c r="U564" s="5"/>
    </row>
    <row r="565" ht="14.25" customHeight="1">
      <c r="U565" s="5"/>
    </row>
    <row r="566" ht="14.25" customHeight="1">
      <c r="U566" s="5"/>
    </row>
    <row r="567" ht="14.25" customHeight="1">
      <c r="U567" s="5"/>
    </row>
    <row r="568" ht="14.25" customHeight="1">
      <c r="U568" s="5"/>
    </row>
    <row r="569" ht="14.25" customHeight="1">
      <c r="U569" s="5"/>
    </row>
    <row r="570" ht="14.25" customHeight="1">
      <c r="U570" s="5"/>
    </row>
    <row r="571" ht="14.25" customHeight="1">
      <c r="U571" s="5"/>
    </row>
    <row r="572" ht="14.25" customHeight="1">
      <c r="U572" s="5"/>
    </row>
    <row r="573" ht="14.25" customHeight="1">
      <c r="U573" s="5"/>
    </row>
    <row r="574" ht="14.25" customHeight="1">
      <c r="U574" s="5"/>
    </row>
    <row r="575" ht="14.25" customHeight="1">
      <c r="U575" s="5"/>
    </row>
    <row r="576" ht="14.25" customHeight="1">
      <c r="U576" s="5"/>
    </row>
    <row r="577" ht="14.25" customHeight="1">
      <c r="U577" s="5"/>
    </row>
    <row r="578" ht="14.25" customHeight="1">
      <c r="U578" s="5"/>
    </row>
    <row r="579" ht="14.25" customHeight="1">
      <c r="U579" s="5"/>
    </row>
    <row r="580" ht="14.25" customHeight="1">
      <c r="U580" s="5"/>
    </row>
    <row r="581" ht="14.25" customHeight="1">
      <c r="U581" s="5"/>
    </row>
    <row r="582" ht="14.25" customHeight="1">
      <c r="U582" s="5"/>
    </row>
    <row r="583" ht="14.25" customHeight="1">
      <c r="U583" s="5"/>
    </row>
    <row r="584" ht="14.25" customHeight="1">
      <c r="U584" s="5"/>
    </row>
    <row r="585" ht="14.25" customHeight="1">
      <c r="U585" s="5"/>
    </row>
    <row r="586" ht="14.25" customHeight="1">
      <c r="U586" s="5"/>
    </row>
    <row r="587" ht="14.25" customHeight="1">
      <c r="U587" s="5"/>
    </row>
    <row r="588" ht="14.25" customHeight="1">
      <c r="U588" s="5"/>
    </row>
    <row r="589" ht="14.25" customHeight="1">
      <c r="U589" s="5"/>
    </row>
    <row r="590" ht="14.25" customHeight="1">
      <c r="U590" s="5"/>
    </row>
    <row r="591" ht="14.25" customHeight="1">
      <c r="U591" s="5"/>
    </row>
    <row r="592" ht="14.25" customHeight="1">
      <c r="U592" s="5"/>
    </row>
    <row r="593" ht="14.25" customHeight="1">
      <c r="U593" s="5"/>
    </row>
    <row r="594" ht="14.25" customHeight="1">
      <c r="U594" s="5"/>
    </row>
    <row r="595" ht="14.25" customHeight="1">
      <c r="U595" s="5"/>
    </row>
    <row r="596" ht="14.25" customHeight="1">
      <c r="U596" s="5"/>
    </row>
    <row r="597" ht="14.25" customHeight="1">
      <c r="U597" s="5"/>
    </row>
    <row r="598" ht="14.25" customHeight="1">
      <c r="U598" s="5"/>
    </row>
    <row r="599" ht="14.25" customHeight="1">
      <c r="U599" s="5"/>
    </row>
    <row r="600" ht="14.25" customHeight="1">
      <c r="U600" s="5"/>
    </row>
    <row r="601" ht="14.25" customHeight="1">
      <c r="U601" s="5"/>
    </row>
    <row r="602" ht="14.25" customHeight="1">
      <c r="U602" s="5"/>
    </row>
    <row r="603" ht="14.25" customHeight="1">
      <c r="U603" s="5"/>
    </row>
    <row r="604" ht="14.25" customHeight="1">
      <c r="U604" s="5"/>
    </row>
    <row r="605" ht="14.25" customHeight="1">
      <c r="U605" s="5"/>
    </row>
    <row r="606" ht="14.25" customHeight="1">
      <c r="U606" s="5"/>
    </row>
    <row r="607" ht="14.25" customHeight="1">
      <c r="U607" s="5"/>
    </row>
    <row r="608" ht="14.25" customHeight="1">
      <c r="U608" s="5"/>
    </row>
    <row r="609" ht="14.25" customHeight="1">
      <c r="U609" s="5"/>
    </row>
    <row r="610" ht="14.25" customHeight="1">
      <c r="U610" s="5"/>
    </row>
    <row r="611" ht="14.25" customHeight="1">
      <c r="U611" s="5"/>
    </row>
    <row r="612" ht="14.25" customHeight="1">
      <c r="U612" s="5"/>
    </row>
    <row r="613" ht="14.25" customHeight="1">
      <c r="U613" s="5"/>
    </row>
    <row r="614" ht="14.25" customHeight="1">
      <c r="U614" s="5"/>
    </row>
    <row r="615" ht="14.25" customHeight="1">
      <c r="U615" s="5"/>
    </row>
    <row r="616" ht="14.25" customHeight="1">
      <c r="U616" s="5"/>
    </row>
    <row r="617" ht="14.25" customHeight="1">
      <c r="U617" s="5"/>
    </row>
    <row r="618" ht="14.25" customHeight="1">
      <c r="U618" s="5"/>
    </row>
    <row r="619" ht="14.25" customHeight="1">
      <c r="U619" s="5"/>
    </row>
    <row r="620" ht="14.25" customHeight="1">
      <c r="U620" s="5"/>
    </row>
    <row r="621" ht="14.25" customHeight="1">
      <c r="U621" s="5"/>
    </row>
    <row r="622" ht="14.25" customHeight="1">
      <c r="U622" s="5"/>
    </row>
    <row r="623" ht="14.25" customHeight="1">
      <c r="U623" s="5"/>
    </row>
    <row r="624" ht="14.25" customHeight="1">
      <c r="U624" s="5"/>
    </row>
    <row r="625" ht="14.25" customHeight="1">
      <c r="U625" s="5"/>
    </row>
    <row r="626" ht="14.25" customHeight="1">
      <c r="U626" s="5"/>
    </row>
    <row r="627" ht="14.25" customHeight="1">
      <c r="U627" s="5"/>
    </row>
    <row r="628" ht="14.25" customHeight="1">
      <c r="U628" s="5"/>
    </row>
    <row r="629" ht="14.25" customHeight="1">
      <c r="U629" s="5"/>
    </row>
    <row r="630" ht="14.25" customHeight="1">
      <c r="U630" s="5"/>
    </row>
    <row r="631" ht="14.25" customHeight="1">
      <c r="U631" s="5"/>
    </row>
    <row r="632" ht="14.25" customHeight="1">
      <c r="U632" s="5"/>
    </row>
    <row r="633" ht="14.25" customHeight="1">
      <c r="U633" s="5"/>
    </row>
    <row r="634" ht="14.25" customHeight="1">
      <c r="U634" s="5"/>
    </row>
    <row r="635" ht="14.25" customHeight="1">
      <c r="U635" s="5"/>
    </row>
    <row r="636" ht="14.25" customHeight="1">
      <c r="U636" s="5"/>
    </row>
    <row r="637" ht="14.25" customHeight="1">
      <c r="U637" s="5"/>
    </row>
    <row r="638" ht="14.25" customHeight="1">
      <c r="U638" s="5"/>
    </row>
    <row r="639" ht="14.25" customHeight="1">
      <c r="U639" s="5"/>
    </row>
    <row r="640" ht="14.25" customHeight="1">
      <c r="U640" s="5"/>
    </row>
    <row r="641" ht="14.25" customHeight="1">
      <c r="U641" s="5"/>
    </row>
    <row r="642" ht="14.25" customHeight="1">
      <c r="U642" s="5"/>
    </row>
    <row r="643" ht="14.25" customHeight="1">
      <c r="U643" s="5"/>
    </row>
    <row r="644" ht="14.25" customHeight="1">
      <c r="U644" s="5"/>
    </row>
    <row r="645" ht="14.25" customHeight="1">
      <c r="U645" s="5"/>
    </row>
    <row r="646" ht="14.25" customHeight="1">
      <c r="U646" s="5"/>
    </row>
    <row r="647" ht="14.25" customHeight="1">
      <c r="U647" s="5"/>
    </row>
    <row r="648" ht="14.25" customHeight="1">
      <c r="U648" s="5"/>
    </row>
    <row r="649" ht="14.25" customHeight="1">
      <c r="U649" s="5"/>
    </row>
    <row r="650" ht="14.25" customHeight="1">
      <c r="U650" s="5"/>
    </row>
    <row r="651" ht="14.25" customHeight="1">
      <c r="U651" s="5"/>
    </row>
    <row r="652" ht="14.25" customHeight="1">
      <c r="U652" s="5"/>
    </row>
    <row r="653" ht="14.25" customHeight="1">
      <c r="U653" s="5"/>
    </row>
    <row r="654" ht="14.25" customHeight="1">
      <c r="U654" s="5"/>
    </row>
    <row r="655" ht="14.25" customHeight="1">
      <c r="U655" s="5"/>
    </row>
    <row r="656" ht="14.25" customHeight="1">
      <c r="U656" s="5"/>
    </row>
    <row r="657" ht="14.25" customHeight="1">
      <c r="U657" s="5"/>
    </row>
    <row r="658" ht="14.25" customHeight="1">
      <c r="U658" s="5"/>
    </row>
    <row r="659" ht="14.25" customHeight="1">
      <c r="U659" s="5"/>
    </row>
    <row r="660" ht="14.25" customHeight="1">
      <c r="U660" s="5"/>
    </row>
    <row r="661" ht="14.25" customHeight="1">
      <c r="U661" s="5"/>
    </row>
    <row r="662" ht="14.25" customHeight="1">
      <c r="U662" s="5"/>
    </row>
    <row r="663" ht="14.25" customHeight="1">
      <c r="U663" s="5"/>
    </row>
    <row r="664" ht="14.25" customHeight="1">
      <c r="U664" s="5"/>
    </row>
    <row r="665" ht="14.25" customHeight="1">
      <c r="U665" s="5"/>
    </row>
    <row r="666" ht="14.25" customHeight="1">
      <c r="U666" s="5"/>
    </row>
    <row r="667" ht="14.25" customHeight="1">
      <c r="U667" s="5"/>
    </row>
    <row r="668" ht="14.25" customHeight="1">
      <c r="U668" s="5"/>
    </row>
    <row r="669" ht="14.25" customHeight="1">
      <c r="U669" s="5"/>
    </row>
    <row r="670" ht="14.25" customHeight="1">
      <c r="U670" s="5"/>
    </row>
    <row r="671" ht="14.25" customHeight="1">
      <c r="U671" s="5"/>
    </row>
    <row r="672" ht="14.25" customHeight="1">
      <c r="U672" s="5"/>
    </row>
    <row r="673" ht="14.25" customHeight="1">
      <c r="U673" s="5"/>
    </row>
    <row r="674" ht="14.25" customHeight="1">
      <c r="U674" s="5"/>
    </row>
    <row r="675" ht="14.25" customHeight="1">
      <c r="U675" s="5"/>
    </row>
    <row r="676" ht="14.25" customHeight="1">
      <c r="U676" s="5"/>
    </row>
    <row r="677" ht="14.25" customHeight="1">
      <c r="U677" s="5"/>
    </row>
    <row r="678" ht="14.25" customHeight="1">
      <c r="U678" s="5"/>
    </row>
    <row r="679" ht="14.25" customHeight="1">
      <c r="U679" s="5"/>
    </row>
    <row r="680" ht="14.25" customHeight="1">
      <c r="U680" s="5"/>
    </row>
    <row r="681" ht="14.25" customHeight="1">
      <c r="U681" s="5"/>
    </row>
    <row r="682" ht="14.25" customHeight="1">
      <c r="U682" s="5"/>
    </row>
    <row r="683" ht="14.25" customHeight="1">
      <c r="U683" s="5"/>
    </row>
    <row r="684" ht="14.25" customHeight="1">
      <c r="U684" s="5"/>
    </row>
    <row r="685" ht="14.25" customHeight="1">
      <c r="U685" s="5"/>
    </row>
    <row r="686" ht="14.25" customHeight="1">
      <c r="U686" s="5"/>
    </row>
    <row r="687" ht="14.25" customHeight="1">
      <c r="U687" s="5"/>
    </row>
    <row r="688" ht="14.25" customHeight="1">
      <c r="U688" s="5"/>
    </row>
    <row r="689" ht="14.25" customHeight="1">
      <c r="U689" s="5"/>
    </row>
    <row r="690" ht="14.25" customHeight="1">
      <c r="U690" s="5"/>
    </row>
    <row r="691" ht="14.25" customHeight="1">
      <c r="U691" s="5"/>
    </row>
    <row r="692" ht="14.25" customHeight="1">
      <c r="U692" s="5"/>
    </row>
    <row r="693" ht="14.25" customHeight="1">
      <c r="U693" s="5"/>
    </row>
    <row r="694" ht="14.25" customHeight="1">
      <c r="U694" s="5"/>
    </row>
    <row r="695" ht="14.25" customHeight="1">
      <c r="U695" s="5"/>
    </row>
    <row r="696" ht="14.25" customHeight="1">
      <c r="U696" s="5"/>
    </row>
    <row r="697" ht="14.25" customHeight="1">
      <c r="U697" s="5"/>
    </row>
    <row r="698" ht="14.25" customHeight="1">
      <c r="U698" s="5"/>
    </row>
    <row r="699" ht="14.25" customHeight="1">
      <c r="U699" s="5"/>
    </row>
    <row r="700" ht="14.25" customHeight="1">
      <c r="U700" s="5"/>
    </row>
    <row r="701" ht="14.25" customHeight="1">
      <c r="U701" s="5"/>
    </row>
    <row r="702" ht="14.25" customHeight="1">
      <c r="U702" s="5"/>
    </row>
    <row r="703" ht="14.25" customHeight="1">
      <c r="U703" s="5"/>
    </row>
    <row r="704" ht="14.25" customHeight="1">
      <c r="U704" s="5"/>
    </row>
    <row r="705" ht="14.25" customHeight="1">
      <c r="U705" s="5"/>
    </row>
    <row r="706" ht="14.25" customHeight="1">
      <c r="U706" s="5"/>
    </row>
    <row r="707" ht="14.25" customHeight="1">
      <c r="U707" s="5"/>
    </row>
    <row r="708" ht="14.25" customHeight="1">
      <c r="U708" s="5"/>
    </row>
    <row r="709" ht="14.25" customHeight="1">
      <c r="U709" s="5"/>
    </row>
    <row r="710" ht="14.25" customHeight="1">
      <c r="U710" s="5"/>
    </row>
    <row r="711" ht="14.25" customHeight="1">
      <c r="U711" s="5"/>
    </row>
    <row r="712" ht="14.25" customHeight="1">
      <c r="U712" s="5"/>
    </row>
    <row r="713" ht="14.25" customHeight="1">
      <c r="U713" s="5"/>
    </row>
    <row r="714" ht="14.25" customHeight="1">
      <c r="U714" s="5"/>
    </row>
    <row r="715" ht="14.25" customHeight="1">
      <c r="U715" s="5"/>
    </row>
    <row r="716" ht="14.25" customHeight="1">
      <c r="U716" s="5"/>
    </row>
    <row r="717" ht="14.25" customHeight="1">
      <c r="U717" s="5"/>
    </row>
    <row r="718" ht="14.25" customHeight="1">
      <c r="U718" s="5"/>
    </row>
    <row r="719" ht="14.25" customHeight="1">
      <c r="U719" s="5"/>
    </row>
    <row r="720" ht="14.25" customHeight="1">
      <c r="U720" s="5"/>
    </row>
    <row r="721" ht="14.25" customHeight="1">
      <c r="U721" s="5"/>
    </row>
    <row r="722" ht="14.25" customHeight="1">
      <c r="U722" s="5"/>
    </row>
    <row r="723" ht="14.25" customHeight="1">
      <c r="U723" s="5"/>
    </row>
    <row r="724" ht="14.25" customHeight="1">
      <c r="U724" s="5"/>
    </row>
    <row r="725" ht="14.25" customHeight="1">
      <c r="U725" s="5"/>
    </row>
    <row r="726" ht="14.25" customHeight="1">
      <c r="U726" s="5"/>
    </row>
    <row r="727" ht="14.25" customHeight="1">
      <c r="U727" s="5"/>
    </row>
    <row r="728" ht="14.25" customHeight="1">
      <c r="U728" s="5"/>
    </row>
    <row r="729" ht="14.25" customHeight="1">
      <c r="U729" s="5"/>
    </row>
    <row r="730" ht="14.25" customHeight="1">
      <c r="U730" s="5"/>
    </row>
    <row r="731" ht="14.25" customHeight="1">
      <c r="U731" s="5"/>
    </row>
    <row r="732" ht="14.25" customHeight="1">
      <c r="U732" s="5"/>
    </row>
    <row r="733" ht="14.25" customHeight="1">
      <c r="U733" s="5"/>
    </row>
    <row r="734" ht="14.25" customHeight="1">
      <c r="U734" s="5"/>
    </row>
    <row r="735" ht="14.25" customHeight="1">
      <c r="U735" s="5"/>
    </row>
    <row r="736" ht="14.25" customHeight="1">
      <c r="U736" s="5"/>
    </row>
    <row r="737" ht="14.25" customHeight="1">
      <c r="U737" s="5"/>
    </row>
    <row r="738" ht="14.25" customHeight="1">
      <c r="U738" s="5"/>
    </row>
    <row r="739" ht="14.25" customHeight="1">
      <c r="U739" s="5"/>
    </row>
    <row r="740" ht="14.25" customHeight="1">
      <c r="U740" s="5"/>
    </row>
    <row r="741" ht="14.25" customHeight="1">
      <c r="U741" s="5"/>
    </row>
    <row r="742" ht="14.25" customHeight="1">
      <c r="U742" s="5"/>
    </row>
    <row r="743" ht="14.25" customHeight="1">
      <c r="U743" s="5"/>
    </row>
    <row r="744" ht="14.25" customHeight="1">
      <c r="U744" s="5"/>
    </row>
    <row r="745" ht="14.25" customHeight="1">
      <c r="U745" s="5"/>
    </row>
    <row r="746" ht="14.25" customHeight="1">
      <c r="U746" s="5"/>
    </row>
    <row r="747" ht="14.25" customHeight="1">
      <c r="U747" s="5"/>
    </row>
    <row r="748" ht="14.25" customHeight="1">
      <c r="U748" s="5"/>
    </row>
    <row r="749" ht="14.25" customHeight="1">
      <c r="U749" s="5"/>
    </row>
    <row r="750" ht="14.25" customHeight="1">
      <c r="U750" s="5"/>
    </row>
    <row r="751" ht="14.25" customHeight="1">
      <c r="U751" s="5"/>
    </row>
    <row r="752" ht="14.25" customHeight="1">
      <c r="U752" s="5"/>
    </row>
    <row r="753" ht="14.25" customHeight="1">
      <c r="U753" s="5"/>
    </row>
    <row r="754" ht="14.25" customHeight="1">
      <c r="U754" s="5"/>
    </row>
    <row r="755" ht="14.25" customHeight="1">
      <c r="U755" s="5"/>
    </row>
    <row r="756" ht="14.25" customHeight="1">
      <c r="U756" s="5"/>
    </row>
    <row r="757" ht="14.25" customHeight="1">
      <c r="U757" s="5"/>
    </row>
    <row r="758" ht="14.25" customHeight="1">
      <c r="U758" s="5"/>
    </row>
    <row r="759" ht="14.25" customHeight="1">
      <c r="U759" s="5"/>
    </row>
    <row r="760" ht="14.25" customHeight="1">
      <c r="U760" s="5"/>
    </row>
    <row r="761" ht="14.25" customHeight="1">
      <c r="U761" s="5"/>
    </row>
    <row r="762" ht="14.25" customHeight="1">
      <c r="U762" s="5"/>
    </row>
    <row r="763" ht="14.25" customHeight="1">
      <c r="U763" s="5"/>
    </row>
    <row r="764" ht="14.25" customHeight="1">
      <c r="U764" s="5"/>
    </row>
    <row r="765" ht="14.25" customHeight="1">
      <c r="U765" s="5"/>
    </row>
    <row r="766" ht="14.25" customHeight="1">
      <c r="U766" s="5"/>
    </row>
    <row r="767" ht="14.25" customHeight="1">
      <c r="U767" s="5"/>
    </row>
    <row r="768" ht="14.25" customHeight="1">
      <c r="U768" s="5"/>
    </row>
    <row r="769" ht="14.25" customHeight="1">
      <c r="U769" s="5"/>
    </row>
    <row r="770" ht="14.25" customHeight="1">
      <c r="U770" s="5"/>
    </row>
    <row r="771" ht="14.25" customHeight="1">
      <c r="U771" s="5"/>
    </row>
    <row r="772" ht="14.25" customHeight="1">
      <c r="U772" s="5"/>
    </row>
    <row r="773" ht="14.25" customHeight="1">
      <c r="U773" s="5"/>
    </row>
    <row r="774" ht="14.25" customHeight="1">
      <c r="U774" s="5"/>
    </row>
    <row r="775" ht="14.25" customHeight="1">
      <c r="U775" s="5"/>
    </row>
    <row r="776" ht="14.25" customHeight="1">
      <c r="U776" s="5"/>
    </row>
    <row r="777" ht="14.25" customHeight="1">
      <c r="U777" s="5"/>
    </row>
    <row r="778" ht="14.25" customHeight="1">
      <c r="U778" s="5"/>
    </row>
    <row r="779" ht="14.25" customHeight="1">
      <c r="U779" s="5"/>
    </row>
    <row r="780" ht="14.25" customHeight="1">
      <c r="U780" s="5"/>
    </row>
    <row r="781" ht="14.25" customHeight="1">
      <c r="U781" s="5"/>
    </row>
    <row r="782" ht="14.25" customHeight="1">
      <c r="U782" s="5"/>
    </row>
    <row r="783" ht="14.25" customHeight="1">
      <c r="U783" s="5"/>
    </row>
    <row r="784" ht="14.25" customHeight="1">
      <c r="U784" s="5"/>
    </row>
    <row r="785" ht="14.25" customHeight="1">
      <c r="U785" s="5"/>
    </row>
    <row r="786" ht="14.25" customHeight="1">
      <c r="U786" s="5"/>
    </row>
    <row r="787" ht="14.25" customHeight="1">
      <c r="U787" s="5"/>
    </row>
    <row r="788" ht="14.25" customHeight="1">
      <c r="U788" s="5"/>
    </row>
    <row r="789" ht="14.25" customHeight="1">
      <c r="U789" s="5"/>
    </row>
    <row r="790" ht="14.25" customHeight="1">
      <c r="U790" s="5"/>
    </row>
    <row r="791" ht="14.25" customHeight="1">
      <c r="U791" s="5"/>
    </row>
    <row r="792" ht="14.25" customHeight="1">
      <c r="U792" s="5"/>
    </row>
    <row r="793" ht="14.25" customHeight="1">
      <c r="U793" s="5"/>
    </row>
    <row r="794" ht="14.25" customHeight="1">
      <c r="U794" s="5"/>
    </row>
    <row r="795" ht="14.25" customHeight="1">
      <c r="U795" s="5"/>
    </row>
    <row r="796" ht="14.25" customHeight="1">
      <c r="U796" s="5"/>
    </row>
    <row r="797" ht="14.25" customHeight="1">
      <c r="U797" s="5"/>
    </row>
    <row r="798" ht="14.25" customHeight="1">
      <c r="U798" s="5"/>
    </row>
    <row r="799" ht="14.25" customHeight="1">
      <c r="U799" s="5"/>
    </row>
    <row r="800" ht="14.25" customHeight="1">
      <c r="U800" s="5"/>
    </row>
    <row r="801" ht="14.25" customHeight="1">
      <c r="U801" s="5"/>
    </row>
    <row r="802" ht="14.25" customHeight="1">
      <c r="U802" s="5"/>
    </row>
    <row r="803" ht="14.25" customHeight="1">
      <c r="U803" s="5"/>
    </row>
    <row r="804" ht="14.25" customHeight="1">
      <c r="U804" s="5"/>
    </row>
    <row r="805" ht="14.25" customHeight="1">
      <c r="U805" s="5"/>
    </row>
    <row r="806" ht="14.25" customHeight="1">
      <c r="U806" s="5"/>
    </row>
    <row r="807" ht="14.25" customHeight="1">
      <c r="U807" s="5"/>
    </row>
    <row r="808" ht="14.25" customHeight="1">
      <c r="U808" s="5"/>
    </row>
    <row r="809" ht="14.25" customHeight="1">
      <c r="U809" s="5"/>
    </row>
    <row r="810" ht="14.25" customHeight="1">
      <c r="U810" s="5"/>
    </row>
    <row r="811" ht="14.25" customHeight="1">
      <c r="U811" s="5"/>
    </row>
    <row r="812" ht="14.25" customHeight="1">
      <c r="U812" s="5"/>
    </row>
    <row r="813" ht="14.25" customHeight="1">
      <c r="U813" s="5"/>
    </row>
    <row r="814" ht="14.25" customHeight="1">
      <c r="U814" s="5"/>
    </row>
    <row r="815" ht="14.25" customHeight="1">
      <c r="U815" s="5"/>
    </row>
    <row r="816" ht="14.25" customHeight="1">
      <c r="U816" s="5"/>
    </row>
    <row r="817" ht="14.25" customHeight="1">
      <c r="U817" s="5"/>
    </row>
    <row r="818" ht="14.25" customHeight="1">
      <c r="U818" s="5"/>
    </row>
    <row r="819" ht="14.25" customHeight="1">
      <c r="U819" s="5"/>
    </row>
    <row r="820" ht="14.25" customHeight="1">
      <c r="U820" s="5"/>
    </row>
    <row r="821" ht="14.25" customHeight="1">
      <c r="U821" s="5"/>
    </row>
    <row r="822" ht="14.25" customHeight="1">
      <c r="U822" s="5"/>
    </row>
    <row r="823" ht="14.25" customHeight="1">
      <c r="U823" s="5"/>
    </row>
    <row r="824" ht="14.25" customHeight="1">
      <c r="U824" s="5"/>
    </row>
    <row r="825" ht="14.25" customHeight="1">
      <c r="U825" s="5"/>
    </row>
    <row r="826" ht="14.25" customHeight="1">
      <c r="U826" s="5"/>
    </row>
    <row r="827" ht="14.25" customHeight="1">
      <c r="U827" s="5"/>
    </row>
    <row r="828" ht="14.25" customHeight="1">
      <c r="U828" s="5"/>
    </row>
    <row r="829" ht="14.25" customHeight="1">
      <c r="U829" s="5"/>
    </row>
    <row r="830" ht="14.25" customHeight="1">
      <c r="U830" s="5"/>
    </row>
    <row r="831" ht="14.25" customHeight="1">
      <c r="U831" s="5"/>
    </row>
    <row r="832" ht="14.25" customHeight="1">
      <c r="U832" s="5"/>
    </row>
    <row r="833" ht="14.25" customHeight="1">
      <c r="U833" s="5"/>
    </row>
    <row r="834" ht="14.25" customHeight="1">
      <c r="U834" s="5"/>
    </row>
    <row r="835" ht="14.25" customHeight="1">
      <c r="U835" s="5"/>
    </row>
    <row r="836" ht="14.25" customHeight="1">
      <c r="U836" s="5"/>
    </row>
    <row r="837" ht="14.25" customHeight="1">
      <c r="U837" s="5"/>
    </row>
    <row r="838" ht="14.25" customHeight="1">
      <c r="U838" s="5"/>
    </row>
    <row r="839" ht="14.25" customHeight="1">
      <c r="U839" s="5"/>
    </row>
    <row r="840" ht="14.25" customHeight="1">
      <c r="U840" s="5"/>
    </row>
    <row r="841" ht="14.25" customHeight="1">
      <c r="U841" s="5"/>
    </row>
    <row r="842" ht="14.25" customHeight="1">
      <c r="U842" s="5"/>
    </row>
    <row r="843" ht="14.25" customHeight="1">
      <c r="U843" s="5"/>
    </row>
    <row r="844" ht="14.25" customHeight="1">
      <c r="U844" s="5"/>
    </row>
    <row r="845" ht="14.25" customHeight="1">
      <c r="U845" s="5"/>
    </row>
    <row r="846" ht="14.25" customHeight="1">
      <c r="U846" s="5"/>
    </row>
    <row r="847" ht="14.25" customHeight="1">
      <c r="U847" s="5"/>
    </row>
    <row r="848" ht="14.25" customHeight="1">
      <c r="U848" s="5"/>
    </row>
    <row r="849" ht="14.25" customHeight="1">
      <c r="U849" s="5"/>
    </row>
    <row r="850" ht="14.25" customHeight="1">
      <c r="U850" s="5"/>
    </row>
    <row r="851" ht="14.25" customHeight="1">
      <c r="U851" s="5"/>
    </row>
    <row r="852" ht="14.25" customHeight="1">
      <c r="U852" s="5"/>
    </row>
    <row r="853" ht="14.25" customHeight="1">
      <c r="U853" s="5"/>
    </row>
    <row r="854" ht="14.25" customHeight="1">
      <c r="U854" s="5"/>
    </row>
    <row r="855" ht="14.25" customHeight="1">
      <c r="U855" s="5"/>
    </row>
    <row r="856" ht="14.25" customHeight="1">
      <c r="U856" s="5"/>
    </row>
    <row r="857" ht="14.25" customHeight="1">
      <c r="U857" s="5"/>
    </row>
    <row r="858" ht="14.25" customHeight="1">
      <c r="U858" s="5"/>
    </row>
    <row r="859" ht="14.25" customHeight="1">
      <c r="U859" s="5"/>
    </row>
    <row r="860" ht="14.25" customHeight="1">
      <c r="U860" s="5"/>
    </row>
    <row r="861" ht="14.25" customHeight="1">
      <c r="U861" s="5"/>
    </row>
    <row r="862" ht="14.25" customHeight="1">
      <c r="U862" s="5"/>
    </row>
    <row r="863" ht="14.25" customHeight="1">
      <c r="U863" s="5"/>
    </row>
    <row r="864" ht="14.25" customHeight="1">
      <c r="U864" s="5"/>
    </row>
    <row r="865" ht="14.25" customHeight="1">
      <c r="U865" s="5"/>
    </row>
    <row r="866" ht="14.25" customHeight="1">
      <c r="U866" s="5"/>
    </row>
    <row r="867" ht="14.25" customHeight="1">
      <c r="U867" s="5"/>
    </row>
    <row r="868" ht="14.25" customHeight="1">
      <c r="U868" s="5"/>
    </row>
    <row r="869" ht="14.25" customHeight="1">
      <c r="U869" s="5"/>
    </row>
    <row r="870" ht="14.25" customHeight="1">
      <c r="U870" s="5"/>
    </row>
    <row r="871" ht="14.25" customHeight="1">
      <c r="U871" s="5"/>
    </row>
    <row r="872" ht="14.25" customHeight="1">
      <c r="U872" s="5"/>
    </row>
    <row r="873" ht="14.25" customHeight="1">
      <c r="U873" s="5"/>
    </row>
    <row r="874" ht="14.25" customHeight="1">
      <c r="U874" s="5"/>
    </row>
    <row r="875" ht="14.25" customHeight="1">
      <c r="U875" s="5"/>
    </row>
    <row r="876" ht="14.25" customHeight="1">
      <c r="U876" s="5"/>
    </row>
    <row r="877" ht="14.25" customHeight="1">
      <c r="U877" s="5"/>
    </row>
    <row r="878" ht="14.25" customHeight="1">
      <c r="U878" s="5"/>
    </row>
    <row r="879" ht="14.25" customHeight="1">
      <c r="U879" s="5"/>
    </row>
    <row r="880" ht="14.25" customHeight="1">
      <c r="U880" s="5"/>
    </row>
    <row r="881" ht="14.25" customHeight="1">
      <c r="U881" s="5"/>
    </row>
    <row r="882" ht="14.25" customHeight="1">
      <c r="U882" s="5"/>
    </row>
    <row r="883" ht="14.25" customHeight="1">
      <c r="U883" s="5"/>
    </row>
    <row r="884" ht="14.25" customHeight="1">
      <c r="U884" s="5"/>
    </row>
    <row r="885" ht="14.25" customHeight="1">
      <c r="U885" s="5"/>
    </row>
    <row r="886" ht="14.25" customHeight="1">
      <c r="U886" s="5"/>
    </row>
    <row r="887" ht="14.25" customHeight="1">
      <c r="U887" s="5"/>
    </row>
    <row r="888" ht="14.25" customHeight="1">
      <c r="U888" s="5"/>
    </row>
    <row r="889" ht="14.25" customHeight="1">
      <c r="U889" s="5"/>
    </row>
    <row r="890" ht="14.25" customHeight="1">
      <c r="U890" s="5"/>
    </row>
    <row r="891" ht="14.25" customHeight="1">
      <c r="U891" s="5"/>
    </row>
    <row r="892" ht="14.25" customHeight="1">
      <c r="U892" s="5"/>
    </row>
    <row r="893" ht="14.25" customHeight="1">
      <c r="U893" s="5"/>
    </row>
    <row r="894" ht="14.25" customHeight="1">
      <c r="U894" s="5"/>
    </row>
    <row r="895" ht="14.25" customHeight="1">
      <c r="U895" s="5"/>
    </row>
    <row r="896" ht="14.25" customHeight="1">
      <c r="U896" s="5"/>
    </row>
    <row r="897" ht="14.25" customHeight="1">
      <c r="U897" s="5"/>
    </row>
    <row r="898" ht="14.25" customHeight="1">
      <c r="U898" s="5"/>
    </row>
    <row r="899" ht="14.25" customHeight="1">
      <c r="U899" s="5"/>
    </row>
    <row r="900" ht="14.25" customHeight="1">
      <c r="U900" s="5"/>
    </row>
    <row r="901" ht="14.25" customHeight="1">
      <c r="U901" s="5"/>
    </row>
    <row r="902" ht="14.25" customHeight="1">
      <c r="U902" s="5"/>
    </row>
    <row r="903" ht="14.25" customHeight="1">
      <c r="U903" s="5"/>
    </row>
    <row r="904" ht="14.25" customHeight="1">
      <c r="U904" s="5"/>
    </row>
    <row r="905" ht="14.25" customHeight="1">
      <c r="U905" s="5"/>
    </row>
    <row r="906" ht="14.25" customHeight="1">
      <c r="U906" s="5"/>
    </row>
    <row r="907" ht="14.25" customHeight="1">
      <c r="U907" s="5"/>
    </row>
    <row r="908" ht="14.25" customHeight="1">
      <c r="U908" s="5"/>
    </row>
    <row r="909" ht="14.25" customHeight="1">
      <c r="U909" s="5"/>
    </row>
    <row r="910" ht="14.25" customHeight="1">
      <c r="U910" s="5"/>
    </row>
    <row r="911" ht="14.25" customHeight="1">
      <c r="U911" s="5"/>
    </row>
    <row r="912" ht="14.25" customHeight="1">
      <c r="U912" s="5"/>
    </row>
    <row r="913" ht="14.25" customHeight="1">
      <c r="U913" s="5"/>
    </row>
    <row r="914" ht="14.25" customHeight="1">
      <c r="U914" s="5"/>
    </row>
    <row r="915" ht="14.25" customHeight="1">
      <c r="U915" s="5"/>
    </row>
    <row r="916" ht="14.25" customHeight="1">
      <c r="U916" s="5"/>
    </row>
    <row r="917" ht="14.25" customHeight="1">
      <c r="U917" s="5"/>
    </row>
    <row r="918" ht="14.25" customHeight="1">
      <c r="U918" s="5"/>
    </row>
    <row r="919" ht="14.25" customHeight="1">
      <c r="U919" s="5"/>
    </row>
    <row r="920" ht="14.25" customHeight="1">
      <c r="U920" s="5"/>
    </row>
    <row r="921" ht="14.25" customHeight="1">
      <c r="U921" s="5"/>
    </row>
    <row r="922" ht="14.25" customHeight="1">
      <c r="U922" s="5"/>
    </row>
    <row r="923" ht="14.25" customHeight="1">
      <c r="U923" s="5"/>
    </row>
    <row r="924" ht="14.25" customHeight="1">
      <c r="U924" s="5"/>
    </row>
    <row r="925" ht="14.25" customHeight="1">
      <c r="U925" s="5"/>
    </row>
    <row r="926" ht="14.25" customHeight="1">
      <c r="U926" s="5"/>
    </row>
    <row r="927" ht="14.25" customHeight="1">
      <c r="U927" s="5"/>
    </row>
    <row r="928" ht="14.25" customHeight="1">
      <c r="U928" s="5"/>
    </row>
    <row r="929" ht="14.25" customHeight="1">
      <c r="U929" s="5"/>
    </row>
    <row r="930" ht="14.25" customHeight="1">
      <c r="U930" s="5"/>
    </row>
    <row r="931" ht="14.25" customHeight="1">
      <c r="U931" s="5"/>
    </row>
    <row r="932" ht="14.25" customHeight="1">
      <c r="U932" s="5"/>
    </row>
    <row r="933" ht="14.25" customHeight="1">
      <c r="U933" s="5"/>
    </row>
    <row r="934" ht="14.25" customHeight="1">
      <c r="U934" s="5"/>
    </row>
    <row r="935" ht="14.25" customHeight="1">
      <c r="U935" s="5"/>
    </row>
    <row r="936" ht="14.25" customHeight="1">
      <c r="U936" s="5"/>
    </row>
    <row r="937" ht="14.25" customHeight="1">
      <c r="U937" s="5"/>
    </row>
    <row r="938" ht="14.25" customHeight="1">
      <c r="U938" s="5"/>
    </row>
    <row r="939" ht="14.25" customHeight="1">
      <c r="U939" s="5"/>
    </row>
    <row r="940" ht="14.25" customHeight="1">
      <c r="U940" s="5"/>
    </row>
    <row r="941" ht="14.25" customHeight="1">
      <c r="U941" s="5"/>
    </row>
    <row r="942" ht="14.25" customHeight="1">
      <c r="U942" s="5"/>
    </row>
    <row r="943" ht="14.25" customHeight="1">
      <c r="U943" s="5"/>
    </row>
    <row r="944" ht="14.25" customHeight="1">
      <c r="U944" s="5"/>
    </row>
    <row r="945" ht="14.25" customHeight="1">
      <c r="U945" s="5"/>
    </row>
    <row r="946" ht="14.25" customHeight="1">
      <c r="U946" s="5"/>
    </row>
    <row r="947" ht="14.25" customHeight="1">
      <c r="U947" s="5"/>
    </row>
    <row r="948" ht="14.25" customHeight="1">
      <c r="U948" s="5"/>
    </row>
    <row r="949" ht="14.25" customHeight="1">
      <c r="U949" s="5"/>
    </row>
    <row r="950" ht="14.25" customHeight="1">
      <c r="U950" s="5"/>
    </row>
    <row r="951" ht="14.25" customHeight="1">
      <c r="U951" s="5"/>
    </row>
    <row r="952" ht="14.25" customHeight="1">
      <c r="U952" s="5"/>
    </row>
    <row r="953" ht="14.25" customHeight="1">
      <c r="U953" s="5"/>
    </row>
    <row r="954" ht="14.25" customHeight="1">
      <c r="U954" s="5"/>
    </row>
    <row r="955" ht="14.25" customHeight="1">
      <c r="U955" s="5"/>
    </row>
    <row r="956" ht="14.25" customHeight="1">
      <c r="U956" s="5"/>
    </row>
    <row r="957" ht="14.25" customHeight="1">
      <c r="U957" s="5"/>
    </row>
    <row r="958" ht="14.25" customHeight="1">
      <c r="U958" s="5"/>
    </row>
    <row r="959" ht="14.25" customHeight="1">
      <c r="U959" s="5"/>
    </row>
    <row r="960" ht="14.25" customHeight="1">
      <c r="U960" s="5"/>
    </row>
    <row r="961" ht="14.25" customHeight="1">
      <c r="U961" s="5"/>
    </row>
    <row r="962" ht="14.25" customHeight="1">
      <c r="U962" s="5"/>
    </row>
    <row r="963" ht="14.25" customHeight="1">
      <c r="U963" s="5"/>
    </row>
    <row r="964" ht="14.25" customHeight="1">
      <c r="U964" s="5"/>
    </row>
    <row r="965" ht="14.25" customHeight="1">
      <c r="U965" s="5"/>
    </row>
    <row r="966" ht="14.25" customHeight="1">
      <c r="U966" s="5"/>
    </row>
    <row r="967" ht="14.25" customHeight="1">
      <c r="U967" s="5"/>
    </row>
    <row r="968" ht="14.25" customHeight="1">
      <c r="U968" s="5"/>
    </row>
    <row r="969" ht="14.25" customHeight="1">
      <c r="U969" s="5"/>
    </row>
    <row r="970" ht="14.25" customHeight="1">
      <c r="U970" s="5"/>
    </row>
    <row r="971" ht="14.25" customHeight="1">
      <c r="U971" s="5"/>
    </row>
    <row r="972" ht="14.25" customHeight="1">
      <c r="U972" s="5"/>
    </row>
    <row r="973" ht="14.25" customHeight="1">
      <c r="U973" s="5"/>
    </row>
    <row r="974" ht="14.25" customHeight="1">
      <c r="U974" s="5"/>
    </row>
    <row r="975" ht="14.25" customHeight="1">
      <c r="U975" s="5"/>
    </row>
    <row r="976" ht="14.25" customHeight="1">
      <c r="U976" s="5"/>
    </row>
    <row r="977" ht="14.25" customHeight="1">
      <c r="U977" s="5"/>
    </row>
    <row r="978" ht="14.25" customHeight="1">
      <c r="U978" s="5"/>
    </row>
    <row r="979" ht="14.25" customHeight="1">
      <c r="U979" s="5"/>
    </row>
    <row r="980" ht="14.25" customHeight="1">
      <c r="U980" s="5"/>
    </row>
    <row r="981" ht="14.25" customHeight="1">
      <c r="U981" s="5"/>
    </row>
    <row r="982" ht="14.25" customHeight="1">
      <c r="U982" s="5"/>
    </row>
    <row r="983" ht="14.25" customHeight="1">
      <c r="U983" s="5"/>
    </row>
    <row r="984" ht="14.25" customHeight="1">
      <c r="U984" s="5"/>
    </row>
    <row r="985" ht="14.25" customHeight="1">
      <c r="U985" s="5"/>
    </row>
    <row r="986" ht="14.25" customHeight="1">
      <c r="U986" s="5"/>
    </row>
    <row r="987" ht="14.25" customHeight="1">
      <c r="U987" s="5"/>
    </row>
    <row r="988" ht="14.25" customHeight="1">
      <c r="U988" s="5"/>
    </row>
    <row r="989" ht="14.25" customHeight="1">
      <c r="U989" s="5"/>
    </row>
    <row r="990" ht="14.25" customHeight="1">
      <c r="U990" s="5"/>
    </row>
    <row r="991" ht="14.25" customHeight="1">
      <c r="U991" s="5"/>
    </row>
    <row r="992" ht="14.25" customHeight="1">
      <c r="U992" s="5"/>
    </row>
    <row r="993" ht="14.25" customHeight="1">
      <c r="U993" s="5"/>
    </row>
    <row r="994" ht="14.25" customHeight="1">
      <c r="U994" s="5"/>
    </row>
    <row r="995" ht="14.25" customHeight="1">
      <c r="U995" s="5"/>
    </row>
    <row r="996" ht="14.25" customHeight="1">
      <c r="U996" s="5"/>
    </row>
    <row r="997" ht="14.25" customHeight="1">
      <c r="U997" s="5"/>
    </row>
    <row r="998" ht="14.25" customHeight="1">
      <c r="U998" s="5"/>
    </row>
    <row r="999" ht="14.25" customHeight="1">
      <c r="U999" s="5"/>
    </row>
    <row r="1000" ht="14.25" customHeight="1">
      <c r="U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2025-03-02T10:59:42Z</dcterms:created>
  <dc:creator>openpyxl</dc:creator>
</cp:coreProperties>
</file>